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esktop\Ecommerce RFM\"/>
    </mc:Choice>
  </mc:AlternateContent>
  <xr:revisionPtr revIDLastSave="0" documentId="13_ncr:1_{F7208708-A162-4CE4-B59A-D4F0262A239F}" xr6:coauthVersionLast="47" xr6:coauthVersionMax="47" xr10:uidLastSave="{00000000-0000-0000-0000-000000000000}"/>
  <bookViews>
    <workbookView xWindow="-120" yWindow="-120" windowWidth="24240" windowHeight="13140" activeTab="4" xr2:uid="{7DC29300-0B2E-45EE-A5D5-A09FFA3EA17E}"/>
  </bookViews>
  <sheets>
    <sheet name="Dataset" sheetId="1" r:id="rId1"/>
    <sheet name="RFM_Analysis" sheetId="2" r:id="rId2"/>
    <sheet name="RFM score explanation" sheetId="3" r:id="rId3"/>
    <sheet name="PivotTables" sheetId="4" r:id="rId4"/>
    <sheet name="Dashboard" sheetId="5" r:id="rId5"/>
    <sheet name="Scatter Plot Chart" sheetId="6" r:id="rId6"/>
  </sheets>
  <externalReferences>
    <externalReference r:id="rId7"/>
  </externalReferences>
  <definedNames>
    <definedName name="_xlnm._FilterDatabase" localSheetId="0" hidden="1">Dataset!$A$1:$AC$1001</definedName>
    <definedName name="Avg_Amount">Dataset!$J$1003</definedName>
    <definedName name="Avg_Satisfaction">Dataset!$S$1003</definedName>
    <definedName name="patients">[1]PivotTables!$A$2</definedName>
    <definedName name="Slicer_Gender">#N/A</definedName>
    <definedName name="Slicer_Income_Level">#N/A</definedName>
    <definedName name="Total_Customers">Dataset!$A$1003</definedName>
  </definedNames>
  <calcPr calcId="191029"/>
  <pivotCaches>
    <pivotCache cacheId="0" r:id="rId8"/>
    <pivotCache cacheId="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03" i="1" l="1"/>
  <c r="J1003" i="1"/>
  <c r="A1003" i="1"/>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7" i="2"/>
  <c r="G18" i="2"/>
  <c r="G19" i="2"/>
  <c r="G20" i="2"/>
  <c r="G21" i="2"/>
  <c r="G22" i="2"/>
  <c r="G23" i="2"/>
  <c r="G24" i="2"/>
  <c r="G25" i="2"/>
  <c r="G26" i="2"/>
  <c r="G27" i="2"/>
  <c r="G28" i="2"/>
  <c r="G29" i="2"/>
  <c r="G30" i="2"/>
  <c r="G3" i="2"/>
  <c r="G4" i="2"/>
  <c r="G5" i="2"/>
  <c r="G6" i="2"/>
  <c r="G7" i="2"/>
  <c r="G8" i="2"/>
  <c r="G9" i="2"/>
  <c r="G10" i="2"/>
  <c r="G11" i="2"/>
  <c r="G12" i="2"/>
  <c r="G13" i="2"/>
  <c r="G14" i="2"/>
  <c r="G15" i="2"/>
  <c r="G16" i="2"/>
  <c r="G2"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3" i="2"/>
  <c r="F4" i="2"/>
  <c r="F5" i="2"/>
  <c r="F6" i="2"/>
  <c r="F7" i="2"/>
  <c r="F8" i="2"/>
  <c r="F9" i="2"/>
  <c r="F10" i="2"/>
  <c r="F11" i="2"/>
  <c r="F12" i="2"/>
  <c r="F13" i="2"/>
  <c r="F14" i="2"/>
  <c r="F15" i="2"/>
  <c r="F16" i="2"/>
  <c r="F17" i="2"/>
  <c r="F18" i="2"/>
  <c r="F19" i="2"/>
  <c r="F20" i="2"/>
  <c r="F2"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I771" i="2" s="1"/>
  <c r="E772" i="2"/>
  <c r="E773" i="2"/>
  <c r="E774" i="2"/>
  <c r="E775" i="2"/>
  <c r="I775" i="2" s="1"/>
  <c r="E776" i="2"/>
  <c r="E777" i="2"/>
  <c r="E778" i="2"/>
  <c r="E779" i="2"/>
  <c r="I779" i="2" s="1"/>
  <c r="E780" i="2"/>
  <c r="E781" i="2"/>
  <c r="E782" i="2"/>
  <c r="E783" i="2"/>
  <c r="I783" i="2" s="1"/>
  <c r="E784" i="2"/>
  <c r="E785" i="2"/>
  <c r="E786" i="2"/>
  <c r="E787" i="2"/>
  <c r="I787" i="2" s="1"/>
  <c r="E788" i="2"/>
  <c r="E789" i="2"/>
  <c r="E790" i="2"/>
  <c r="E791" i="2"/>
  <c r="I791" i="2" s="1"/>
  <c r="E792" i="2"/>
  <c r="E793" i="2"/>
  <c r="E794" i="2"/>
  <c r="E795" i="2"/>
  <c r="I795" i="2" s="1"/>
  <c r="E796" i="2"/>
  <c r="E797" i="2"/>
  <c r="E798" i="2"/>
  <c r="E799" i="2"/>
  <c r="I799" i="2" s="1"/>
  <c r="E800" i="2"/>
  <c r="E801" i="2"/>
  <c r="E802" i="2"/>
  <c r="E803" i="2"/>
  <c r="I803" i="2" s="1"/>
  <c r="E804" i="2"/>
  <c r="E805" i="2"/>
  <c r="E806" i="2"/>
  <c r="E807" i="2"/>
  <c r="I807" i="2" s="1"/>
  <c r="E808" i="2"/>
  <c r="E809" i="2"/>
  <c r="E810" i="2"/>
  <c r="E811" i="2"/>
  <c r="I811" i="2" s="1"/>
  <c r="E812" i="2"/>
  <c r="E813" i="2"/>
  <c r="E814" i="2"/>
  <c r="E815" i="2"/>
  <c r="I815" i="2" s="1"/>
  <c r="E816" i="2"/>
  <c r="E817" i="2"/>
  <c r="E818" i="2"/>
  <c r="E819" i="2"/>
  <c r="I819" i="2" s="1"/>
  <c r="E820" i="2"/>
  <c r="E821" i="2"/>
  <c r="E822" i="2"/>
  <c r="E823" i="2"/>
  <c r="I823" i="2" s="1"/>
  <c r="E824" i="2"/>
  <c r="E825" i="2"/>
  <c r="E826" i="2"/>
  <c r="E827" i="2"/>
  <c r="I827" i="2" s="1"/>
  <c r="E828" i="2"/>
  <c r="E829" i="2"/>
  <c r="E830" i="2"/>
  <c r="E831" i="2"/>
  <c r="I831" i="2" s="1"/>
  <c r="E832" i="2"/>
  <c r="E833" i="2"/>
  <c r="E834" i="2"/>
  <c r="E835" i="2"/>
  <c r="I835" i="2" s="1"/>
  <c r="E836" i="2"/>
  <c r="E837" i="2"/>
  <c r="E838" i="2"/>
  <c r="E839" i="2"/>
  <c r="I839" i="2" s="1"/>
  <c r="E840" i="2"/>
  <c r="E841" i="2"/>
  <c r="E842" i="2"/>
  <c r="E843" i="2"/>
  <c r="I843" i="2" s="1"/>
  <c r="E844" i="2"/>
  <c r="E845" i="2"/>
  <c r="E846" i="2"/>
  <c r="E847" i="2"/>
  <c r="I847" i="2" s="1"/>
  <c r="E848" i="2"/>
  <c r="E849" i="2"/>
  <c r="E850" i="2"/>
  <c r="E851" i="2"/>
  <c r="I851" i="2" s="1"/>
  <c r="E852" i="2"/>
  <c r="E853" i="2"/>
  <c r="E854" i="2"/>
  <c r="E855" i="2"/>
  <c r="I855" i="2" s="1"/>
  <c r="E856" i="2"/>
  <c r="E857" i="2"/>
  <c r="E858" i="2"/>
  <c r="E859" i="2"/>
  <c r="I859" i="2" s="1"/>
  <c r="E860" i="2"/>
  <c r="E861" i="2"/>
  <c r="E862" i="2"/>
  <c r="E863" i="2"/>
  <c r="I863" i="2" s="1"/>
  <c r="E864" i="2"/>
  <c r="E865" i="2"/>
  <c r="E866" i="2"/>
  <c r="E867" i="2"/>
  <c r="I867" i="2" s="1"/>
  <c r="E868" i="2"/>
  <c r="E869" i="2"/>
  <c r="E870" i="2"/>
  <c r="E871" i="2"/>
  <c r="I871" i="2" s="1"/>
  <c r="E872" i="2"/>
  <c r="E873" i="2"/>
  <c r="E874" i="2"/>
  <c r="E875" i="2"/>
  <c r="I875" i="2" s="1"/>
  <c r="E876" i="2"/>
  <c r="E877" i="2"/>
  <c r="E878" i="2"/>
  <c r="E879" i="2"/>
  <c r="I879" i="2" s="1"/>
  <c r="E880" i="2"/>
  <c r="E881" i="2"/>
  <c r="E882" i="2"/>
  <c r="E883" i="2"/>
  <c r="I883" i="2" s="1"/>
  <c r="E884" i="2"/>
  <c r="E885" i="2"/>
  <c r="E886" i="2"/>
  <c r="E887" i="2"/>
  <c r="I887" i="2" s="1"/>
  <c r="E888" i="2"/>
  <c r="E889" i="2"/>
  <c r="E890" i="2"/>
  <c r="E891" i="2"/>
  <c r="I891" i="2" s="1"/>
  <c r="E892" i="2"/>
  <c r="E893" i="2"/>
  <c r="E894" i="2"/>
  <c r="E895" i="2"/>
  <c r="I895" i="2" s="1"/>
  <c r="E896" i="2"/>
  <c r="E897" i="2"/>
  <c r="E898" i="2"/>
  <c r="E899" i="2"/>
  <c r="I899" i="2" s="1"/>
  <c r="E900" i="2"/>
  <c r="E901" i="2"/>
  <c r="E902" i="2"/>
  <c r="E903" i="2"/>
  <c r="I903" i="2" s="1"/>
  <c r="E904" i="2"/>
  <c r="E905" i="2"/>
  <c r="E906" i="2"/>
  <c r="E907" i="2"/>
  <c r="I907" i="2" s="1"/>
  <c r="E908" i="2"/>
  <c r="E909" i="2"/>
  <c r="E910" i="2"/>
  <c r="E911" i="2"/>
  <c r="I911" i="2" s="1"/>
  <c r="E912" i="2"/>
  <c r="E913" i="2"/>
  <c r="E914" i="2"/>
  <c r="E915" i="2"/>
  <c r="I915" i="2" s="1"/>
  <c r="E916" i="2"/>
  <c r="E917" i="2"/>
  <c r="E918" i="2"/>
  <c r="E919" i="2"/>
  <c r="I919" i="2" s="1"/>
  <c r="E920" i="2"/>
  <c r="E921" i="2"/>
  <c r="E922" i="2"/>
  <c r="E923" i="2"/>
  <c r="I923" i="2" s="1"/>
  <c r="E924" i="2"/>
  <c r="E925" i="2"/>
  <c r="E926" i="2"/>
  <c r="E927" i="2"/>
  <c r="I927" i="2" s="1"/>
  <c r="E928" i="2"/>
  <c r="E929" i="2"/>
  <c r="E930" i="2"/>
  <c r="E931" i="2"/>
  <c r="I931" i="2" s="1"/>
  <c r="E932" i="2"/>
  <c r="E933" i="2"/>
  <c r="E934" i="2"/>
  <c r="E935" i="2"/>
  <c r="I935" i="2" s="1"/>
  <c r="E936" i="2"/>
  <c r="E937" i="2"/>
  <c r="E938" i="2"/>
  <c r="E939" i="2"/>
  <c r="I939" i="2" s="1"/>
  <c r="E940" i="2"/>
  <c r="E941" i="2"/>
  <c r="E942" i="2"/>
  <c r="E943" i="2"/>
  <c r="I943" i="2" s="1"/>
  <c r="E944" i="2"/>
  <c r="E945" i="2"/>
  <c r="E946" i="2"/>
  <c r="E947" i="2"/>
  <c r="I947" i="2" s="1"/>
  <c r="E948" i="2"/>
  <c r="E949" i="2"/>
  <c r="E950" i="2"/>
  <c r="E951" i="2"/>
  <c r="I951" i="2" s="1"/>
  <c r="E952" i="2"/>
  <c r="E953" i="2"/>
  <c r="E954" i="2"/>
  <c r="E955" i="2"/>
  <c r="I955" i="2" s="1"/>
  <c r="E956" i="2"/>
  <c r="E957" i="2"/>
  <c r="E958" i="2"/>
  <c r="E959" i="2"/>
  <c r="I959" i="2" s="1"/>
  <c r="E960" i="2"/>
  <c r="E961" i="2"/>
  <c r="E962" i="2"/>
  <c r="E963" i="2"/>
  <c r="I963" i="2" s="1"/>
  <c r="E964" i="2"/>
  <c r="E965" i="2"/>
  <c r="E966" i="2"/>
  <c r="E967" i="2"/>
  <c r="I967" i="2" s="1"/>
  <c r="E968" i="2"/>
  <c r="E969" i="2"/>
  <c r="E970" i="2"/>
  <c r="E971" i="2"/>
  <c r="I971" i="2" s="1"/>
  <c r="E972" i="2"/>
  <c r="E973" i="2"/>
  <c r="E974" i="2"/>
  <c r="E975" i="2"/>
  <c r="I975" i="2" s="1"/>
  <c r="E976" i="2"/>
  <c r="E977" i="2"/>
  <c r="E978" i="2"/>
  <c r="E979" i="2"/>
  <c r="I979" i="2" s="1"/>
  <c r="E980" i="2"/>
  <c r="E981" i="2"/>
  <c r="E982" i="2"/>
  <c r="E983" i="2"/>
  <c r="I983" i="2" s="1"/>
  <c r="E984" i="2"/>
  <c r="E985" i="2"/>
  <c r="E986" i="2"/>
  <c r="E987" i="2"/>
  <c r="I987" i="2" s="1"/>
  <c r="E988" i="2"/>
  <c r="E989" i="2"/>
  <c r="E990" i="2"/>
  <c r="E991" i="2"/>
  <c r="I991" i="2" s="1"/>
  <c r="E992" i="2"/>
  <c r="E993" i="2"/>
  <c r="E994" i="2"/>
  <c r="E995" i="2"/>
  <c r="I995" i="2" s="1"/>
  <c r="E996" i="2"/>
  <c r="E997" i="2"/>
  <c r="E998" i="2"/>
  <c r="E999" i="2"/>
  <c r="I999" i="2" s="1"/>
  <c r="E1000" i="2"/>
  <c r="E1001" i="2"/>
  <c r="E3" i="2"/>
  <c r="E4" i="2"/>
  <c r="I4" i="2" s="1"/>
  <c r="E5" i="2"/>
  <c r="E6" i="2"/>
  <c r="E7" i="2"/>
  <c r="E8" i="2"/>
  <c r="I8" i="2" s="1"/>
  <c r="E9" i="2"/>
  <c r="E10" i="2"/>
  <c r="E11" i="2"/>
  <c r="E12" i="2"/>
  <c r="I12" i="2" s="1"/>
  <c r="E13" i="2"/>
  <c r="E14" i="2"/>
  <c r="E15" i="2"/>
  <c r="E16" i="2"/>
  <c r="E17" i="2"/>
  <c r="I17" i="2" s="1"/>
  <c r="E18" i="2"/>
  <c r="E19" i="2"/>
  <c r="E20" i="2"/>
  <c r="E21" i="2"/>
  <c r="I21" i="2" s="1"/>
  <c r="E22" i="2"/>
  <c r="E23" i="2"/>
  <c r="E24" i="2"/>
  <c r="E25" i="2"/>
  <c r="E26" i="2"/>
  <c r="E27" i="2"/>
  <c r="E2" i="2"/>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I1000" i="2" l="1"/>
  <c r="H1000" i="2"/>
  <c r="I976" i="2"/>
  <c r="H976" i="2"/>
  <c r="I968" i="2"/>
  <c r="H968" i="2"/>
  <c r="I948" i="2"/>
  <c r="H948" i="2"/>
  <c r="I932" i="2"/>
  <c r="H932" i="2"/>
  <c r="I920" i="2"/>
  <c r="H920" i="2"/>
  <c r="I912" i="2"/>
  <c r="H912" i="2"/>
  <c r="I904" i="2"/>
  <c r="H904" i="2"/>
  <c r="I892" i="2"/>
  <c r="H892" i="2"/>
  <c r="I888" i="2"/>
  <c r="H888" i="2"/>
  <c r="I884" i="2"/>
  <c r="H884" i="2"/>
  <c r="I880" i="2"/>
  <c r="H880" i="2"/>
  <c r="I876" i="2"/>
  <c r="H876" i="2"/>
  <c r="I872" i="2"/>
  <c r="H872" i="2"/>
  <c r="I868" i="2"/>
  <c r="H868" i="2"/>
  <c r="I864" i="2"/>
  <c r="H864" i="2"/>
  <c r="I860" i="2"/>
  <c r="H860" i="2"/>
  <c r="I856" i="2"/>
  <c r="H856" i="2"/>
  <c r="I852" i="2"/>
  <c r="H852" i="2"/>
  <c r="I848" i="2"/>
  <c r="H848" i="2"/>
  <c r="I844" i="2"/>
  <c r="H844" i="2"/>
  <c r="I840" i="2"/>
  <c r="H840" i="2"/>
  <c r="I836" i="2"/>
  <c r="H836" i="2"/>
  <c r="I832" i="2"/>
  <c r="H832" i="2"/>
  <c r="I828" i="2"/>
  <c r="H828" i="2"/>
  <c r="I824" i="2"/>
  <c r="H824" i="2"/>
  <c r="I820" i="2"/>
  <c r="H820" i="2"/>
  <c r="I816" i="2"/>
  <c r="H816" i="2"/>
  <c r="I812" i="2"/>
  <c r="H812" i="2"/>
  <c r="I808" i="2"/>
  <c r="H808" i="2"/>
  <c r="I804" i="2"/>
  <c r="H804" i="2"/>
  <c r="I800" i="2"/>
  <c r="H800" i="2"/>
  <c r="I796" i="2"/>
  <c r="H796" i="2"/>
  <c r="I792" i="2"/>
  <c r="H792" i="2"/>
  <c r="I788" i="2"/>
  <c r="H788" i="2"/>
  <c r="I784" i="2"/>
  <c r="H784" i="2"/>
  <c r="I780" i="2"/>
  <c r="H780" i="2"/>
  <c r="I776" i="2"/>
  <c r="H776" i="2"/>
  <c r="I772" i="2"/>
  <c r="H772" i="2"/>
  <c r="I768" i="2"/>
  <c r="H768" i="2"/>
  <c r="I764" i="2"/>
  <c r="H764" i="2"/>
  <c r="I760" i="2"/>
  <c r="H760" i="2"/>
  <c r="I756" i="2"/>
  <c r="H756" i="2"/>
  <c r="I752" i="2"/>
  <c r="H752" i="2"/>
  <c r="I748" i="2"/>
  <c r="H748" i="2"/>
  <c r="I744" i="2"/>
  <c r="H744" i="2"/>
  <c r="I740" i="2"/>
  <c r="H740" i="2"/>
  <c r="I736" i="2"/>
  <c r="H736" i="2"/>
  <c r="I732" i="2"/>
  <c r="H732" i="2"/>
  <c r="I728" i="2"/>
  <c r="H728" i="2"/>
  <c r="I724" i="2"/>
  <c r="H724" i="2"/>
  <c r="I720" i="2"/>
  <c r="H720" i="2"/>
  <c r="I716" i="2"/>
  <c r="H716" i="2"/>
  <c r="I712" i="2"/>
  <c r="H712" i="2"/>
  <c r="I708" i="2"/>
  <c r="H708" i="2"/>
  <c r="I704" i="2"/>
  <c r="H704" i="2"/>
  <c r="I700" i="2"/>
  <c r="H700" i="2"/>
  <c r="I696" i="2"/>
  <c r="H696" i="2"/>
  <c r="I692" i="2"/>
  <c r="H692" i="2"/>
  <c r="I688" i="2"/>
  <c r="H688" i="2"/>
  <c r="I684" i="2"/>
  <c r="H684" i="2"/>
  <c r="I680" i="2"/>
  <c r="H680" i="2"/>
  <c r="I676" i="2"/>
  <c r="H676" i="2"/>
  <c r="I672" i="2"/>
  <c r="H672" i="2"/>
  <c r="I668" i="2"/>
  <c r="H668" i="2"/>
  <c r="I664" i="2"/>
  <c r="H664" i="2"/>
  <c r="I660" i="2"/>
  <c r="H660" i="2"/>
  <c r="I656" i="2"/>
  <c r="H656" i="2"/>
  <c r="I652" i="2"/>
  <c r="H652" i="2"/>
  <c r="I648" i="2"/>
  <c r="H648" i="2"/>
  <c r="I644" i="2"/>
  <c r="H644" i="2"/>
  <c r="I640" i="2"/>
  <c r="H640" i="2"/>
  <c r="I636" i="2"/>
  <c r="H636" i="2"/>
  <c r="I632" i="2"/>
  <c r="H632" i="2"/>
  <c r="I628" i="2"/>
  <c r="H628" i="2"/>
  <c r="I624" i="2"/>
  <c r="H624" i="2"/>
  <c r="I620" i="2"/>
  <c r="H620" i="2"/>
  <c r="I616" i="2"/>
  <c r="H616" i="2"/>
  <c r="I612" i="2"/>
  <c r="H612" i="2"/>
  <c r="I608" i="2"/>
  <c r="H608" i="2"/>
  <c r="I604" i="2"/>
  <c r="H604" i="2"/>
  <c r="I600" i="2"/>
  <c r="H600" i="2"/>
  <c r="I596" i="2"/>
  <c r="H596" i="2"/>
  <c r="I592" i="2"/>
  <c r="H592" i="2"/>
  <c r="I588" i="2"/>
  <c r="H588" i="2"/>
  <c r="I584" i="2"/>
  <c r="H584" i="2"/>
  <c r="I580" i="2"/>
  <c r="H580" i="2"/>
  <c r="I576" i="2"/>
  <c r="H576" i="2"/>
  <c r="I572" i="2"/>
  <c r="H572" i="2"/>
  <c r="I568" i="2"/>
  <c r="H568" i="2"/>
  <c r="I564" i="2"/>
  <c r="H564" i="2"/>
  <c r="I560" i="2"/>
  <c r="H560" i="2"/>
  <c r="I556" i="2"/>
  <c r="H556" i="2"/>
  <c r="I552" i="2"/>
  <c r="H552" i="2"/>
  <c r="I548" i="2"/>
  <c r="H548" i="2"/>
  <c r="I544" i="2"/>
  <c r="H544" i="2"/>
  <c r="I540" i="2"/>
  <c r="H540" i="2"/>
  <c r="I536" i="2"/>
  <c r="H536" i="2"/>
  <c r="I532" i="2"/>
  <c r="H532" i="2"/>
  <c r="I528" i="2"/>
  <c r="H528" i="2"/>
  <c r="I524" i="2"/>
  <c r="H524" i="2"/>
  <c r="I520" i="2"/>
  <c r="H520" i="2"/>
  <c r="I516" i="2"/>
  <c r="H516" i="2"/>
  <c r="I512" i="2"/>
  <c r="H512" i="2"/>
  <c r="I508" i="2"/>
  <c r="H508" i="2"/>
  <c r="I504" i="2"/>
  <c r="H504" i="2"/>
  <c r="I500" i="2"/>
  <c r="H500" i="2"/>
  <c r="I496" i="2"/>
  <c r="H496" i="2"/>
  <c r="I492" i="2"/>
  <c r="H492" i="2"/>
  <c r="I488" i="2"/>
  <c r="H488" i="2"/>
  <c r="I484" i="2"/>
  <c r="H484" i="2"/>
  <c r="I480" i="2"/>
  <c r="H480" i="2"/>
  <c r="I476" i="2"/>
  <c r="H476" i="2"/>
  <c r="I472" i="2"/>
  <c r="H472" i="2"/>
  <c r="I468" i="2"/>
  <c r="H468" i="2"/>
  <c r="I464" i="2"/>
  <c r="H464" i="2"/>
  <c r="I460" i="2"/>
  <c r="H460" i="2"/>
  <c r="I456" i="2"/>
  <c r="H456" i="2"/>
  <c r="I452" i="2"/>
  <c r="H452" i="2"/>
  <c r="I448" i="2"/>
  <c r="H448" i="2"/>
  <c r="I444" i="2"/>
  <c r="H444" i="2"/>
  <c r="I440" i="2"/>
  <c r="H440" i="2"/>
  <c r="I436" i="2"/>
  <c r="H436" i="2"/>
  <c r="I432" i="2"/>
  <c r="H432" i="2"/>
  <c r="I428" i="2"/>
  <c r="H428" i="2"/>
  <c r="I424" i="2"/>
  <c r="H424" i="2"/>
  <c r="I420" i="2"/>
  <c r="H420" i="2"/>
  <c r="I416" i="2"/>
  <c r="H416" i="2"/>
  <c r="I412" i="2"/>
  <c r="H412" i="2"/>
  <c r="I408" i="2"/>
  <c r="H408" i="2"/>
  <c r="I404" i="2"/>
  <c r="H404" i="2"/>
  <c r="I400" i="2"/>
  <c r="H400" i="2"/>
  <c r="I396" i="2"/>
  <c r="H396" i="2"/>
  <c r="I392" i="2"/>
  <c r="H392" i="2"/>
  <c r="I388" i="2"/>
  <c r="H388" i="2"/>
  <c r="I384" i="2"/>
  <c r="H384" i="2"/>
  <c r="I380" i="2"/>
  <c r="H380" i="2"/>
  <c r="I376" i="2"/>
  <c r="H376" i="2"/>
  <c r="I372" i="2"/>
  <c r="H372" i="2"/>
  <c r="I368" i="2"/>
  <c r="H368" i="2"/>
  <c r="I364" i="2"/>
  <c r="H364" i="2"/>
  <c r="I360" i="2"/>
  <c r="H360" i="2"/>
  <c r="I356" i="2"/>
  <c r="H356" i="2"/>
  <c r="I352" i="2"/>
  <c r="H352" i="2"/>
  <c r="I348" i="2"/>
  <c r="H348" i="2"/>
  <c r="I344" i="2"/>
  <c r="H344" i="2"/>
  <c r="I340" i="2"/>
  <c r="H340" i="2"/>
  <c r="I336" i="2"/>
  <c r="H336" i="2"/>
  <c r="I332" i="2"/>
  <c r="H332" i="2"/>
  <c r="I328" i="2"/>
  <c r="H328" i="2"/>
  <c r="I324" i="2"/>
  <c r="H324" i="2"/>
  <c r="I320" i="2"/>
  <c r="H320" i="2"/>
  <c r="I316" i="2"/>
  <c r="H316" i="2"/>
  <c r="I312" i="2"/>
  <c r="H312" i="2"/>
  <c r="I308" i="2"/>
  <c r="H308" i="2"/>
  <c r="I304" i="2"/>
  <c r="H304" i="2"/>
  <c r="I300" i="2"/>
  <c r="H300" i="2"/>
  <c r="I296" i="2"/>
  <c r="H296" i="2"/>
  <c r="I292" i="2"/>
  <c r="H292" i="2"/>
  <c r="I288" i="2"/>
  <c r="H288" i="2"/>
  <c r="I284" i="2"/>
  <c r="H284" i="2"/>
  <c r="I280" i="2"/>
  <c r="H280" i="2"/>
  <c r="I276" i="2"/>
  <c r="H276" i="2"/>
  <c r="I272" i="2"/>
  <c r="H272" i="2"/>
  <c r="I268" i="2"/>
  <c r="H268" i="2"/>
  <c r="I264" i="2"/>
  <c r="H264" i="2"/>
  <c r="I260" i="2"/>
  <c r="H260" i="2"/>
  <c r="I256" i="2"/>
  <c r="H256" i="2"/>
  <c r="I252" i="2"/>
  <c r="H252" i="2"/>
  <c r="I248" i="2"/>
  <c r="H248" i="2"/>
  <c r="I244" i="2"/>
  <c r="H244" i="2"/>
  <c r="I240" i="2"/>
  <c r="H240" i="2"/>
  <c r="I236" i="2"/>
  <c r="H236" i="2"/>
  <c r="I232" i="2"/>
  <c r="H232" i="2"/>
  <c r="I228" i="2"/>
  <c r="H228" i="2"/>
  <c r="I224" i="2"/>
  <c r="H224" i="2"/>
  <c r="I220" i="2"/>
  <c r="H220" i="2"/>
  <c r="I216" i="2"/>
  <c r="H216" i="2"/>
  <c r="I212" i="2"/>
  <c r="H212" i="2"/>
  <c r="I208" i="2"/>
  <c r="H208" i="2"/>
  <c r="I204" i="2"/>
  <c r="H204" i="2"/>
  <c r="I200" i="2"/>
  <c r="H200" i="2"/>
  <c r="I196" i="2"/>
  <c r="H196" i="2"/>
  <c r="I192" i="2"/>
  <c r="H192" i="2"/>
  <c r="I188" i="2"/>
  <c r="H188" i="2"/>
  <c r="I184" i="2"/>
  <c r="H184" i="2"/>
  <c r="I180" i="2"/>
  <c r="H180" i="2"/>
  <c r="I176" i="2"/>
  <c r="H176" i="2"/>
  <c r="I172" i="2"/>
  <c r="H172" i="2"/>
  <c r="I168" i="2"/>
  <c r="H168" i="2"/>
  <c r="I164" i="2"/>
  <c r="H164" i="2"/>
  <c r="I160" i="2"/>
  <c r="H160" i="2"/>
  <c r="I156" i="2"/>
  <c r="H156" i="2"/>
  <c r="I152" i="2"/>
  <c r="H152" i="2"/>
  <c r="I148" i="2"/>
  <c r="H148" i="2"/>
  <c r="I144" i="2"/>
  <c r="H144" i="2"/>
  <c r="I140" i="2"/>
  <c r="H140" i="2"/>
  <c r="I136" i="2"/>
  <c r="H136" i="2"/>
  <c r="I132" i="2"/>
  <c r="H132" i="2"/>
  <c r="I128" i="2"/>
  <c r="H128" i="2"/>
  <c r="I124" i="2"/>
  <c r="H124" i="2"/>
  <c r="I120" i="2"/>
  <c r="H120" i="2"/>
  <c r="I116" i="2"/>
  <c r="H116" i="2"/>
  <c r="I112" i="2"/>
  <c r="H112" i="2"/>
  <c r="I108" i="2"/>
  <c r="H108" i="2"/>
  <c r="I104" i="2"/>
  <c r="H104" i="2"/>
  <c r="I100" i="2"/>
  <c r="H100" i="2"/>
  <c r="I96" i="2"/>
  <c r="H96" i="2"/>
  <c r="I92" i="2"/>
  <c r="H92" i="2"/>
  <c r="I88" i="2"/>
  <c r="H88" i="2"/>
  <c r="I84" i="2"/>
  <c r="H84" i="2"/>
  <c r="I80" i="2"/>
  <c r="H80" i="2"/>
  <c r="I76" i="2"/>
  <c r="H76" i="2"/>
  <c r="I72" i="2"/>
  <c r="H72" i="2"/>
  <c r="I68" i="2"/>
  <c r="H68" i="2"/>
  <c r="I64" i="2"/>
  <c r="H64" i="2"/>
  <c r="I60" i="2"/>
  <c r="H60" i="2"/>
  <c r="I56" i="2"/>
  <c r="H56" i="2"/>
  <c r="I52" i="2"/>
  <c r="H52" i="2"/>
  <c r="I48" i="2"/>
  <c r="H48" i="2"/>
  <c r="I44" i="2"/>
  <c r="H44" i="2"/>
  <c r="I40" i="2"/>
  <c r="H40" i="2"/>
  <c r="I36" i="2"/>
  <c r="H36" i="2"/>
  <c r="I32" i="2"/>
  <c r="H32" i="2"/>
  <c r="I28" i="2"/>
  <c r="H28" i="2"/>
  <c r="H8" i="2"/>
  <c r="H991" i="2"/>
  <c r="H975" i="2"/>
  <c r="H959" i="2"/>
  <c r="H943" i="2"/>
  <c r="H927" i="2"/>
  <c r="H911" i="2"/>
  <c r="H895" i="2"/>
  <c r="H879" i="2"/>
  <c r="H863" i="2"/>
  <c r="H847" i="2"/>
  <c r="H831" i="2"/>
  <c r="H815" i="2"/>
  <c r="H799" i="2"/>
  <c r="H783" i="2"/>
  <c r="I5" i="2"/>
  <c r="H5" i="2"/>
  <c r="I988" i="2"/>
  <c r="H988" i="2"/>
  <c r="I972" i="2"/>
  <c r="H972" i="2"/>
  <c r="I956" i="2"/>
  <c r="H956" i="2"/>
  <c r="I940" i="2"/>
  <c r="H940" i="2"/>
  <c r="I924" i="2"/>
  <c r="H924" i="2"/>
  <c r="I900" i="2"/>
  <c r="H900" i="2"/>
  <c r="I24" i="2"/>
  <c r="H24" i="2"/>
  <c r="I767" i="2"/>
  <c r="H767" i="2"/>
  <c r="I763" i="2"/>
  <c r="H763" i="2"/>
  <c r="I759" i="2"/>
  <c r="H759" i="2"/>
  <c r="I755" i="2"/>
  <c r="H755" i="2"/>
  <c r="I751" i="2"/>
  <c r="H751" i="2"/>
  <c r="I747" i="2"/>
  <c r="H747" i="2"/>
  <c r="I743" i="2"/>
  <c r="H743" i="2"/>
  <c r="I739" i="2"/>
  <c r="H739" i="2"/>
  <c r="I735" i="2"/>
  <c r="H735" i="2"/>
  <c r="I731" i="2"/>
  <c r="H731" i="2"/>
  <c r="I727" i="2"/>
  <c r="H727" i="2"/>
  <c r="I723" i="2"/>
  <c r="H723" i="2"/>
  <c r="I719" i="2"/>
  <c r="H719" i="2"/>
  <c r="I715" i="2"/>
  <c r="H715" i="2"/>
  <c r="I711" i="2"/>
  <c r="H711" i="2"/>
  <c r="I707" i="2"/>
  <c r="H707" i="2"/>
  <c r="I703" i="2"/>
  <c r="H703" i="2"/>
  <c r="I699" i="2"/>
  <c r="H699" i="2"/>
  <c r="I695" i="2"/>
  <c r="H695" i="2"/>
  <c r="I691" i="2"/>
  <c r="H691" i="2"/>
  <c r="I687" i="2"/>
  <c r="H687" i="2"/>
  <c r="I683" i="2"/>
  <c r="H683" i="2"/>
  <c r="I679" i="2"/>
  <c r="H679" i="2"/>
  <c r="I675" i="2"/>
  <c r="H675" i="2"/>
  <c r="I671" i="2"/>
  <c r="H671" i="2"/>
  <c r="I667" i="2"/>
  <c r="H667" i="2"/>
  <c r="I663" i="2"/>
  <c r="H663" i="2"/>
  <c r="I659" i="2"/>
  <c r="H659" i="2"/>
  <c r="I655" i="2"/>
  <c r="H655" i="2"/>
  <c r="I651" i="2"/>
  <c r="H651" i="2"/>
  <c r="I647" i="2"/>
  <c r="H647" i="2"/>
  <c r="I643" i="2"/>
  <c r="H643" i="2"/>
  <c r="I639" i="2"/>
  <c r="H639" i="2"/>
  <c r="I635" i="2"/>
  <c r="H635" i="2"/>
  <c r="I631" i="2"/>
  <c r="H631" i="2"/>
  <c r="I627" i="2"/>
  <c r="H627" i="2"/>
  <c r="I623" i="2"/>
  <c r="H623" i="2"/>
  <c r="I619" i="2"/>
  <c r="H619" i="2"/>
  <c r="I615" i="2"/>
  <c r="H615" i="2"/>
  <c r="I611" i="2"/>
  <c r="H611" i="2"/>
  <c r="I607" i="2"/>
  <c r="H607" i="2"/>
  <c r="I603" i="2"/>
  <c r="H603" i="2"/>
  <c r="I599" i="2"/>
  <c r="H599" i="2"/>
  <c r="I595" i="2"/>
  <c r="H595" i="2"/>
  <c r="I591" i="2"/>
  <c r="H591" i="2"/>
  <c r="I587" i="2"/>
  <c r="H587" i="2"/>
  <c r="I583" i="2"/>
  <c r="H583" i="2"/>
  <c r="I579" i="2"/>
  <c r="H579" i="2"/>
  <c r="I575" i="2"/>
  <c r="H575" i="2"/>
  <c r="I571" i="2"/>
  <c r="H571" i="2"/>
  <c r="I567" i="2"/>
  <c r="H567" i="2"/>
  <c r="I563" i="2"/>
  <c r="H563" i="2"/>
  <c r="I559" i="2"/>
  <c r="H559" i="2"/>
  <c r="I555" i="2"/>
  <c r="H555" i="2"/>
  <c r="I551" i="2"/>
  <c r="H551" i="2"/>
  <c r="I547" i="2"/>
  <c r="H547" i="2"/>
  <c r="I543" i="2"/>
  <c r="H543" i="2"/>
  <c r="I539" i="2"/>
  <c r="H539" i="2"/>
  <c r="I535" i="2"/>
  <c r="H535" i="2"/>
  <c r="I531" i="2"/>
  <c r="H531" i="2"/>
  <c r="I527" i="2"/>
  <c r="H527" i="2"/>
  <c r="I523" i="2"/>
  <c r="H523" i="2"/>
  <c r="I519" i="2"/>
  <c r="H519" i="2"/>
  <c r="I515" i="2"/>
  <c r="H515" i="2"/>
  <c r="I511" i="2"/>
  <c r="H511" i="2"/>
  <c r="I507" i="2"/>
  <c r="H507" i="2"/>
  <c r="I503" i="2"/>
  <c r="H503" i="2"/>
  <c r="I499" i="2"/>
  <c r="H499" i="2"/>
  <c r="I495" i="2"/>
  <c r="H495" i="2"/>
  <c r="I491" i="2"/>
  <c r="H491" i="2"/>
  <c r="I487" i="2"/>
  <c r="H487" i="2"/>
  <c r="I483" i="2"/>
  <c r="H483" i="2"/>
  <c r="I479" i="2"/>
  <c r="H479" i="2"/>
  <c r="I475" i="2"/>
  <c r="H475" i="2"/>
  <c r="I471" i="2"/>
  <c r="H471" i="2"/>
  <c r="I467" i="2"/>
  <c r="H467" i="2"/>
  <c r="I463" i="2"/>
  <c r="H463" i="2"/>
  <c r="I459" i="2"/>
  <c r="H459" i="2"/>
  <c r="I455" i="2"/>
  <c r="H455" i="2"/>
  <c r="I451" i="2"/>
  <c r="H451" i="2"/>
  <c r="I447" i="2"/>
  <c r="H447" i="2"/>
  <c r="I443" i="2"/>
  <c r="H443" i="2"/>
  <c r="I439" i="2"/>
  <c r="H439" i="2"/>
  <c r="I435" i="2"/>
  <c r="H435" i="2"/>
  <c r="I431" i="2"/>
  <c r="H431" i="2"/>
  <c r="I427" i="2"/>
  <c r="H427" i="2"/>
  <c r="I423" i="2"/>
  <c r="H423" i="2"/>
  <c r="I419" i="2"/>
  <c r="H419" i="2"/>
  <c r="I415" i="2"/>
  <c r="H415" i="2"/>
  <c r="I411" i="2"/>
  <c r="H411" i="2"/>
  <c r="I407" i="2"/>
  <c r="H407" i="2"/>
  <c r="I403" i="2"/>
  <c r="H403" i="2"/>
  <c r="I399" i="2"/>
  <c r="H399" i="2"/>
  <c r="I395" i="2"/>
  <c r="H395" i="2"/>
  <c r="I391" i="2"/>
  <c r="H391" i="2"/>
  <c r="I387" i="2"/>
  <c r="H387" i="2"/>
  <c r="I383" i="2"/>
  <c r="H383" i="2"/>
  <c r="I379" i="2"/>
  <c r="H379" i="2"/>
  <c r="I375" i="2"/>
  <c r="H375" i="2"/>
  <c r="I371" i="2"/>
  <c r="H371" i="2"/>
  <c r="I367" i="2"/>
  <c r="H367" i="2"/>
  <c r="I363" i="2"/>
  <c r="H363" i="2"/>
  <c r="I359" i="2"/>
  <c r="H359" i="2"/>
  <c r="I355" i="2"/>
  <c r="H355" i="2"/>
  <c r="I351" i="2"/>
  <c r="H351" i="2"/>
  <c r="I347" i="2"/>
  <c r="H347" i="2"/>
  <c r="I343" i="2"/>
  <c r="H343" i="2"/>
  <c r="I339" i="2"/>
  <c r="H339" i="2"/>
  <c r="I335" i="2"/>
  <c r="H335" i="2"/>
  <c r="I331" i="2"/>
  <c r="H331" i="2"/>
  <c r="I327" i="2"/>
  <c r="H327" i="2"/>
  <c r="I323" i="2"/>
  <c r="H323" i="2"/>
  <c r="I319" i="2"/>
  <c r="H319" i="2"/>
  <c r="I315" i="2"/>
  <c r="H315" i="2"/>
  <c r="I311" i="2"/>
  <c r="H311" i="2"/>
  <c r="I307" i="2"/>
  <c r="H307" i="2"/>
  <c r="I303" i="2"/>
  <c r="H303" i="2"/>
  <c r="I299" i="2"/>
  <c r="H299" i="2"/>
  <c r="I295" i="2"/>
  <c r="H295" i="2"/>
  <c r="I291" i="2"/>
  <c r="H291" i="2"/>
  <c r="I287" i="2"/>
  <c r="H287" i="2"/>
  <c r="I283" i="2"/>
  <c r="H283" i="2"/>
  <c r="I279" i="2"/>
  <c r="H279" i="2"/>
  <c r="I275" i="2"/>
  <c r="H275" i="2"/>
  <c r="I271" i="2"/>
  <c r="H271" i="2"/>
  <c r="I267" i="2"/>
  <c r="H267" i="2"/>
  <c r="I263" i="2"/>
  <c r="H263" i="2"/>
  <c r="I259" i="2"/>
  <c r="H259" i="2"/>
  <c r="I255" i="2"/>
  <c r="H255" i="2"/>
  <c r="I251" i="2"/>
  <c r="H251" i="2"/>
  <c r="I247" i="2"/>
  <c r="H247" i="2"/>
  <c r="I243" i="2"/>
  <c r="H243" i="2"/>
  <c r="I239" i="2"/>
  <c r="H239" i="2"/>
  <c r="I235" i="2"/>
  <c r="H235" i="2"/>
  <c r="I231" i="2"/>
  <c r="H231" i="2"/>
  <c r="I227" i="2"/>
  <c r="H227" i="2"/>
  <c r="I223" i="2"/>
  <c r="H223" i="2"/>
  <c r="I219" i="2"/>
  <c r="H219" i="2"/>
  <c r="I215" i="2"/>
  <c r="H215" i="2"/>
  <c r="I211" i="2"/>
  <c r="H211" i="2"/>
  <c r="I207" i="2"/>
  <c r="H207" i="2"/>
  <c r="I203" i="2"/>
  <c r="H203" i="2"/>
  <c r="I199" i="2"/>
  <c r="H199" i="2"/>
  <c r="I195" i="2"/>
  <c r="H195" i="2"/>
  <c r="I191" i="2"/>
  <c r="H191" i="2"/>
  <c r="I187" i="2"/>
  <c r="H187" i="2"/>
  <c r="I183" i="2"/>
  <c r="H183" i="2"/>
  <c r="I179" i="2"/>
  <c r="H179" i="2"/>
  <c r="I175" i="2"/>
  <c r="H175" i="2"/>
  <c r="I171" i="2"/>
  <c r="H171" i="2"/>
  <c r="I167" i="2"/>
  <c r="H167" i="2"/>
  <c r="I163" i="2"/>
  <c r="H163" i="2"/>
  <c r="I159" i="2"/>
  <c r="H159" i="2"/>
  <c r="I155" i="2"/>
  <c r="H155" i="2"/>
  <c r="I151" i="2"/>
  <c r="H151" i="2"/>
  <c r="I147" i="2"/>
  <c r="H147" i="2"/>
  <c r="I143" i="2"/>
  <c r="H143" i="2"/>
  <c r="I139" i="2"/>
  <c r="H139" i="2"/>
  <c r="I135" i="2"/>
  <c r="H135" i="2"/>
  <c r="I131" i="2"/>
  <c r="H131" i="2"/>
  <c r="I127" i="2"/>
  <c r="H127" i="2"/>
  <c r="I123" i="2"/>
  <c r="H123" i="2"/>
  <c r="I119" i="2"/>
  <c r="H119" i="2"/>
  <c r="I115" i="2"/>
  <c r="H115" i="2"/>
  <c r="I111" i="2"/>
  <c r="H111" i="2"/>
  <c r="I107" i="2"/>
  <c r="H107" i="2"/>
  <c r="I103" i="2"/>
  <c r="H103" i="2"/>
  <c r="I99" i="2"/>
  <c r="H99" i="2"/>
  <c r="I95" i="2"/>
  <c r="H95" i="2"/>
  <c r="I91" i="2"/>
  <c r="H91" i="2"/>
  <c r="I87" i="2"/>
  <c r="H87" i="2"/>
  <c r="I83" i="2"/>
  <c r="H83" i="2"/>
  <c r="I79" i="2"/>
  <c r="H79" i="2"/>
  <c r="I75" i="2"/>
  <c r="H75" i="2"/>
  <c r="I71" i="2"/>
  <c r="H71" i="2"/>
  <c r="I67" i="2"/>
  <c r="H67" i="2"/>
  <c r="I63" i="2"/>
  <c r="H63" i="2"/>
  <c r="I59" i="2"/>
  <c r="H59" i="2"/>
  <c r="I55" i="2"/>
  <c r="H55" i="2"/>
  <c r="I51" i="2"/>
  <c r="H51" i="2"/>
  <c r="I47" i="2"/>
  <c r="H47" i="2"/>
  <c r="I43" i="2"/>
  <c r="H43" i="2"/>
  <c r="I39" i="2"/>
  <c r="H39" i="2"/>
  <c r="I35" i="2"/>
  <c r="H35" i="2"/>
  <c r="I31" i="2"/>
  <c r="H31" i="2"/>
  <c r="H21" i="2"/>
  <c r="H4" i="2"/>
  <c r="H987" i="2"/>
  <c r="H971" i="2"/>
  <c r="H955" i="2"/>
  <c r="H939" i="2"/>
  <c r="H923" i="2"/>
  <c r="H907" i="2"/>
  <c r="H891" i="2"/>
  <c r="H875" i="2"/>
  <c r="H859" i="2"/>
  <c r="H843" i="2"/>
  <c r="H827" i="2"/>
  <c r="H811" i="2"/>
  <c r="H795" i="2"/>
  <c r="H779" i="2"/>
  <c r="I25" i="2"/>
  <c r="H25" i="2"/>
  <c r="H13" i="2"/>
  <c r="I13" i="2"/>
  <c r="I996" i="2"/>
  <c r="H996" i="2"/>
  <c r="I992" i="2"/>
  <c r="H992" i="2"/>
  <c r="I980" i="2"/>
  <c r="H980" i="2"/>
  <c r="I964" i="2"/>
  <c r="H964" i="2"/>
  <c r="I944" i="2"/>
  <c r="H944" i="2"/>
  <c r="I928" i="2"/>
  <c r="H928" i="2"/>
  <c r="I908" i="2"/>
  <c r="H908" i="2"/>
  <c r="I2" i="2"/>
  <c r="H2" i="2"/>
  <c r="I16" i="2"/>
  <c r="H16" i="2"/>
  <c r="I23" i="2"/>
  <c r="H23" i="2"/>
  <c r="I19" i="2"/>
  <c r="H19" i="2"/>
  <c r="I11" i="2"/>
  <c r="H11" i="2"/>
  <c r="I3" i="2"/>
  <c r="H3" i="2"/>
  <c r="I994" i="2"/>
  <c r="H994" i="2"/>
  <c r="I986" i="2"/>
  <c r="H986" i="2"/>
  <c r="I978" i="2"/>
  <c r="H978" i="2"/>
  <c r="I966" i="2"/>
  <c r="H966" i="2"/>
  <c r="I958" i="2"/>
  <c r="H958" i="2"/>
  <c r="I950" i="2"/>
  <c r="H950" i="2"/>
  <c r="I942" i="2"/>
  <c r="H942" i="2"/>
  <c r="I934" i="2"/>
  <c r="H934" i="2"/>
  <c r="I926" i="2"/>
  <c r="H926" i="2"/>
  <c r="I918" i="2"/>
  <c r="H918" i="2"/>
  <c r="I906" i="2"/>
  <c r="H906" i="2"/>
  <c r="I898" i="2"/>
  <c r="H898" i="2"/>
  <c r="I886" i="2"/>
  <c r="H886" i="2"/>
  <c r="I878" i="2"/>
  <c r="H878" i="2"/>
  <c r="I870" i="2"/>
  <c r="H870" i="2"/>
  <c r="I866" i="2"/>
  <c r="H866" i="2"/>
  <c r="I862" i="2"/>
  <c r="H862" i="2"/>
  <c r="I858" i="2"/>
  <c r="H858" i="2"/>
  <c r="I854" i="2"/>
  <c r="H854" i="2"/>
  <c r="I850" i="2"/>
  <c r="H850" i="2"/>
  <c r="I846" i="2"/>
  <c r="H846" i="2"/>
  <c r="I842" i="2"/>
  <c r="H842" i="2"/>
  <c r="I838" i="2"/>
  <c r="H838" i="2"/>
  <c r="I834" i="2"/>
  <c r="H834" i="2"/>
  <c r="I830" i="2"/>
  <c r="H830" i="2"/>
  <c r="I826" i="2"/>
  <c r="H826" i="2"/>
  <c r="I822" i="2"/>
  <c r="H822" i="2"/>
  <c r="I818" i="2"/>
  <c r="H818" i="2"/>
  <c r="I814" i="2"/>
  <c r="H814" i="2"/>
  <c r="I810" i="2"/>
  <c r="H810" i="2"/>
  <c r="I806" i="2"/>
  <c r="H806" i="2"/>
  <c r="I802" i="2"/>
  <c r="H802" i="2"/>
  <c r="I798" i="2"/>
  <c r="H798" i="2"/>
  <c r="I794" i="2"/>
  <c r="H794" i="2"/>
  <c r="I790" i="2"/>
  <c r="H790" i="2"/>
  <c r="I786" i="2"/>
  <c r="H786" i="2"/>
  <c r="I782" i="2"/>
  <c r="H782" i="2"/>
  <c r="I778" i="2"/>
  <c r="H778" i="2"/>
  <c r="I774" i="2"/>
  <c r="H774" i="2"/>
  <c r="I770" i="2"/>
  <c r="H770" i="2"/>
  <c r="I766" i="2"/>
  <c r="H766" i="2"/>
  <c r="I762" i="2"/>
  <c r="H762" i="2"/>
  <c r="I758" i="2"/>
  <c r="H758" i="2"/>
  <c r="I754" i="2"/>
  <c r="H754" i="2"/>
  <c r="I750" i="2"/>
  <c r="H750" i="2"/>
  <c r="I746" i="2"/>
  <c r="H746" i="2"/>
  <c r="I742" i="2"/>
  <c r="H742" i="2"/>
  <c r="I738" i="2"/>
  <c r="H738" i="2"/>
  <c r="I734" i="2"/>
  <c r="H734" i="2"/>
  <c r="I730" i="2"/>
  <c r="H730" i="2"/>
  <c r="I726" i="2"/>
  <c r="H726" i="2"/>
  <c r="I722" i="2"/>
  <c r="H722" i="2"/>
  <c r="I718" i="2"/>
  <c r="H718" i="2"/>
  <c r="I714" i="2"/>
  <c r="H714" i="2"/>
  <c r="I710" i="2"/>
  <c r="H710" i="2"/>
  <c r="I706" i="2"/>
  <c r="H706" i="2"/>
  <c r="I702" i="2"/>
  <c r="H702" i="2"/>
  <c r="I698" i="2"/>
  <c r="H698" i="2"/>
  <c r="I694" i="2"/>
  <c r="H694" i="2"/>
  <c r="I690" i="2"/>
  <c r="H690" i="2"/>
  <c r="I686" i="2"/>
  <c r="H686" i="2"/>
  <c r="I682" i="2"/>
  <c r="H682" i="2"/>
  <c r="I678" i="2"/>
  <c r="H678" i="2"/>
  <c r="I674" i="2"/>
  <c r="H674" i="2"/>
  <c r="I670" i="2"/>
  <c r="H670" i="2"/>
  <c r="I666" i="2"/>
  <c r="H666" i="2"/>
  <c r="I662" i="2"/>
  <c r="H662" i="2"/>
  <c r="I658" i="2"/>
  <c r="H658" i="2"/>
  <c r="I654" i="2"/>
  <c r="H654" i="2"/>
  <c r="I650" i="2"/>
  <c r="H650" i="2"/>
  <c r="I646" i="2"/>
  <c r="H646" i="2"/>
  <c r="I642" i="2"/>
  <c r="H642" i="2"/>
  <c r="I638" i="2"/>
  <c r="H638" i="2"/>
  <c r="I634" i="2"/>
  <c r="H634" i="2"/>
  <c r="I630" i="2"/>
  <c r="H630" i="2"/>
  <c r="I626" i="2"/>
  <c r="H626" i="2"/>
  <c r="I622" i="2"/>
  <c r="H622" i="2"/>
  <c r="I618" i="2"/>
  <c r="H618" i="2"/>
  <c r="I614" i="2"/>
  <c r="H614" i="2"/>
  <c r="I610" i="2"/>
  <c r="H610" i="2"/>
  <c r="I606" i="2"/>
  <c r="H606" i="2"/>
  <c r="I602" i="2"/>
  <c r="H602" i="2"/>
  <c r="I598" i="2"/>
  <c r="H598" i="2"/>
  <c r="I594" i="2"/>
  <c r="H594" i="2"/>
  <c r="I590" i="2"/>
  <c r="H590" i="2"/>
  <c r="I586" i="2"/>
  <c r="H586" i="2"/>
  <c r="I582" i="2"/>
  <c r="H582" i="2"/>
  <c r="I578" i="2"/>
  <c r="H578" i="2"/>
  <c r="I574" i="2"/>
  <c r="H574" i="2"/>
  <c r="I570" i="2"/>
  <c r="H570" i="2"/>
  <c r="H566" i="2"/>
  <c r="I566" i="2"/>
  <c r="I562" i="2"/>
  <c r="H562" i="2"/>
  <c r="I558" i="2"/>
  <c r="H558" i="2"/>
  <c r="I554" i="2"/>
  <c r="H554" i="2"/>
  <c r="I550" i="2"/>
  <c r="H550" i="2"/>
  <c r="I546" i="2"/>
  <c r="H546" i="2"/>
  <c r="I542" i="2"/>
  <c r="H542" i="2"/>
  <c r="I538" i="2"/>
  <c r="H538" i="2"/>
  <c r="I534" i="2"/>
  <c r="H534" i="2"/>
  <c r="I530" i="2"/>
  <c r="H530" i="2"/>
  <c r="I526" i="2"/>
  <c r="H526" i="2"/>
  <c r="I522" i="2"/>
  <c r="H522" i="2"/>
  <c r="I518" i="2"/>
  <c r="H518" i="2"/>
  <c r="I514" i="2"/>
  <c r="H514" i="2"/>
  <c r="I510" i="2"/>
  <c r="H510" i="2"/>
  <c r="H506" i="2"/>
  <c r="I506" i="2"/>
  <c r="I502" i="2"/>
  <c r="H502" i="2"/>
  <c r="I498" i="2"/>
  <c r="H498" i="2"/>
  <c r="I494" i="2"/>
  <c r="H494" i="2"/>
  <c r="I490" i="2"/>
  <c r="H490" i="2"/>
  <c r="I486" i="2"/>
  <c r="H486" i="2"/>
  <c r="I482" i="2"/>
  <c r="H482" i="2"/>
  <c r="I478" i="2"/>
  <c r="H478" i="2"/>
  <c r="I474" i="2"/>
  <c r="H474" i="2"/>
  <c r="I470" i="2"/>
  <c r="H470" i="2"/>
  <c r="I466" i="2"/>
  <c r="H466" i="2"/>
  <c r="I462" i="2"/>
  <c r="H462" i="2"/>
  <c r="I458" i="2"/>
  <c r="H458" i="2"/>
  <c r="I454" i="2"/>
  <c r="H454" i="2"/>
  <c r="I450" i="2"/>
  <c r="H450" i="2"/>
  <c r="I446" i="2"/>
  <c r="H446" i="2"/>
  <c r="H442" i="2"/>
  <c r="I442" i="2"/>
  <c r="I438" i="2"/>
  <c r="H438" i="2"/>
  <c r="I434" i="2"/>
  <c r="H434" i="2"/>
  <c r="I430" i="2"/>
  <c r="H430" i="2"/>
  <c r="I426" i="2"/>
  <c r="H426" i="2"/>
  <c r="I422" i="2"/>
  <c r="H422" i="2"/>
  <c r="I418" i="2"/>
  <c r="H418" i="2"/>
  <c r="I414" i="2"/>
  <c r="H414" i="2"/>
  <c r="I410" i="2"/>
  <c r="H410" i="2"/>
  <c r="I406" i="2"/>
  <c r="H406" i="2"/>
  <c r="I402" i="2"/>
  <c r="H402" i="2"/>
  <c r="I398" i="2"/>
  <c r="H398" i="2"/>
  <c r="I394" i="2"/>
  <c r="H394" i="2"/>
  <c r="I390" i="2"/>
  <c r="H390" i="2"/>
  <c r="I386" i="2"/>
  <c r="H386" i="2"/>
  <c r="I382" i="2"/>
  <c r="H382" i="2"/>
  <c r="H378" i="2"/>
  <c r="I378" i="2"/>
  <c r="I374" i="2"/>
  <c r="H374" i="2"/>
  <c r="I370" i="2"/>
  <c r="H370" i="2"/>
  <c r="I366" i="2"/>
  <c r="H366" i="2"/>
  <c r="I362" i="2"/>
  <c r="H362" i="2"/>
  <c r="I358" i="2"/>
  <c r="H358" i="2"/>
  <c r="I354" i="2"/>
  <c r="H354" i="2"/>
  <c r="I350" i="2"/>
  <c r="H350" i="2"/>
  <c r="I346" i="2"/>
  <c r="H346" i="2"/>
  <c r="I342" i="2"/>
  <c r="H342" i="2"/>
  <c r="I338" i="2"/>
  <c r="H338" i="2"/>
  <c r="I334" i="2"/>
  <c r="H334" i="2"/>
  <c r="I330" i="2"/>
  <c r="H330" i="2"/>
  <c r="I326" i="2"/>
  <c r="H326" i="2"/>
  <c r="I322" i="2"/>
  <c r="H322" i="2"/>
  <c r="I318" i="2"/>
  <c r="H318" i="2"/>
  <c r="I314" i="2"/>
  <c r="H314" i="2"/>
  <c r="I310" i="2"/>
  <c r="H310" i="2"/>
  <c r="I306" i="2"/>
  <c r="H306" i="2"/>
  <c r="I302" i="2"/>
  <c r="H302" i="2"/>
  <c r="I298" i="2"/>
  <c r="H298" i="2"/>
  <c r="I294" i="2"/>
  <c r="H294" i="2"/>
  <c r="I290" i="2"/>
  <c r="H290" i="2"/>
  <c r="I286" i="2"/>
  <c r="H286" i="2"/>
  <c r="I282" i="2"/>
  <c r="H282" i="2"/>
  <c r="I278" i="2"/>
  <c r="H278" i="2"/>
  <c r="I274" i="2"/>
  <c r="H274" i="2"/>
  <c r="I270" i="2"/>
  <c r="H270" i="2"/>
  <c r="I266" i="2"/>
  <c r="H266" i="2"/>
  <c r="I262" i="2"/>
  <c r="H262" i="2"/>
  <c r="I258" i="2"/>
  <c r="H258" i="2"/>
  <c r="I254" i="2"/>
  <c r="H254" i="2"/>
  <c r="I250" i="2"/>
  <c r="H250" i="2"/>
  <c r="I246" i="2"/>
  <c r="H246" i="2"/>
  <c r="I242" i="2"/>
  <c r="H242" i="2"/>
  <c r="I238" i="2"/>
  <c r="H238" i="2"/>
  <c r="I234" i="2"/>
  <c r="H234" i="2"/>
  <c r="I230" i="2"/>
  <c r="H230" i="2"/>
  <c r="I226" i="2"/>
  <c r="H226" i="2"/>
  <c r="I222" i="2"/>
  <c r="H222" i="2"/>
  <c r="I218" i="2"/>
  <c r="H218" i="2"/>
  <c r="I214" i="2"/>
  <c r="H214" i="2"/>
  <c r="I210" i="2"/>
  <c r="H210" i="2"/>
  <c r="I206" i="2"/>
  <c r="H206" i="2"/>
  <c r="I202" i="2"/>
  <c r="H202" i="2"/>
  <c r="I198" i="2"/>
  <c r="H198" i="2"/>
  <c r="I194" i="2"/>
  <c r="H194" i="2"/>
  <c r="I190" i="2"/>
  <c r="H190" i="2"/>
  <c r="I186" i="2"/>
  <c r="H186" i="2"/>
  <c r="I182" i="2"/>
  <c r="H182" i="2"/>
  <c r="I178" i="2"/>
  <c r="H178" i="2"/>
  <c r="I174" i="2"/>
  <c r="H174" i="2"/>
  <c r="I170" i="2"/>
  <c r="H170" i="2"/>
  <c r="I166" i="2"/>
  <c r="H166" i="2"/>
  <c r="I162" i="2"/>
  <c r="H162" i="2"/>
  <c r="I158" i="2"/>
  <c r="H158" i="2"/>
  <c r="I154" i="2"/>
  <c r="H154" i="2"/>
  <c r="I150" i="2"/>
  <c r="H150" i="2"/>
  <c r="I146" i="2"/>
  <c r="H146" i="2"/>
  <c r="I142" i="2"/>
  <c r="H142" i="2"/>
  <c r="I138" i="2"/>
  <c r="H138" i="2"/>
  <c r="I134" i="2"/>
  <c r="H134" i="2"/>
  <c r="I130" i="2"/>
  <c r="H130" i="2"/>
  <c r="I126" i="2"/>
  <c r="H126" i="2"/>
  <c r="I122" i="2"/>
  <c r="H122" i="2"/>
  <c r="I118" i="2"/>
  <c r="H118" i="2"/>
  <c r="I114" i="2"/>
  <c r="H114" i="2"/>
  <c r="I110" i="2"/>
  <c r="H110" i="2"/>
  <c r="I106" i="2"/>
  <c r="H106" i="2"/>
  <c r="I102" i="2"/>
  <c r="H102" i="2"/>
  <c r="I98" i="2"/>
  <c r="H98" i="2"/>
  <c r="I94" i="2"/>
  <c r="H94" i="2"/>
  <c r="I90" i="2"/>
  <c r="H90" i="2"/>
  <c r="I86" i="2"/>
  <c r="H86" i="2"/>
  <c r="I82" i="2"/>
  <c r="H82" i="2"/>
  <c r="I78" i="2"/>
  <c r="H78" i="2"/>
  <c r="I74" i="2"/>
  <c r="H74" i="2"/>
  <c r="I70" i="2"/>
  <c r="H70" i="2"/>
  <c r="I66" i="2"/>
  <c r="H66" i="2"/>
  <c r="I62" i="2"/>
  <c r="H62" i="2"/>
  <c r="I58" i="2"/>
  <c r="H58" i="2"/>
  <c r="I54" i="2"/>
  <c r="H54" i="2"/>
  <c r="I50" i="2"/>
  <c r="H50" i="2"/>
  <c r="I46" i="2"/>
  <c r="H46" i="2"/>
  <c r="I42" i="2"/>
  <c r="H42" i="2"/>
  <c r="I38" i="2"/>
  <c r="H38" i="2"/>
  <c r="I34" i="2"/>
  <c r="H34" i="2"/>
  <c r="I30" i="2"/>
  <c r="H30" i="2"/>
  <c r="H17" i="2"/>
  <c r="H999" i="2"/>
  <c r="H983" i="2"/>
  <c r="H967" i="2"/>
  <c r="H951" i="2"/>
  <c r="H935" i="2"/>
  <c r="H919" i="2"/>
  <c r="H903" i="2"/>
  <c r="H887" i="2"/>
  <c r="H871" i="2"/>
  <c r="H855" i="2"/>
  <c r="H839" i="2"/>
  <c r="H823" i="2"/>
  <c r="H807" i="2"/>
  <c r="H791" i="2"/>
  <c r="H775" i="2"/>
  <c r="I9" i="2"/>
  <c r="H9" i="2"/>
  <c r="I984" i="2"/>
  <c r="H984" i="2"/>
  <c r="I960" i="2"/>
  <c r="H960" i="2"/>
  <c r="I952" i="2"/>
  <c r="H952" i="2"/>
  <c r="I936" i="2"/>
  <c r="H936" i="2"/>
  <c r="I916" i="2"/>
  <c r="H916" i="2"/>
  <c r="I896" i="2"/>
  <c r="H896" i="2"/>
  <c r="I20" i="2"/>
  <c r="H20" i="2"/>
  <c r="I27" i="2"/>
  <c r="H27" i="2"/>
  <c r="I15" i="2"/>
  <c r="H15" i="2"/>
  <c r="I7" i="2"/>
  <c r="H7" i="2"/>
  <c r="I998" i="2"/>
  <c r="H998" i="2"/>
  <c r="I990" i="2"/>
  <c r="H990" i="2"/>
  <c r="I982" i="2"/>
  <c r="H982" i="2"/>
  <c r="I974" i="2"/>
  <c r="H974" i="2"/>
  <c r="I970" i="2"/>
  <c r="H970" i="2"/>
  <c r="I962" i="2"/>
  <c r="H962" i="2"/>
  <c r="I954" i="2"/>
  <c r="H954" i="2"/>
  <c r="I946" i="2"/>
  <c r="H946" i="2"/>
  <c r="I938" i="2"/>
  <c r="H938" i="2"/>
  <c r="I930" i="2"/>
  <c r="H930" i="2"/>
  <c r="I922" i="2"/>
  <c r="H922" i="2"/>
  <c r="I914" i="2"/>
  <c r="H914" i="2"/>
  <c r="I910" i="2"/>
  <c r="H910" i="2"/>
  <c r="I902" i="2"/>
  <c r="H902" i="2"/>
  <c r="I894" i="2"/>
  <c r="H894" i="2"/>
  <c r="I890" i="2"/>
  <c r="H890" i="2"/>
  <c r="I882" i="2"/>
  <c r="H882" i="2"/>
  <c r="I874" i="2"/>
  <c r="H874" i="2"/>
  <c r="I26" i="2"/>
  <c r="H26" i="2"/>
  <c r="I22" i="2"/>
  <c r="H22" i="2"/>
  <c r="I18" i="2"/>
  <c r="H18" i="2"/>
  <c r="I14" i="2"/>
  <c r="H14" i="2"/>
  <c r="I10" i="2"/>
  <c r="H10" i="2"/>
  <c r="I6" i="2"/>
  <c r="H6" i="2"/>
  <c r="I1001" i="2"/>
  <c r="H1001" i="2"/>
  <c r="I997" i="2"/>
  <c r="H997" i="2"/>
  <c r="I993" i="2"/>
  <c r="H993" i="2"/>
  <c r="I989" i="2"/>
  <c r="H989" i="2"/>
  <c r="I985" i="2"/>
  <c r="H985" i="2"/>
  <c r="I981" i="2"/>
  <c r="H981" i="2"/>
  <c r="I977" i="2"/>
  <c r="H977" i="2"/>
  <c r="I973" i="2"/>
  <c r="H973" i="2"/>
  <c r="I969" i="2"/>
  <c r="H969" i="2"/>
  <c r="I965" i="2"/>
  <c r="H965" i="2"/>
  <c r="I961" i="2"/>
  <c r="H961" i="2"/>
  <c r="I957" i="2"/>
  <c r="H957" i="2"/>
  <c r="I953" i="2"/>
  <c r="H953" i="2"/>
  <c r="I949" i="2"/>
  <c r="H949" i="2"/>
  <c r="I945" i="2"/>
  <c r="H945" i="2"/>
  <c r="I941" i="2"/>
  <c r="H941" i="2"/>
  <c r="I937" i="2"/>
  <c r="H937" i="2"/>
  <c r="I933" i="2"/>
  <c r="H933" i="2"/>
  <c r="I929" i="2"/>
  <c r="H929" i="2"/>
  <c r="I925" i="2"/>
  <c r="H925" i="2"/>
  <c r="I921" i="2"/>
  <c r="H921" i="2"/>
  <c r="I917" i="2"/>
  <c r="H917" i="2"/>
  <c r="I913" i="2"/>
  <c r="H913" i="2"/>
  <c r="I909" i="2"/>
  <c r="H909" i="2"/>
  <c r="I905" i="2"/>
  <c r="H905" i="2"/>
  <c r="I901" i="2"/>
  <c r="H901" i="2"/>
  <c r="I897" i="2"/>
  <c r="H897" i="2"/>
  <c r="I893" i="2"/>
  <c r="H893" i="2"/>
  <c r="I889" i="2"/>
  <c r="H889" i="2"/>
  <c r="I885" i="2"/>
  <c r="H885" i="2"/>
  <c r="I881" i="2"/>
  <c r="H881" i="2"/>
  <c r="I877" i="2"/>
  <c r="H877" i="2"/>
  <c r="I873" i="2"/>
  <c r="H873" i="2"/>
  <c r="I869" i="2"/>
  <c r="H869" i="2"/>
  <c r="I865" i="2"/>
  <c r="H865" i="2"/>
  <c r="I861" i="2"/>
  <c r="H861" i="2"/>
  <c r="I857" i="2"/>
  <c r="H857" i="2"/>
  <c r="I853" i="2"/>
  <c r="H853" i="2"/>
  <c r="I849" i="2"/>
  <c r="H849" i="2"/>
  <c r="I845" i="2"/>
  <c r="H845" i="2"/>
  <c r="I841" i="2"/>
  <c r="H841" i="2"/>
  <c r="I837" i="2"/>
  <c r="H837" i="2"/>
  <c r="I833" i="2"/>
  <c r="H833" i="2"/>
  <c r="I829" i="2"/>
  <c r="H829" i="2"/>
  <c r="I825" i="2"/>
  <c r="H825" i="2"/>
  <c r="I821" i="2"/>
  <c r="H821" i="2"/>
  <c r="I817" i="2"/>
  <c r="H817" i="2"/>
  <c r="I813" i="2"/>
  <c r="H813" i="2"/>
  <c r="I809" i="2"/>
  <c r="H809" i="2"/>
  <c r="I805" i="2"/>
  <c r="H805" i="2"/>
  <c r="I801" i="2"/>
  <c r="H801" i="2"/>
  <c r="I797" i="2"/>
  <c r="H797" i="2"/>
  <c r="I793" i="2"/>
  <c r="H793" i="2"/>
  <c r="I789" i="2"/>
  <c r="H789" i="2"/>
  <c r="I785" i="2"/>
  <c r="H785" i="2"/>
  <c r="I781" i="2"/>
  <c r="H781" i="2"/>
  <c r="I777" i="2"/>
  <c r="H777" i="2"/>
  <c r="I773" i="2"/>
  <c r="H773" i="2"/>
  <c r="I769" i="2"/>
  <c r="H769" i="2"/>
  <c r="I765" i="2"/>
  <c r="H765" i="2"/>
  <c r="I761" i="2"/>
  <c r="H761" i="2"/>
  <c r="I757" i="2"/>
  <c r="H757" i="2"/>
  <c r="I753" i="2"/>
  <c r="H753" i="2"/>
  <c r="I749" i="2"/>
  <c r="H749" i="2"/>
  <c r="I745" i="2"/>
  <c r="H745" i="2"/>
  <c r="I741" i="2"/>
  <c r="H741" i="2"/>
  <c r="I737" i="2"/>
  <c r="H737" i="2"/>
  <c r="I733" i="2"/>
  <c r="H733" i="2"/>
  <c r="I729" i="2"/>
  <c r="H729" i="2"/>
  <c r="I725" i="2"/>
  <c r="H725" i="2"/>
  <c r="I721" i="2"/>
  <c r="H721" i="2"/>
  <c r="I717" i="2"/>
  <c r="H717" i="2"/>
  <c r="I713" i="2"/>
  <c r="H713" i="2"/>
  <c r="I709" i="2"/>
  <c r="H709" i="2"/>
  <c r="I705" i="2"/>
  <c r="H705" i="2"/>
  <c r="I701" i="2"/>
  <c r="H701" i="2"/>
  <c r="I697" i="2"/>
  <c r="H697" i="2"/>
  <c r="I693" i="2"/>
  <c r="H693" i="2"/>
  <c r="I689" i="2"/>
  <c r="H689" i="2"/>
  <c r="I685" i="2"/>
  <c r="H685" i="2"/>
  <c r="I681" i="2"/>
  <c r="H681" i="2"/>
  <c r="I677" i="2"/>
  <c r="H677" i="2"/>
  <c r="I673" i="2"/>
  <c r="H673" i="2"/>
  <c r="I669" i="2"/>
  <c r="H669" i="2"/>
  <c r="I665" i="2"/>
  <c r="H665" i="2"/>
  <c r="I661" i="2"/>
  <c r="H661" i="2"/>
  <c r="I657" i="2"/>
  <c r="H657" i="2"/>
  <c r="I653" i="2"/>
  <c r="H653" i="2"/>
  <c r="I649" i="2"/>
  <c r="H649" i="2"/>
  <c r="I645" i="2"/>
  <c r="H645" i="2"/>
  <c r="I641" i="2"/>
  <c r="H641" i="2"/>
  <c r="I637" i="2"/>
  <c r="H637" i="2"/>
  <c r="I633" i="2"/>
  <c r="H633" i="2"/>
  <c r="I629" i="2"/>
  <c r="H629" i="2"/>
  <c r="I625" i="2"/>
  <c r="H625" i="2"/>
  <c r="I621" i="2"/>
  <c r="H621" i="2"/>
  <c r="I617" i="2"/>
  <c r="H617" i="2"/>
  <c r="I613" i="2"/>
  <c r="H613" i="2"/>
  <c r="I609" i="2"/>
  <c r="H609" i="2"/>
  <c r="I605" i="2"/>
  <c r="H605" i="2"/>
  <c r="I601" i="2"/>
  <c r="H601" i="2"/>
  <c r="I597" i="2"/>
  <c r="H597" i="2"/>
  <c r="I593" i="2"/>
  <c r="H593" i="2"/>
  <c r="I589" i="2"/>
  <c r="H589" i="2"/>
  <c r="I585" i="2"/>
  <c r="H585" i="2"/>
  <c r="I581" i="2"/>
  <c r="H581" i="2"/>
  <c r="I577" i="2"/>
  <c r="H577" i="2"/>
  <c r="I573" i="2"/>
  <c r="H573" i="2"/>
  <c r="I569" i="2"/>
  <c r="H569" i="2"/>
  <c r="I565" i="2"/>
  <c r="H565" i="2"/>
  <c r="I561" i="2"/>
  <c r="H561" i="2"/>
  <c r="I557" i="2"/>
  <c r="H557" i="2"/>
  <c r="I553" i="2"/>
  <c r="H553" i="2"/>
  <c r="I549" i="2"/>
  <c r="H549" i="2"/>
  <c r="I545" i="2"/>
  <c r="H545" i="2"/>
  <c r="I541" i="2"/>
  <c r="H541" i="2"/>
  <c r="I537" i="2"/>
  <c r="H537" i="2"/>
  <c r="I533" i="2"/>
  <c r="H533" i="2"/>
  <c r="I529" i="2"/>
  <c r="H529" i="2"/>
  <c r="I525" i="2"/>
  <c r="H525" i="2"/>
  <c r="I521" i="2"/>
  <c r="H521" i="2"/>
  <c r="I517" i="2"/>
  <c r="H517" i="2"/>
  <c r="I513" i="2"/>
  <c r="H513" i="2"/>
  <c r="I509" i="2"/>
  <c r="H509" i="2"/>
  <c r="I505" i="2"/>
  <c r="H505" i="2"/>
  <c r="I501" i="2"/>
  <c r="H501" i="2"/>
  <c r="I497" i="2"/>
  <c r="H497" i="2"/>
  <c r="I493" i="2"/>
  <c r="H493" i="2"/>
  <c r="I489" i="2"/>
  <c r="H489" i="2"/>
  <c r="I485" i="2"/>
  <c r="H485" i="2"/>
  <c r="I481" i="2"/>
  <c r="H481" i="2"/>
  <c r="I477" i="2"/>
  <c r="H477" i="2"/>
  <c r="I473" i="2"/>
  <c r="H473" i="2"/>
  <c r="I469" i="2"/>
  <c r="H469" i="2"/>
  <c r="I465" i="2"/>
  <c r="H465" i="2"/>
  <c r="I461" i="2"/>
  <c r="H461" i="2"/>
  <c r="I457" i="2"/>
  <c r="H457" i="2"/>
  <c r="I453" i="2"/>
  <c r="H453" i="2"/>
  <c r="I449" i="2"/>
  <c r="H449" i="2"/>
  <c r="I445" i="2"/>
  <c r="H445" i="2"/>
  <c r="I441" i="2"/>
  <c r="H441" i="2"/>
  <c r="I437" i="2"/>
  <c r="H437" i="2"/>
  <c r="I433" i="2"/>
  <c r="H433" i="2"/>
  <c r="I429" i="2"/>
  <c r="H429" i="2"/>
  <c r="I425" i="2"/>
  <c r="H425" i="2"/>
  <c r="I421" i="2"/>
  <c r="H421" i="2"/>
  <c r="I417" i="2"/>
  <c r="H417" i="2"/>
  <c r="I413" i="2"/>
  <c r="H413" i="2"/>
  <c r="I409" i="2"/>
  <c r="H409" i="2"/>
  <c r="I405" i="2"/>
  <c r="H405" i="2"/>
  <c r="I401" i="2"/>
  <c r="H401" i="2"/>
  <c r="I397" i="2"/>
  <c r="H397" i="2"/>
  <c r="I393" i="2"/>
  <c r="H393" i="2"/>
  <c r="I389" i="2"/>
  <c r="H389" i="2"/>
  <c r="I385" i="2"/>
  <c r="H385" i="2"/>
  <c r="I381" i="2"/>
  <c r="H381" i="2"/>
  <c r="I377" i="2"/>
  <c r="H377" i="2"/>
  <c r="I373" i="2"/>
  <c r="H373" i="2"/>
  <c r="I369" i="2"/>
  <c r="H369" i="2"/>
  <c r="I365" i="2"/>
  <c r="H365" i="2"/>
  <c r="I361" i="2"/>
  <c r="H361" i="2"/>
  <c r="I357" i="2"/>
  <c r="H357" i="2"/>
  <c r="I353" i="2"/>
  <c r="H353" i="2"/>
  <c r="I349" i="2"/>
  <c r="H349" i="2"/>
  <c r="I345" i="2"/>
  <c r="H345" i="2"/>
  <c r="I341" i="2"/>
  <c r="H341" i="2"/>
  <c r="I337" i="2"/>
  <c r="H337" i="2"/>
  <c r="I333" i="2"/>
  <c r="H333" i="2"/>
  <c r="I329" i="2"/>
  <c r="H329" i="2"/>
  <c r="I325" i="2"/>
  <c r="H325" i="2"/>
  <c r="I321" i="2"/>
  <c r="H321" i="2"/>
  <c r="I317" i="2"/>
  <c r="H317" i="2"/>
  <c r="I313" i="2"/>
  <c r="H313" i="2"/>
  <c r="I309" i="2"/>
  <c r="H309" i="2"/>
  <c r="I305" i="2"/>
  <c r="H305" i="2"/>
  <c r="I301" i="2"/>
  <c r="H301" i="2"/>
  <c r="I297" i="2"/>
  <c r="H297" i="2"/>
  <c r="I293" i="2"/>
  <c r="H293" i="2"/>
  <c r="I289" i="2"/>
  <c r="H289" i="2"/>
  <c r="I285" i="2"/>
  <c r="H285" i="2"/>
  <c r="I281" i="2"/>
  <c r="H281" i="2"/>
  <c r="I277" i="2"/>
  <c r="H277" i="2"/>
  <c r="I273" i="2"/>
  <c r="H273" i="2"/>
  <c r="I269" i="2"/>
  <c r="H269" i="2"/>
  <c r="I265" i="2"/>
  <c r="H265" i="2"/>
  <c r="I261" i="2"/>
  <c r="H261" i="2"/>
  <c r="H257" i="2"/>
  <c r="I257" i="2"/>
  <c r="I253" i="2"/>
  <c r="H253" i="2"/>
  <c r="I249" i="2"/>
  <c r="H249" i="2"/>
  <c r="I245" i="2"/>
  <c r="H245" i="2"/>
  <c r="I241" i="2"/>
  <c r="H241" i="2"/>
  <c r="I237" i="2"/>
  <c r="H237" i="2"/>
  <c r="I233" i="2"/>
  <c r="H233" i="2"/>
  <c r="I229" i="2"/>
  <c r="H229" i="2"/>
  <c r="I225" i="2"/>
  <c r="H225" i="2"/>
  <c r="I221" i="2"/>
  <c r="H221" i="2"/>
  <c r="I217" i="2"/>
  <c r="H217" i="2"/>
  <c r="I213" i="2"/>
  <c r="H213" i="2"/>
  <c r="I209" i="2"/>
  <c r="H209" i="2"/>
  <c r="I205" i="2"/>
  <c r="H205" i="2"/>
  <c r="I201" i="2"/>
  <c r="H201" i="2"/>
  <c r="I197" i="2"/>
  <c r="H197" i="2"/>
  <c r="H193" i="2"/>
  <c r="I193" i="2"/>
  <c r="I189" i="2"/>
  <c r="H189" i="2"/>
  <c r="I185" i="2"/>
  <c r="H185" i="2"/>
  <c r="I181" i="2"/>
  <c r="H181" i="2"/>
  <c r="H177" i="2"/>
  <c r="I177" i="2"/>
  <c r="I173" i="2"/>
  <c r="H173" i="2"/>
  <c r="I169" i="2"/>
  <c r="H169" i="2"/>
  <c r="I165" i="2"/>
  <c r="H165" i="2"/>
  <c r="H161" i="2"/>
  <c r="I161" i="2"/>
  <c r="I157" i="2"/>
  <c r="H157" i="2"/>
  <c r="I153" i="2"/>
  <c r="H153" i="2"/>
  <c r="I149" i="2"/>
  <c r="H149" i="2"/>
  <c r="I145" i="2"/>
  <c r="H145" i="2"/>
  <c r="I141" i="2"/>
  <c r="H141" i="2"/>
  <c r="I137" i="2"/>
  <c r="H137" i="2"/>
  <c r="I133" i="2"/>
  <c r="H133" i="2"/>
  <c r="H129" i="2"/>
  <c r="I129" i="2"/>
  <c r="I125" i="2"/>
  <c r="H125" i="2"/>
  <c r="I121" i="2"/>
  <c r="H121" i="2"/>
  <c r="I117" i="2"/>
  <c r="H117" i="2"/>
  <c r="H113" i="2"/>
  <c r="I113" i="2"/>
  <c r="I109" i="2"/>
  <c r="H109" i="2"/>
  <c r="I105" i="2"/>
  <c r="H105" i="2"/>
  <c r="I101" i="2"/>
  <c r="H101" i="2"/>
  <c r="H97" i="2"/>
  <c r="I97" i="2"/>
  <c r="I93" i="2"/>
  <c r="H93" i="2"/>
  <c r="I89" i="2"/>
  <c r="H89" i="2"/>
  <c r="I85" i="2"/>
  <c r="H85" i="2"/>
  <c r="I81" i="2"/>
  <c r="H81" i="2"/>
  <c r="I77" i="2"/>
  <c r="H77" i="2"/>
  <c r="I73" i="2"/>
  <c r="H73" i="2"/>
  <c r="I69" i="2"/>
  <c r="H69" i="2"/>
  <c r="H65" i="2"/>
  <c r="I65" i="2"/>
  <c r="I61" i="2"/>
  <c r="H61" i="2"/>
  <c r="I57" i="2"/>
  <c r="H57" i="2"/>
  <c r="I53" i="2"/>
  <c r="H53" i="2"/>
  <c r="H49" i="2"/>
  <c r="I49" i="2"/>
  <c r="I45" i="2"/>
  <c r="H45" i="2"/>
  <c r="I41" i="2"/>
  <c r="H41" i="2"/>
  <c r="I37" i="2"/>
  <c r="H37" i="2"/>
  <c r="H33" i="2"/>
  <c r="I33" i="2"/>
  <c r="I29" i="2"/>
  <c r="H29" i="2"/>
  <c r="H12" i="2"/>
  <c r="H995" i="2"/>
  <c r="H979" i="2"/>
  <c r="H963" i="2"/>
  <c r="H947" i="2"/>
  <c r="H931" i="2"/>
  <c r="H915" i="2"/>
  <c r="H899" i="2"/>
  <c r="H883" i="2"/>
  <c r="H867" i="2"/>
  <c r="H851" i="2"/>
  <c r="H835" i="2"/>
  <c r="H819" i="2"/>
  <c r="H803" i="2"/>
  <c r="H787" i="2"/>
  <c r="H771" i="2"/>
</calcChain>
</file>

<file path=xl/sharedStrings.xml><?xml version="1.0" encoding="utf-8"?>
<sst xmlns="http://schemas.openxmlformats.org/spreadsheetml/2006/main" count="17132" uniqueCount="2107">
  <si>
    <t>Customer_ID</t>
  </si>
  <si>
    <t>Age</t>
  </si>
  <si>
    <t>Gender</t>
  </si>
  <si>
    <t>Income_Level</t>
  </si>
  <si>
    <t>Marital_Status</t>
  </si>
  <si>
    <t>Education_Level</t>
  </si>
  <si>
    <t>Occupation</t>
  </si>
  <si>
    <t>Location</t>
  </si>
  <si>
    <t>Purchase_Category</t>
  </si>
  <si>
    <t>Purchase_Amount</t>
  </si>
  <si>
    <t>Frequency_of_Purchase</t>
  </si>
  <si>
    <t>Purchase_Channel</t>
  </si>
  <si>
    <t>Brand_Loyalty</t>
  </si>
  <si>
    <t>Product_Rating</t>
  </si>
  <si>
    <t>Time_Spent_on_Product_Research(hours)</t>
  </si>
  <si>
    <t>Social_Media_Influence</t>
  </si>
  <si>
    <t>Discount_Sensitivity</t>
  </si>
  <si>
    <t>Return_Rate</t>
  </si>
  <si>
    <t>Customer_Satisfaction</t>
  </si>
  <si>
    <t>Engagement_with_Ads</t>
  </si>
  <si>
    <t>Device_Used_for_Shopping</t>
  </si>
  <si>
    <t>Payment_Method</t>
  </si>
  <si>
    <t>Time_of_Purchase</t>
  </si>
  <si>
    <t>Discount_Used</t>
  </si>
  <si>
    <t>Customer_Loyalty_Program_Member</t>
  </si>
  <si>
    <t>Purchase_Intent</t>
  </si>
  <si>
    <t>Shipping_Preference</t>
  </si>
  <si>
    <t>Time_to_Decision</t>
  </si>
  <si>
    <t>37-611-6911</t>
  </si>
  <si>
    <t>Female</t>
  </si>
  <si>
    <t>Middle</t>
  </si>
  <si>
    <t>Married</t>
  </si>
  <si>
    <t>Bachelor's</t>
  </si>
  <si>
    <t>Ã‰vry</t>
  </si>
  <si>
    <t>Gardening &amp; Outdoors</t>
  </si>
  <si>
    <t>Mixed</t>
  </si>
  <si>
    <t>None</t>
  </si>
  <si>
    <t>Somewhat Sensitive</t>
  </si>
  <si>
    <t>Tablet</t>
  </si>
  <si>
    <t>Credit Card</t>
  </si>
  <si>
    <t>Need-based</t>
  </si>
  <si>
    <t>No Preference</t>
  </si>
  <si>
    <t>29-392-9296</t>
  </si>
  <si>
    <t>Male</t>
  </si>
  <si>
    <t>High</t>
  </si>
  <si>
    <t>High School</t>
  </si>
  <si>
    <t>Huocheng</t>
  </si>
  <si>
    <t>Food &amp; Beverages</t>
  </si>
  <si>
    <t>In-Store</t>
  </si>
  <si>
    <t>Medium</t>
  </si>
  <si>
    <t>Not Sensitive</t>
  </si>
  <si>
    <t>PayPal</t>
  </si>
  <si>
    <t>Wants-based</t>
  </si>
  <si>
    <t>Standard</t>
  </si>
  <si>
    <t>84-649-5117</t>
  </si>
  <si>
    <t>Single</t>
  </si>
  <si>
    <t>Master's</t>
  </si>
  <si>
    <t>Huzhen</t>
  </si>
  <si>
    <t>Office Supplies</t>
  </si>
  <si>
    <t>Low</t>
  </si>
  <si>
    <t>Smartphone</t>
  </si>
  <si>
    <t>Debit Card</t>
  </si>
  <si>
    <t>Impulsive</t>
  </si>
  <si>
    <t>48-980-6078</t>
  </si>
  <si>
    <t>WiwilÃ­</t>
  </si>
  <si>
    <t>Home Appliances</t>
  </si>
  <si>
    <t>Other</t>
  </si>
  <si>
    <t>Express</t>
  </si>
  <si>
    <t>91-170-9072</t>
  </si>
  <si>
    <t>Widowed</t>
  </si>
  <si>
    <t>Nara</t>
  </si>
  <si>
    <t>Furniture</t>
  </si>
  <si>
    <t>82-561-4233</t>
  </si>
  <si>
    <t>Boro Utara</t>
  </si>
  <si>
    <t>Planned</t>
  </si>
  <si>
    <t>90-144-9193</t>
  </si>
  <si>
    <t>Divorced</t>
  </si>
  <si>
    <t>Liren</t>
  </si>
  <si>
    <t>Online</t>
  </si>
  <si>
    <t>Desktop</t>
  </si>
  <si>
    <t>88-661-4689</t>
  </si>
  <si>
    <t>Taocheng</t>
  </si>
  <si>
    <t>Books</t>
  </si>
  <si>
    <t>37-065-3182</t>
  </si>
  <si>
    <t>GrÃ¥bo</t>
  </si>
  <si>
    <t>Very Sensitive</t>
  </si>
  <si>
    <t>Cash</t>
  </si>
  <si>
    <t>84-894-9222</t>
  </si>
  <si>
    <t>Bigender</t>
  </si>
  <si>
    <t>Pryamitsyno</t>
  </si>
  <si>
    <t>Sports &amp; Outdoors</t>
  </si>
  <si>
    <t>44-674-4037</t>
  </si>
  <si>
    <t>Punta Gorda</t>
  </si>
  <si>
    <t>Mobile Accessories</t>
  </si>
  <si>
    <t>78-116-8349</t>
  </si>
  <si>
    <t>GyÅ‘r</t>
  </si>
  <si>
    <t>19-933-8095</t>
  </si>
  <si>
    <t>Gaosheng</t>
  </si>
  <si>
    <t>Luxury Goods</t>
  </si>
  <si>
    <t>80-684-5072</t>
  </si>
  <si>
    <t>Rokytne</t>
  </si>
  <si>
    <t>Animal Feed</t>
  </si>
  <si>
    <t>23-302-7502</t>
  </si>
  <si>
    <t>Alameda</t>
  </si>
  <si>
    <t>Health Care</t>
  </si>
  <si>
    <t>90-069-8934</t>
  </si>
  <si>
    <t>DhankutÄ</t>
  </si>
  <si>
    <t>Hotels</t>
  </si>
  <si>
    <t>45-073-7243</t>
  </si>
  <si>
    <t>Jindong</t>
  </si>
  <si>
    <t>89-883-2101</t>
  </si>
  <si>
    <t>Ngeru</t>
  </si>
  <si>
    <t>00-477-9449</t>
  </si>
  <si>
    <t>White Rock</t>
  </si>
  <si>
    <t>Packages)</t>
  </si>
  <si>
    <t>67-159-7366</t>
  </si>
  <si>
    <t>Monastyrshchina</t>
  </si>
  <si>
    <t>Electronics</t>
  </si>
  <si>
    <t>85-691-4293</t>
  </si>
  <si>
    <t>Pangkalanbunut</t>
  </si>
  <si>
    <t>Software &amp; Apps</t>
  </si>
  <si>
    <t>56-085-0464</t>
  </si>
  <si>
    <t>Lederaba</t>
  </si>
  <si>
    <t>Baby Products</t>
  </si>
  <si>
    <t>33-264-2822</t>
  </si>
  <si>
    <t>Lugo</t>
  </si>
  <si>
    <t>Toys &amp; Games</t>
  </si>
  <si>
    <t>95-478-2650</t>
  </si>
  <si>
    <t>SÃ£o Roque</t>
  </si>
  <si>
    <t>04-349-6759</t>
  </si>
  <si>
    <t>BanÄ« KhaddÄsh</t>
  </si>
  <si>
    <t>21-755-8745</t>
  </si>
  <si>
    <t>Montpellier</t>
  </si>
  <si>
    <t>29-625-7057</t>
  </si>
  <si>
    <t>Nesovice</t>
  </si>
  <si>
    <t>Arts &amp; Crafts</t>
  </si>
  <si>
    <t>58-623-8404</t>
  </si>
  <si>
    <t>Pasirhuni</t>
  </si>
  <si>
    <t>56-506-4709</t>
  </si>
  <si>
    <t>Glendale</t>
  </si>
  <si>
    <t>25-839-8670</t>
  </si>
  <si>
    <t>TÃ¡la</t>
  </si>
  <si>
    <t>Health Supplements</t>
  </si>
  <si>
    <t>89-194-0596</t>
  </si>
  <si>
    <t>Marseille</t>
  </si>
  <si>
    <t>55-163-1389</t>
  </si>
  <si>
    <t>Nasielsk</t>
  </si>
  <si>
    <t>28-225-4286</t>
  </si>
  <si>
    <t>Genderfluid</t>
  </si>
  <si>
    <t>Paris 06</t>
  </si>
  <si>
    <t>14-305-8712</t>
  </si>
  <si>
    <t>Bronnitsy</t>
  </si>
  <si>
    <t>85-738-6864</t>
  </si>
  <si>
    <t>Inayauan</t>
  </si>
  <si>
    <t>17-198-5155</t>
  </si>
  <si>
    <t>Qianjin</t>
  </si>
  <si>
    <t>15-354-9904</t>
  </si>
  <si>
    <t>Bagahanlad</t>
  </si>
  <si>
    <t>Groceries</t>
  </si>
  <si>
    <t>35-198-9248</t>
  </si>
  <si>
    <t>Rzewnie</t>
  </si>
  <si>
    <t>03-950-6074</t>
  </si>
  <si>
    <t>Strabychovo</t>
  </si>
  <si>
    <t>19-999-0134</t>
  </si>
  <si>
    <t>Hongqi</t>
  </si>
  <si>
    <t>57-989-1487</t>
  </si>
  <si>
    <t>Oeoh</t>
  </si>
  <si>
    <t>07-816-2673</t>
  </si>
  <si>
    <t>Topolâ€™noye</t>
  </si>
  <si>
    <t>70-761-3550</t>
  </si>
  <si>
    <t>KovÃ¡Å™ov</t>
  </si>
  <si>
    <t>38-242-3251</t>
  </si>
  <si>
    <t>Majdal BanÄ« FÄá¸‘il</t>
  </si>
  <si>
    <t>95-525-0842</t>
  </si>
  <si>
    <t>Delta del Tigre</t>
  </si>
  <si>
    <t>37-101-4922</t>
  </si>
  <si>
    <t>Santa Cruz La Laguna</t>
  </si>
  <si>
    <t>37-128-5425</t>
  </si>
  <si>
    <t>Manchester</t>
  </si>
  <si>
    <t>27-439-9545</t>
  </si>
  <si>
    <t>NorrkÃ¶ping</t>
  </si>
  <si>
    <t>37-126-7954</t>
  </si>
  <si>
    <t>SoÅ›no</t>
  </si>
  <si>
    <t>Clothing</t>
  </si>
  <si>
    <t>82-990-0504</t>
  </si>
  <si>
    <t>PÃ©lla</t>
  </si>
  <si>
    <t>21-734-0212</t>
  </si>
  <si>
    <t>Namur</t>
  </si>
  <si>
    <t>Beauty &amp; Personal Care</t>
  </si>
  <si>
    <t>76-148-9413</t>
  </si>
  <si>
    <t>Non-binary</t>
  </si>
  <si>
    <t>Benevides</t>
  </si>
  <si>
    <t>53-639-3774</t>
  </si>
  <si>
    <t>Qinghaihu</t>
  </si>
  <si>
    <t>Travel &amp; Leisure (Flights</t>
  </si>
  <si>
    <t>20-817-9584</t>
  </si>
  <si>
    <t>AlfeizerÃ£o</t>
  </si>
  <si>
    <t>18-655-3670</t>
  </si>
  <si>
    <t>ProstÅ™ednÃ­ BeÄva</t>
  </si>
  <si>
    <t>72-431-5021</t>
  </si>
  <si>
    <t>Oeiras</t>
  </si>
  <si>
    <t>07-479-3919</t>
  </si>
  <si>
    <t>KÃ½thnos</t>
  </si>
  <si>
    <t>17-032-6274</t>
  </si>
  <si>
    <t>Rizal</t>
  </si>
  <si>
    <t>64-166-9097</t>
  </si>
  <si>
    <t>Fullerton</t>
  </si>
  <si>
    <t>39-499-3854</t>
  </si>
  <si>
    <t>Huaidao</t>
  </si>
  <si>
    <t>39-636-5871</t>
  </si>
  <si>
    <t>Bilice</t>
  </si>
  <si>
    <t>71-667-2334</t>
  </si>
  <si>
    <t>Polygender</t>
  </si>
  <si>
    <t>Isla Verde</t>
  </si>
  <si>
    <t>35-192-9050</t>
  </si>
  <si>
    <t>Hunkuyi</t>
  </si>
  <si>
    <t>91-440-0011</t>
  </si>
  <si>
    <t>Shiree</t>
  </si>
  <si>
    <t>20-830-4758</t>
  </si>
  <si>
    <t>Strezhevoy</t>
  </si>
  <si>
    <t>84-337-1016</t>
  </si>
  <si>
    <t>Longxing</t>
  </si>
  <si>
    <t>09-346-4992</t>
  </si>
  <si>
    <t>JesÃºs MenÃ©ndez</t>
  </si>
  <si>
    <t>75-083-3608</t>
  </si>
  <si>
    <t>Hongguang</t>
  </si>
  <si>
    <t>29-779-7209</t>
  </si>
  <si>
    <t>Pilaya</t>
  </si>
  <si>
    <t>12-409-5166</t>
  </si>
  <si>
    <t>Camp Ithier</t>
  </si>
  <si>
    <t>07-024-4995</t>
  </si>
  <si>
    <t>Holboo</t>
  </si>
  <si>
    <t>74-478-5950</t>
  </si>
  <si>
    <t>Luxi</t>
  </si>
  <si>
    <t>31-395-1286</t>
  </si>
  <si>
    <t>Ostashkov</t>
  </si>
  <si>
    <t>60-838-4334</t>
  </si>
  <si>
    <t>Hongshanzui</t>
  </si>
  <si>
    <t>71-197-8227</t>
  </si>
  <si>
    <t>Tocoa</t>
  </si>
  <si>
    <t>15-530-3861</t>
  </si>
  <si>
    <t>Bayan Tuohai</t>
  </si>
  <si>
    <t>30-567-4471</t>
  </si>
  <si>
    <t>Parumasan</t>
  </si>
  <si>
    <t>04-465-1819</t>
  </si>
  <si>
    <t>Karpogory</t>
  </si>
  <si>
    <t>Jewelry &amp; Accessories</t>
  </si>
  <si>
    <t>69-692-0614</t>
  </si>
  <si>
    <t>ShÄhzÄdpur</t>
  </si>
  <si>
    <t>12-839-8066</t>
  </si>
  <si>
    <t>Muaratiga</t>
  </si>
  <si>
    <t>05-465-8765</t>
  </si>
  <si>
    <t>Gjegjan</t>
  </si>
  <si>
    <t>81-580-3810</t>
  </si>
  <si>
    <t>CrÃ©teil</t>
  </si>
  <si>
    <t>74-353-6312</t>
  </si>
  <si>
    <t>Pameungpeuk</t>
  </si>
  <si>
    <t>78-824-1887</t>
  </si>
  <si>
    <t>Junshan</t>
  </si>
  <si>
    <t>31-218-0024</t>
  </si>
  <si>
    <t>Lewotola</t>
  </si>
  <si>
    <t>15-711-4107</t>
  </si>
  <si>
    <t>Laocheng</t>
  </si>
  <si>
    <t>76-672-1193</t>
  </si>
  <si>
    <t>GuacarÃ­</t>
  </si>
  <si>
    <t>46-503-5589</t>
  </si>
  <si>
    <t>Sancang</t>
  </si>
  <si>
    <t>87-499-6916</t>
  </si>
  <si>
    <t>Ndewel</t>
  </si>
  <si>
    <t>30-520-8656</t>
  </si>
  <si>
    <t>San Patricio</t>
  </si>
  <si>
    <t>36-323-3504</t>
  </si>
  <si>
    <t>Fengtai</t>
  </si>
  <si>
    <t>93-810-4051</t>
  </si>
  <si>
    <t>Agender</t>
  </si>
  <si>
    <t>á¸awrÄn ad Daydah</t>
  </si>
  <si>
    <t>66-515-3648</t>
  </si>
  <si>
    <t>Magdalena</t>
  </si>
  <si>
    <t>09-216-1957</t>
  </si>
  <si>
    <t>LeÅ›nica</t>
  </si>
  <si>
    <t>23-253-2565</t>
  </si>
  <si>
    <t>Hinlayagan Ilaud</t>
  </si>
  <si>
    <t>74-509-4985</t>
  </si>
  <si>
    <t>Forshaga</t>
  </si>
  <si>
    <t>05-857-1572</t>
  </si>
  <si>
    <t>Rakszawa</t>
  </si>
  <si>
    <t>26-521-8328</t>
  </si>
  <si>
    <t>Fengjiang</t>
  </si>
  <si>
    <t>31-147-6197</t>
  </si>
  <si>
    <t>Jiangcun</t>
  </si>
  <si>
    <t>90-093-0469</t>
  </si>
  <si>
    <t>ÅŒkuchi</t>
  </si>
  <si>
    <t>38-935-1865</t>
  </si>
  <si>
    <t>Novoukrainskiy</t>
  </si>
  <si>
    <t>75-953-8663</t>
  </si>
  <si>
    <t>Acobambilla</t>
  </si>
  <si>
    <t>38-478-2681</t>
  </si>
  <si>
    <t>Kyonju</t>
  </si>
  <si>
    <t>70-895-5298</t>
  </si>
  <si>
    <t>Pomar</t>
  </si>
  <si>
    <t>02-653-5884</t>
  </si>
  <si>
    <t>ZalÅ£an</t>
  </si>
  <si>
    <t>11-719-8800</t>
  </si>
  <si>
    <t>TrÃ©lazÃ©</t>
  </si>
  <si>
    <t>59-355-5251</t>
  </si>
  <si>
    <t>Messina</t>
  </si>
  <si>
    <t>82-572-9091</t>
  </si>
  <si>
    <t>MrÄ…gowo</t>
  </si>
  <si>
    <t>86-044-1071</t>
  </si>
  <si>
    <t>Ngawi</t>
  </si>
  <si>
    <t>08-733-0300</t>
  </si>
  <si>
    <t>Oslo</t>
  </si>
  <si>
    <t>70-108-1493</t>
  </si>
  <si>
    <t>Dobrica</t>
  </si>
  <si>
    <t>46-230-8307</t>
  </si>
  <si>
    <t>La Roche-sur-Yon</t>
  </si>
  <si>
    <t>74-431-0242</t>
  </si>
  <si>
    <t>Point Pedro</t>
  </si>
  <si>
    <t>78-272-6417</t>
  </si>
  <si>
    <t>13-792-4356</t>
  </si>
  <si>
    <t>Tianbao</t>
  </si>
  <si>
    <t>04-563-9091</t>
  </si>
  <si>
    <t>Puqian</t>
  </si>
  <si>
    <t>79-592-5396</t>
  </si>
  <si>
    <t>Binalbagan</t>
  </si>
  <si>
    <t>39-952-4459</t>
  </si>
  <si>
    <t>Tessalit</t>
  </si>
  <si>
    <t>67-935-7964</t>
  </si>
  <si>
    <t>Nikolayevsk</t>
  </si>
  <si>
    <t>26-828-2720</t>
  </si>
  <si>
    <t>Dashuipo</t>
  </si>
  <si>
    <t>57-410-7415</t>
  </si>
  <si>
    <t>TÃ½n nad Vltavou</t>
  </si>
  <si>
    <t>62-989-8214</t>
  </si>
  <si>
    <t>Kaum Kaler</t>
  </si>
  <si>
    <t>73-827-2774</t>
  </si>
  <si>
    <t>Gandapura</t>
  </si>
  <si>
    <t>19-643-1879</t>
  </si>
  <si>
    <t>Kawangkoan</t>
  </si>
  <si>
    <t>57-345-3921</t>
  </si>
  <si>
    <t>Mondorf-les-Bains</t>
  </si>
  <si>
    <t>98-817-6731</t>
  </si>
  <si>
    <t>Manwakh</t>
  </si>
  <si>
    <t>31-788-0864</t>
  </si>
  <si>
    <t>Karlstad</t>
  </si>
  <si>
    <t>27-806-4972</t>
  </si>
  <si>
    <t>Obong</t>
  </si>
  <si>
    <t>48-343-1220</t>
  </si>
  <si>
    <t>Kolsko</t>
  </si>
  <si>
    <t>15-640-6493</t>
  </si>
  <si>
    <t>DÄlbandÄ«n</t>
  </si>
  <si>
    <t>64-846-7450</t>
  </si>
  <si>
    <t>Genderqueer</t>
  </si>
  <si>
    <t>Shazi</t>
  </si>
  <si>
    <t>58-788-8938</t>
  </si>
  <si>
    <t>HachiÅji</t>
  </si>
  <si>
    <t>52-240-3825</t>
  </si>
  <si>
    <t>Jolo</t>
  </si>
  <si>
    <t>60-618-2561</t>
  </si>
  <si>
    <t>Pedra Azul</t>
  </si>
  <si>
    <t>94-969-6819</t>
  </si>
  <si>
    <t>Gustavsberg</t>
  </si>
  <si>
    <t>76-982-8107</t>
  </si>
  <si>
    <t>La Mohammedia</t>
  </si>
  <si>
    <t>52-779-8972</t>
  </si>
  <si>
    <t>Florida</t>
  </si>
  <si>
    <t>40-520-3271</t>
  </si>
  <si>
    <t>Zhongcheng</t>
  </si>
  <si>
    <t>79-884-5600</t>
  </si>
  <si>
    <t>Goiatuba</t>
  </si>
  <si>
    <t>80-607-9947</t>
  </si>
  <si>
    <t>Krajan Kidul Rojopolo</t>
  </si>
  <si>
    <t>87-290-8263</t>
  </si>
  <si>
    <t>Metchosin</t>
  </si>
  <si>
    <t>99-316-9993</t>
  </si>
  <si>
    <t>Staritsa</t>
  </si>
  <si>
    <t>54-164-2243</t>
  </si>
  <si>
    <t>Benito Juarez</t>
  </si>
  <si>
    <t>14-784-5606</t>
  </si>
  <si>
    <t>ManÃ­</t>
  </si>
  <si>
    <t>47-992-7446</t>
  </si>
  <si>
    <t>Vitali</t>
  </si>
  <si>
    <t>37-513-5073</t>
  </si>
  <si>
    <t>Mizque</t>
  </si>
  <si>
    <t>93-473-7248</t>
  </si>
  <si>
    <t>Zgornje PirniÄe</t>
  </si>
  <si>
    <t>72-830-1211</t>
  </si>
  <si>
    <t>Cipolletti</t>
  </si>
  <si>
    <t>87-934-6762</t>
  </si>
  <si>
    <t>SollefteÃ¥</t>
  </si>
  <si>
    <t>71-975-9564</t>
  </si>
  <si>
    <t>Klonowa</t>
  </si>
  <si>
    <t>40-232-5631</t>
  </si>
  <si>
    <t>Suvorov</t>
  </si>
  <si>
    <t>22-414-4955</t>
  </si>
  <si>
    <t>Dragash</t>
  </si>
  <si>
    <t>99-089-1930</t>
  </si>
  <si>
    <t>Freiburg im Breisgau</t>
  </si>
  <si>
    <t>62-198-2511</t>
  </si>
  <si>
    <t>Macau</t>
  </si>
  <si>
    <t>21-297-1223</t>
  </si>
  <si>
    <t>Pancas</t>
  </si>
  <si>
    <t>10-961-9336</t>
  </si>
  <si>
    <t>Dayapan</t>
  </si>
  <si>
    <t>71-473-2656</t>
  </si>
  <si>
    <t>Gordon Town</t>
  </si>
  <si>
    <t>84-954-2973</t>
  </si>
  <si>
    <t>Proptisht</t>
  </si>
  <si>
    <t>22-382-9636</t>
  </si>
  <si>
    <t>Kamal</t>
  </si>
  <si>
    <t>89-724-2536</t>
  </si>
  <si>
    <t>Kouvola</t>
  </si>
  <si>
    <t>85-391-1888</t>
  </si>
  <si>
    <t>Zhongdong</t>
  </si>
  <si>
    <t>84-934-2483</t>
  </si>
  <si>
    <t>Betong</t>
  </si>
  <si>
    <t>96-229-1698</t>
  </si>
  <si>
    <t>Jinping</t>
  </si>
  <si>
    <t>36-948-6994</t>
  </si>
  <si>
    <t>Mgachi</t>
  </si>
  <si>
    <t>43-172-9431</t>
  </si>
  <si>
    <t>Lameira</t>
  </si>
  <si>
    <t>53-690-5759</t>
  </si>
  <si>
    <t>Medicine Hat</t>
  </si>
  <si>
    <t>00-496-3067</t>
  </si>
  <si>
    <t>10-330-6387</t>
  </si>
  <si>
    <t>YenikÃ¶y</t>
  </si>
  <si>
    <t>87-590-8963</t>
  </si>
  <si>
    <t>Peer</t>
  </si>
  <si>
    <t>47-931-2642</t>
  </si>
  <si>
    <t>BelÅ«sovka</t>
  </si>
  <si>
    <t>76-501-6422</t>
  </si>
  <si>
    <t>Houston</t>
  </si>
  <si>
    <t>39-274-2175</t>
  </si>
  <si>
    <t>Hengdian</t>
  </si>
  <si>
    <t>62-493-5282</t>
  </si>
  <si>
    <t>Shuigou</t>
  </si>
  <si>
    <t>18-841-7253</t>
  </si>
  <si>
    <t>Xingxi</t>
  </si>
  <si>
    <t>18-097-5707</t>
  </si>
  <si>
    <t>DhÄ«bÄ«n</t>
  </si>
  <si>
    <t>83-792-5141</t>
  </si>
  <si>
    <t>Chengguan</t>
  </si>
  <si>
    <t>65-036-2410</t>
  </si>
  <si>
    <t>Paris 09</t>
  </si>
  <si>
    <t>67-593-9579</t>
  </si>
  <si>
    <t>Rozhdestveno</t>
  </si>
  <si>
    <t>33-484-6674</t>
  </si>
  <si>
    <t>Porangatu</t>
  </si>
  <si>
    <t>65-249-5416</t>
  </si>
  <si>
    <t>Shalkar</t>
  </si>
  <si>
    <t>17-328-4678</t>
  </si>
  <si>
    <t>Quimbaya</t>
  </si>
  <si>
    <t>00-733-8770</t>
  </si>
  <si>
    <t>Narok</t>
  </si>
  <si>
    <t>47-501-3435</t>
  </si>
  <si>
    <t>Gimcheon</t>
  </si>
  <si>
    <t>46-779-7065</t>
  </si>
  <si>
    <t>Visaginas</t>
  </si>
  <si>
    <t>91-603-1565</t>
  </si>
  <si>
    <t>Shostka</t>
  </si>
  <si>
    <t>35-122-5020</t>
  </si>
  <si>
    <t>Pukekohe East</t>
  </si>
  <si>
    <t>63-684-4073</t>
  </si>
  <si>
    <t>Blokdesa Situgede</t>
  </si>
  <si>
    <t>74-483-2893</t>
  </si>
  <si>
    <t>Yueyang</t>
  </si>
  <si>
    <t>72-728-4406</t>
  </si>
  <si>
    <t>Liutan</t>
  </si>
  <si>
    <t>13-588-2488</t>
  </si>
  <si>
    <t>Huanggang</t>
  </si>
  <si>
    <t>79-861-6506</t>
  </si>
  <si>
    <t>BaturitÃ©</t>
  </si>
  <si>
    <t>66-974-6707</t>
  </si>
  <si>
    <t>Miâ€™ersi</t>
  </si>
  <si>
    <t>95-112-6724</t>
  </si>
  <si>
    <t>Xuedian</t>
  </si>
  <si>
    <t>27-262-6874</t>
  </si>
  <si>
    <t>Yuyapichis</t>
  </si>
  <si>
    <t>92-908-5062</t>
  </si>
  <si>
    <t>Shiroishi</t>
  </si>
  <si>
    <t>70-014-6406</t>
  </si>
  <si>
    <t>Kobe</t>
  </si>
  <si>
    <t>52-908-9971</t>
  </si>
  <si>
    <t>Gulou</t>
  </si>
  <si>
    <t>57-623-5362</t>
  </si>
  <si>
    <t>Jilin</t>
  </si>
  <si>
    <t>48-315-0196</t>
  </si>
  <si>
    <t>Balboa</t>
  </si>
  <si>
    <t>71-959-3896</t>
  </si>
  <si>
    <t>Cipari</t>
  </si>
  <si>
    <t>29-987-3969</t>
  </si>
  <si>
    <t>Orlando</t>
  </si>
  <si>
    <t>78-613-1546</t>
  </si>
  <si>
    <t>Torsby</t>
  </si>
  <si>
    <t>43-664-4451</t>
  </si>
  <si>
    <t>San Pablo</t>
  </si>
  <si>
    <t>34-095-3364</t>
  </si>
  <si>
    <t>Daszewice</t>
  </si>
  <si>
    <t>72-393-6893</t>
  </si>
  <si>
    <t>Villa ConcepciÃ³n del TÃ­o</t>
  </si>
  <si>
    <t>73-707-2809</t>
  </si>
  <si>
    <t>Hacienda La Calera</t>
  </si>
  <si>
    <t>04-609-7885</t>
  </si>
  <si>
    <t>73-139-4306</t>
  </si>
  <si>
    <t>Puerto LÃ³pez</t>
  </si>
  <si>
    <t>23-794-8196</t>
  </si>
  <si>
    <t>Xinchengzi</t>
  </si>
  <si>
    <t>66-050-6391</t>
  </si>
  <si>
    <t>TecpÃ¡n Guatemala</t>
  </si>
  <si>
    <t>22-311-5460</t>
  </si>
  <si>
    <t>51-917-0766</t>
  </si>
  <si>
    <t>Araci</t>
  </si>
  <si>
    <t>53-013-1026</t>
  </si>
  <si>
    <t>Duyure</t>
  </si>
  <si>
    <t>29-779-3457</t>
  </si>
  <si>
    <t>Huangni</t>
  </si>
  <si>
    <t>18-047-5540</t>
  </si>
  <si>
    <t>Kuala Lumpur</t>
  </si>
  <si>
    <t>89-438-5310</t>
  </si>
  <si>
    <t>SeleuÅ¡</t>
  </si>
  <si>
    <t>23-985-3535</t>
  </si>
  <si>
    <t>Monrovia</t>
  </si>
  <si>
    <t>67-939-2463</t>
  </si>
  <si>
    <t>Kristinehamn</t>
  </si>
  <si>
    <t>03-623-6767</t>
  </si>
  <si>
    <t>Huancabamba</t>
  </si>
  <si>
    <t>86-749-6914</t>
  </si>
  <si>
    <t>San JosÃ© Acatempa</t>
  </si>
  <si>
    <t>03-977-8103</t>
  </si>
  <si>
    <t>Quebrada Canoa</t>
  </si>
  <si>
    <t>03-827-4021</t>
  </si>
  <si>
    <t>Moate</t>
  </si>
  <si>
    <t>68-507-4747</t>
  </si>
  <si>
    <t>Kubangwaru</t>
  </si>
  <si>
    <t>73-942-8440</t>
  </si>
  <si>
    <t>ÐœÐ°Ñ€Ð¸Ð½Ð¾</t>
  </si>
  <si>
    <t>21-821-6398</t>
  </si>
  <si>
    <t>Xinquan</t>
  </si>
  <si>
    <t>64-641-7874</t>
  </si>
  <si>
    <t>Providence</t>
  </si>
  <si>
    <t>53-459-7870</t>
  </si>
  <si>
    <t>Autun</t>
  </si>
  <si>
    <t>36-240-3240</t>
  </si>
  <si>
    <t>Shilin</t>
  </si>
  <si>
    <t>54-936-4361</t>
  </si>
  <si>
    <t>Paris 17</t>
  </si>
  <si>
    <t>67-209-0990</t>
  </si>
  <si>
    <t>Stoczek Åukowski</t>
  </si>
  <si>
    <t>19-667-0201</t>
  </si>
  <si>
    <t>Ormstown</t>
  </si>
  <si>
    <t>36-274-5269</t>
  </si>
  <si>
    <t>Ponte</t>
  </si>
  <si>
    <t>09-948-3150</t>
  </si>
  <si>
    <t>Boshkengash</t>
  </si>
  <si>
    <t>19-873-9468</t>
  </si>
  <si>
    <t>Äáº¡ Táº»h</t>
  </si>
  <si>
    <t>37-748-4988</t>
  </si>
  <si>
    <t>RadÄâ€˜</t>
  </si>
  <si>
    <t>08-755-1170</t>
  </si>
  <si>
    <t>Sinarwangi</t>
  </si>
  <si>
    <t>07-402-7433</t>
  </si>
  <si>
    <t>Dagup</t>
  </si>
  <si>
    <t>60-073-3575</t>
  </si>
  <si>
    <t>EÅ‚k</t>
  </si>
  <si>
    <t>97-237-3483</t>
  </si>
  <si>
    <t>Moju</t>
  </si>
  <si>
    <t>93-675-1619</t>
  </si>
  <si>
    <t>VÃ­lia</t>
  </si>
  <si>
    <t>43-884-2577</t>
  </si>
  <si>
    <t>Prince Rupert</t>
  </si>
  <si>
    <t>33-200-7615</t>
  </si>
  <si>
    <t>Jiangmen</t>
  </si>
  <si>
    <t>63-631-8261</t>
  </si>
  <si>
    <t>Alung</t>
  </si>
  <si>
    <t>34-016-7909</t>
  </si>
  <si>
    <t>Osorno</t>
  </si>
  <si>
    <t>82-304-6495</t>
  </si>
  <si>
    <t>Labo</t>
  </si>
  <si>
    <t>70-207-6999</t>
  </si>
  <si>
    <t>Dakingari</t>
  </si>
  <si>
    <t>71-780-8195</t>
  </si>
  <si>
    <t>Selasari</t>
  </si>
  <si>
    <t>93-356-8589</t>
  </si>
  <si>
    <t>Besko</t>
  </si>
  <si>
    <t>92-142-9480</t>
  </si>
  <si>
    <t>Aubergenville</t>
  </si>
  <si>
    <t>53-042-5685</t>
  </si>
  <si>
    <t>Sula</t>
  </si>
  <si>
    <t>35-853-2222</t>
  </si>
  <si>
    <t>Valongo</t>
  </si>
  <si>
    <t>83-670-9273</t>
  </si>
  <si>
    <t>Al KhÄnkah</t>
  </si>
  <si>
    <t>37-783-6086</t>
  </si>
  <si>
    <t>MÃ©rtola</t>
  </si>
  <si>
    <t>79-902-8144</t>
  </si>
  <si>
    <t>Rates</t>
  </si>
  <si>
    <t>41-009-7879</t>
  </si>
  <si>
    <t>Anyang</t>
  </si>
  <si>
    <t>89-302-8461</t>
  </si>
  <si>
    <t>Nymburk</t>
  </si>
  <si>
    <t>23-066-1915</t>
  </si>
  <si>
    <t>39-090-0124</t>
  </si>
  <si>
    <t>Tafo</t>
  </si>
  <si>
    <t>41-854-0707</t>
  </si>
  <si>
    <t>Cibaregbeg</t>
  </si>
  <si>
    <t>04-352-1558</t>
  </si>
  <si>
    <t>Wang Yang</t>
  </si>
  <si>
    <t>93-867-8303</t>
  </si>
  <si>
    <t>Liangnong</t>
  </si>
  <si>
    <t>31-088-6950</t>
  </si>
  <si>
    <t>Hengshi</t>
  </si>
  <si>
    <t>43-616-8365</t>
  </si>
  <si>
    <t>Kandangan</t>
  </si>
  <si>
    <t>71-876-9118</t>
  </si>
  <si>
    <t>Naranjal</t>
  </si>
  <si>
    <t>18-263-0366</t>
  </si>
  <si>
    <t>Abiko</t>
  </si>
  <si>
    <t>25-502-1415</t>
  </si>
  <si>
    <t>Longhuashan</t>
  </si>
  <si>
    <t>50-000-9588</t>
  </si>
  <si>
    <t>Zhovkva</t>
  </si>
  <si>
    <t>32-338-5967</t>
  </si>
  <si>
    <t>Lebak</t>
  </si>
  <si>
    <t>19-311-9149</t>
  </si>
  <si>
    <t>Gereshk</t>
  </si>
  <si>
    <t>94-212-7169</t>
  </si>
  <si>
    <t>Yonghe</t>
  </si>
  <si>
    <t>17-246-6194</t>
  </si>
  <si>
    <t>Dabai</t>
  </si>
  <si>
    <t>26-672-1285</t>
  </si>
  <si>
    <t>Moutnice</t>
  </si>
  <si>
    <t>00-265-0556</t>
  </si>
  <si>
    <t>Qiryat Yam</t>
  </si>
  <si>
    <t>76-397-3294</t>
  </si>
  <si>
    <t>PiranÃ©</t>
  </si>
  <si>
    <t>43-612-8079</t>
  </si>
  <si>
    <t>Colima</t>
  </si>
  <si>
    <t>17-213-2834</t>
  </si>
  <si>
    <t>Marshintsy</t>
  </si>
  <si>
    <t>36-214-1586</t>
  </si>
  <si>
    <t>HalinÃ³w</t>
  </si>
  <si>
    <t>32-414-1466</t>
  </si>
  <si>
    <t>Hallsberg</t>
  </si>
  <si>
    <t>12-699-6543</t>
  </si>
  <si>
    <t>Celso Ramos</t>
  </si>
  <si>
    <t>83-427-3218</t>
  </si>
  <si>
    <t>White River</t>
  </si>
  <si>
    <t>61-663-9008</t>
  </si>
  <si>
    <t>Taishihe</t>
  </si>
  <si>
    <t>86-917-7481</t>
  </si>
  <si>
    <t>Shanghu</t>
  </si>
  <si>
    <t>66-086-2306</t>
  </si>
  <si>
    <t>Brandsen</t>
  </si>
  <si>
    <t>43-671-9834</t>
  </si>
  <si>
    <t>Ranot</t>
  </si>
  <si>
    <t>90-888-8726</t>
  </si>
  <si>
    <t>Saint-Jouan-des-GuÃ©rets</t>
  </si>
  <si>
    <t>23-085-0811</t>
  </si>
  <si>
    <t>Daâ€™an</t>
  </si>
  <si>
    <t>85-192-9218</t>
  </si>
  <si>
    <t>Kisovec</t>
  </si>
  <si>
    <t>82-671-7236</t>
  </si>
  <si>
    <t>Ä€bdÄnÄn</t>
  </si>
  <si>
    <t>42-674-3987</t>
  </si>
  <si>
    <t>Dafeng</t>
  </si>
  <si>
    <t>41-934-7739</t>
  </si>
  <si>
    <t>Campo Maior</t>
  </si>
  <si>
    <t>48-825-0400</t>
  </si>
  <si>
    <t>SÃ¤vedalen</t>
  </si>
  <si>
    <t>30-133-5120</t>
  </si>
  <si>
    <t>Brikcha</t>
  </si>
  <si>
    <t>29-827-8515</t>
  </si>
  <si>
    <t>Xidianzi</t>
  </si>
  <si>
    <t>91-724-4633</t>
  </si>
  <si>
    <t>La UniÃ³n</t>
  </si>
  <si>
    <t>10-328-5732</t>
  </si>
  <si>
    <t>Kliteh</t>
  </si>
  <si>
    <t>38-912-1128</t>
  </si>
  <si>
    <t>BÃ©ja</t>
  </si>
  <si>
    <t>07-751-9620</t>
  </si>
  <si>
    <t>Ferreira do Alentejo</t>
  </si>
  <si>
    <t>81-877-9170</t>
  </si>
  <si>
    <t>Gegernoong</t>
  </si>
  <si>
    <t>19-885-2597</t>
  </si>
  <si>
    <t>La MontaÃ±ita</t>
  </si>
  <si>
    <t>82-389-2029</t>
  </si>
  <si>
    <t>SarishÄbÄri</t>
  </si>
  <si>
    <t>97-463-0048</t>
  </si>
  <si>
    <t>Mangge</t>
  </si>
  <si>
    <t>91-572-6135</t>
  </si>
  <si>
    <t>ChabaÅ™ovice</t>
  </si>
  <si>
    <t>10-232-0685</t>
  </si>
  <si>
    <t>Yangping</t>
  </si>
  <si>
    <t>77-761-7475</t>
  </si>
  <si>
    <t>Berezna</t>
  </si>
  <si>
    <t>78-826-3039</t>
  </si>
  <si>
    <t>Vidual</t>
  </si>
  <si>
    <t>86-668-1045</t>
  </si>
  <si>
    <t>14-603-9698</t>
  </si>
  <si>
    <t>Hultsfred</t>
  </si>
  <si>
    <t>23-752-2213</t>
  </si>
  <si>
    <t>NÃ­kaia</t>
  </si>
  <si>
    <t>71-486-8561</t>
  </si>
  <si>
    <t>Macayug</t>
  </si>
  <si>
    <t>76-382-7162</t>
  </si>
  <si>
    <t>Mahanoro</t>
  </si>
  <si>
    <t>28-947-4295</t>
  </si>
  <si>
    <t>Mozdok</t>
  </si>
  <si>
    <t>84-765-0748</t>
  </si>
  <si>
    <t>Hoolt</t>
  </si>
  <si>
    <t>54-207-8349</t>
  </si>
  <si>
    <t>San Luis</t>
  </si>
  <si>
    <t>20-419-0341</t>
  </si>
  <si>
    <t>Pergan</t>
  </si>
  <si>
    <t>52-005-9914</t>
  </si>
  <si>
    <t>Kanoni</t>
  </si>
  <si>
    <t>34-846-7805</t>
  </si>
  <si>
    <t>Gromadka</t>
  </si>
  <si>
    <t>26-596-5461</t>
  </si>
  <si>
    <t>Payapa</t>
  </si>
  <si>
    <t>20-157-8631</t>
  </si>
  <si>
    <t>Rat Burana</t>
  </si>
  <si>
    <t>91-199-9097</t>
  </si>
  <si>
    <t>TrhovÃ© Sviny</t>
  </si>
  <si>
    <t>55-846-2579</t>
  </si>
  <si>
    <t>Kiev</t>
  </si>
  <si>
    <t>83-455-7266</t>
  </si>
  <si>
    <t>67-599-9267</t>
  </si>
  <si>
    <t>Lomintsevskiy</t>
  </si>
  <si>
    <t>41-501-9276</t>
  </si>
  <si>
    <t>Monchegorsk</t>
  </si>
  <si>
    <t>99-509-4653</t>
  </si>
  <si>
    <t>OlavarrÃ­a</t>
  </si>
  <si>
    <t>31-284-5722</t>
  </si>
  <si>
    <t>Jianshan</t>
  </si>
  <si>
    <t>88-000-9227</t>
  </si>
  <si>
    <t>Shreveport</t>
  </si>
  <si>
    <t>52-726-9328</t>
  </si>
  <si>
    <t>Pingzhuang</t>
  </si>
  <si>
    <t>60-198-5417</t>
  </si>
  <si>
    <t>00-107-4749</t>
  </si>
  <si>
    <t>Merlo</t>
  </si>
  <si>
    <t>88-428-8409</t>
  </si>
  <si>
    <t>ZiniarÃ©</t>
  </si>
  <si>
    <t>21-313-7424</t>
  </si>
  <si>
    <t>ZduÅ„ska Wola</t>
  </si>
  <si>
    <t>79-973-7862</t>
  </si>
  <si>
    <t>Mount Ayliff</t>
  </si>
  <si>
    <t>81-814-3498</t>
  </si>
  <si>
    <t>PÄ«rgaaj</t>
  </si>
  <si>
    <t>34-375-8138</t>
  </si>
  <si>
    <t>Zbraslavice</t>
  </si>
  <si>
    <t>05-067-9686</t>
  </si>
  <si>
    <t>Xilu</t>
  </si>
  <si>
    <t>61-951-7929</t>
  </si>
  <si>
    <t>Bamut</t>
  </si>
  <si>
    <t>53-667-0793</t>
  </si>
  <si>
    <t>La Tour-du-Pin</t>
  </si>
  <si>
    <t>61-212-1117</t>
  </si>
  <si>
    <t>Pader Palwo</t>
  </si>
  <si>
    <t>09-443-7536</t>
  </si>
  <si>
    <t>Maurisu</t>
  </si>
  <si>
    <t>27-463-5671</t>
  </si>
  <si>
    <t>Gorzyce</t>
  </si>
  <si>
    <t>53-380-3968</t>
  </si>
  <si>
    <t>Qingyun</t>
  </si>
  <si>
    <t>42-969-0735</t>
  </si>
  <si>
    <t>Jiuxian</t>
  </si>
  <si>
    <t>12-440-5464</t>
  </si>
  <si>
    <t>Ndungu</t>
  </si>
  <si>
    <t>33-467-2534</t>
  </si>
  <si>
    <t>Emiliano Zapata</t>
  </si>
  <si>
    <t>35-418-0288</t>
  </si>
  <si>
    <t>Spasskoye</t>
  </si>
  <si>
    <t>33-787-2143</t>
  </si>
  <si>
    <t>GierÅ‚oÅ¼</t>
  </si>
  <si>
    <t>58-528-6262</t>
  </si>
  <si>
    <t>Sobue</t>
  </si>
  <si>
    <t>31-060-2716</t>
  </si>
  <si>
    <t>High Point</t>
  </si>
  <si>
    <t>81-515-5823</t>
  </si>
  <si>
    <t>Qiankeng</t>
  </si>
  <si>
    <t>90-858-0453</t>
  </si>
  <si>
    <t>Pandean</t>
  </si>
  <si>
    <t>28-874-8938</t>
  </si>
  <si>
    <t>Phong Äiá»n</t>
  </si>
  <si>
    <t>89-625-5542</t>
  </si>
  <si>
    <t>MirÃ³w</t>
  </si>
  <si>
    <t>07-966-8728</t>
  </si>
  <si>
    <t>Franceville</t>
  </si>
  <si>
    <t>94-408-2581</t>
  </si>
  <si>
    <t>Bordeaux</t>
  </si>
  <si>
    <t>55-301-9368</t>
  </si>
  <si>
    <t>Zamora</t>
  </si>
  <si>
    <t>72-336-1992</t>
  </si>
  <si>
    <t>Jubaoshan</t>
  </si>
  <si>
    <t>06-008-2805</t>
  </si>
  <si>
    <t>ShÄdegÄn</t>
  </si>
  <si>
    <t>77-178-6086</t>
  </si>
  <si>
    <t>Gueltat Zemmour</t>
  </si>
  <si>
    <t>28-832-2885</t>
  </si>
  <si>
    <t>Mosalâ€™sk</t>
  </si>
  <si>
    <t>75-210-7391</t>
  </si>
  <si>
    <t>Kokstad</t>
  </si>
  <si>
    <t>60-470-3563</t>
  </si>
  <si>
    <t>Malasin</t>
  </si>
  <si>
    <t>24-241-7171</t>
  </si>
  <si>
    <t>Huaqiu</t>
  </si>
  <si>
    <t>53-784-1855</t>
  </si>
  <si>
    <t>Loket</t>
  </si>
  <si>
    <t>83-561-3374</t>
  </si>
  <si>
    <t>Santa Maria do Souto</t>
  </si>
  <si>
    <t>96-121-0629</t>
  </si>
  <si>
    <t>Yanshang</t>
  </si>
  <si>
    <t>00-275-9990</t>
  </si>
  <si>
    <t>Tempuran</t>
  </si>
  <si>
    <t>36-593-2907</t>
  </si>
  <si>
    <t>Karafao</t>
  </si>
  <si>
    <t>22-692-3470</t>
  </si>
  <si>
    <t>SÃ£o CristÃ³vÃ£o</t>
  </si>
  <si>
    <t>90-322-7329</t>
  </si>
  <si>
    <t>Buensuseso</t>
  </si>
  <si>
    <t>28-395-9872</t>
  </si>
  <si>
    <t>Blantyre</t>
  </si>
  <si>
    <t>79-297-1061</t>
  </si>
  <si>
    <t>Kozelâ€™shchyna</t>
  </si>
  <si>
    <t>93-649-9356</t>
  </si>
  <si>
    <t>Cibuah</t>
  </si>
  <si>
    <t>27-543-7069</t>
  </si>
  <si>
    <t>Cockburn Town</t>
  </si>
  <si>
    <t>96-079-9597</t>
  </si>
  <si>
    <t>Maslog</t>
  </si>
  <si>
    <t>38-940-4942</t>
  </si>
  <si>
    <t>FaqqÅ«â€˜ah</t>
  </si>
  <si>
    <t>82-014-2564</t>
  </si>
  <si>
    <t>Yelyzavethradka</t>
  </si>
  <si>
    <t>70-699-5799</t>
  </si>
  <si>
    <t>Jackson</t>
  </si>
  <si>
    <t>53-240-2040</t>
  </si>
  <si>
    <t>ItaguaÃ­</t>
  </si>
  <si>
    <t>27-742-2776</t>
  </si>
  <si>
    <t>FteliÃ¡</t>
  </si>
  <si>
    <t>55-620-7906</t>
  </si>
  <si>
    <t>Kiambu</t>
  </si>
  <si>
    <t>04-213-4617</t>
  </si>
  <si>
    <t>XibÃ«r-MurrizÃ«</t>
  </si>
  <si>
    <t>79-384-7469</t>
  </si>
  <si>
    <t>Xudat</t>
  </si>
  <si>
    <t>30-839-5589</t>
  </si>
  <si>
    <t>Yaodu</t>
  </si>
  <si>
    <t>76-848-9229</t>
  </si>
  <si>
    <t>Saint-Gratien</t>
  </si>
  <si>
    <t>98-559-6096</t>
  </si>
  <si>
    <t>Totora</t>
  </si>
  <si>
    <t>56-810-2066</t>
  </si>
  <si>
    <t>GÃ¶teborg</t>
  </si>
  <si>
    <t>55-580-7707</t>
  </si>
  <si>
    <t>ÄŒÃ¡slav</t>
  </si>
  <si>
    <t>18-605-0795</t>
  </si>
  <si>
    <t>Rudnogorsk</t>
  </si>
  <si>
    <t>86-268-2904</t>
  </si>
  <si>
    <t>Pindiga</t>
  </si>
  <si>
    <t>75-847-7630</t>
  </si>
  <si>
    <t>Adela</t>
  </si>
  <si>
    <t>76-910-2337</t>
  </si>
  <si>
    <t>Krajan Baru</t>
  </si>
  <si>
    <t>56-719-7145</t>
  </si>
  <si>
    <t>Jinqiao</t>
  </si>
  <si>
    <t>14-025-2335</t>
  </si>
  <si>
    <t>Barg-e MatÄl</t>
  </si>
  <si>
    <t>10-300-8072</t>
  </si>
  <si>
    <t>Argenteuil</t>
  </si>
  <si>
    <t>73-698-2326</t>
  </si>
  <si>
    <t>Daying</t>
  </si>
  <si>
    <t>01-023-2094</t>
  </si>
  <si>
    <t>Ngrejo</t>
  </si>
  <si>
    <t>65-359-4645</t>
  </si>
  <si>
    <t>Xieba</t>
  </si>
  <si>
    <t>33-405-7978</t>
  </si>
  <si>
    <t>Sigli</t>
  </si>
  <si>
    <t>09-783-7921</t>
  </si>
  <si>
    <t>AristÃ³bulo del Valle</t>
  </si>
  <si>
    <t>76-561-2427</t>
  </si>
  <si>
    <t>Cane</t>
  </si>
  <si>
    <t>82-467-3300</t>
  </si>
  <si>
    <t>Podhum</t>
  </si>
  <si>
    <t>92-946-7398</t>
  </si>
  <si>
    <t>Vilar</t>
  </si>
  <si>
    <t>59-891-2990</t>
  </si>
  <si>
    <t>Portela</t>
  </si>
  <si>
    <t>22-579-3978</t>
  </si>
  <si>
    <t>Arendal</t>
  </si>
  <si>
    <t>22-352-0576</t>
  </si>
  <si>
    <t>NabÄ«nagar</t>
  </si>
  <si>
    <t>28-676-0614</t>
  </si>
  <si>
    <t>La Ravoire</t>
  </si>
  <si>
    <t>07-211-9364</t>
  </si>
  <si>
    <t>Dostoyevka</t>
  </si>
  <si>
    <t>98-238-6733</t>
  </si>
  <si>
    <t>Liuzhou</t>
  </si>
  <si>
    <t>72-006-3769</t>
  </si>
  <si>
    <t>SÃ£o Mateus do MaranhÃ£o</t>
  </si>
  <si>
    <t>75-845-3143</t>
  </si>
  <si>
    <t>Rumbek</t>
  </si>
  <si>
    <t>26-028-2671</t>
  </si>
  <si>
    <t>Cigedang</t>
  </si>
  <si>
    <t>55-876-7407</t>
  </si>
  <si>
    <t>Muaralabuh</t>
  </si>
  <si>
    <t>47-720-9520</t>
  </si>
  <si>
    <t>CheÅ‚miec</t>
  </si>
  <si>
    <t>42-207-5005</t>
  </si>
  <si>
    <t>Santa Marta</t>
  </si>
  <si>
    <t>47-266-2261</t>
  </si>
  <si>
    <t>BrÃ¤ndÃ¶</t>
  </si>
  <si>
    <t>77-642-7686</t>
  </si>
  <si>
    <t>Liangshuihe</t>
  </si>
  <si>
    <t>37-468-8133</t>
  </si>
  <si>
    <t>Cimara</t>
  </si>
  <si>
    <t>00-335-5034</t>
  </si>
  <si>
    <t>Sanxing</t>
  </si>
  <si>
    <t>95-148-1769</t>
  </si>
  <si>
    <t>Linao</t>
  </si>
  <si>
    <t>72-324-1243</t>
  </si>
  <si>
    <t>Bairan</t>
  </si>
  <si>
    <t>62-687-5354</t>
  </si>
  <si>
    <t>Abaetetuba</t>
  </si>
  <si>
    <t>54-634-0814</t>
  </si>
  <si>
    <t>Pasirjaya</t>
  </si>
  <si>
    <t>64-769-5737</t>
  </si>
  <si>
    <t>Acheng</t>
  </si>
  <si>
    <t>62-892-2088</t>
  </si>
  <si>
    <t>Huakoulongtan</t>
  </si>
  <si>
    <t>53-951-2529</t>
  </si>
  <si>
    <t>Burgastai</t>
  </si>
  <si>
    <t>00-264-3797</t>
  </si>
  <si>
    <t>ChavarrÃ­a</t>
  </si>
  <si>
    <t>88-445-9235</t>
  </si>
  <si>
    <t>Demuk</t>
  </si>
  <si>
    <t>65-539-9955</t>
  </si>
  <si>
    <t>Sertolovo</t>
  </si>
  <si>
    <t>89-730-1134</t>
  </si>
  <si>
    <t>Jixian</t>
  </si>
  <si>
    <t>74-051-7865</t>
  </si>
  <si>
    <t>Deqing</t>
  </si>
  <si>
    <t>40-450-4266</t>
  </si>
  <si>
    <t>Sala</t>
  </si>
  <si>
    <t>78-796-5651</t>
  </si>
  <si>
    <t>DÅ‚utÃ³w</t>
  </si>
  <si>
    <t>78-163-4800</t>
  </si>
  <si>
    <t>Regimin</t>
  </si>
  <si>
    <t>90-272-5701</t>
  </si>
  <si>
    <t>Semiletka</t>
  </si>
  <si>
    <t>14-118-5229</t>
  </si>
  <si>
    <t>Dayr Sharaf</t>
  </si>
  <si>
    <t>24-662-2119</t>
  </si>
  <si>
    <t>Adani</t>
  </si>
  <si>
    <t>61-794-8438</t>
  </si>
  <si>
    <t>Rakhiv</t>
  </si>
  <si>
    <t>21-959-5766</t>
  </si>
  <si>
    <t>Ma'an</t>
  </si>
  <si>
    <t>42-518-2602</t>
  </si>
  <si>
    <t>Navoiy</t>
  </si>
  <si>
    <t>35-850-8676</t>
  </si>
  <si>
    <t>Sishilichengzi</t>
  </si>
  <si>
    <t>07-958-2231</t>
  </si>
  <si>
    <t>Tigaherang</t>
  </si>
  <si>
    <t>78-503-0416</t>
  </si>
  <si>
    <t>Villa Dolores</t>
  </si>
  <si>
    <t>46-167-7999</t>
  </si>
  <si>
    <t>PoÃ¡</t>
  </si>
  <si>
    <t>93-989-8649</t>
  </si>
  <si>
    <t>Shibushi</t>
  </si>
  <si>
    <t>98-130-8811</t>
  </si>
  <si>
    <t>Tilburg</t>
  </si>
  <si>
    <t>18-614-2070</t>
  </si>
  <si>
    <t>Ugra</t>
  </si>
  <si>
    <t>80-277-3242</t>
  </si>
  <si>
    <t>Montreuil</t>
  </si>
  <si>
    <t>44-949-9040</t>
  </si>
  <si>
    <t>Garibaldi</t>
  </si>
  <si>
    <t>04-545-9162</t>
  </si>
  <si>
    <t>Tiang</t>
  </si>
  <si>
    <t>51-320-2801</t>
  </si>
  <si>
    <t>Mouquim</t>
  </si>
  <si>
    <t>50-510-5119</t>
  </si>
  <si>
    <t>Montecristi</t>
  </si>
  <si>
    <t>63-964-6954</t>
  </si>
  <si>
    <t>Prince Albert</t>
  </si>
  <si>
    <t>55-569-9247</t>
  </si>
  <si>
    <t>02-911-0447</t>
  </si>
  <si>
    <t>ZajeÄov</t>
  </si>
  <si>
    <t>77-626-7240</t>
  </si>
  <si>
    <t>Liushun</t>
  </si>
  <si>
    <t>75-915-9803</t>
  </si>
  <si>
    <t>Sancha</t>
  </si>
  <si>
    <t>78-905-2660</t>
  </si>
  <si>
    <t>Damnoen Saduak</t>
  </si>
  <si>
    <t>02-677-6735</t>
  </si>
  <si>
    <t>Cianorte</t>
  </si>
  <si>
    <t>20-460-9796</t>
  </si>
  <si>
    <t>Liuzuo</t>
  </si>
  <si>
    <t>57-587-4005</t>
  </si>
  <si>
    <t>99-477-8256</t>
  </si>
  <si>
    <t>KÄshmar</t>
  </si>
  <si>
    <t>03-992-3728</t>
  </si>
  <si>
    <t>â€˜Arad</t>
  </si>
  <si>
    <t>24-878-4507</t>
  </si>
  <si>
    <t>Lenart v Slov. Goricah</t>
  </si>
  <si>
    <t>22-106-8347</t>
  </si>
  <si>
    <t>Bigaa</t>
  </si>
  <si>
    <t>81-479-0790</t>
  </si>
  <si>
    <t>Guadalupe</t>
  </si>
  <si>
    <t>03-023-9932</t>
  </si>
  <si>
    <t>Xiaruyue</t>
  </si>
  <si>
    <t>36-632-2460</t>
  </si>
  <si>
    <t>Gweedore</t>
  </si>
  <si>
    <t>32-799-7704</t>
  </si>
  <si>
    <t>Przelewice</t>
  </si>
  <si>
    <t>09-369-0588</t>
  </si>
  <si>
    <t>Dalumangcob</t>
  </si>
  <si>
    <t>87-727-6434</t>
  </si>
  <si>
    <t>Cravo Norte</t>
  </si>
  <si>
    <t>18-793-9543</t>
  </si>
  <si>
    <t>MonterÃ­a</t>
  </si>
  <si>
    <t>63-625-5757</t>
  </si>
  <si>
    <t>Mikunâ€™</t>
  </si>
  <si>
    <t>93-413-4758</t>
  </si>
  <si>
    <t>Samamiya</t>
  </si>
  <si>
    <t>15-663-7994</t>
  </si>
  <si>
    <t>Tanahmerah</t>
  </si>
  <si>
    <t>29-319-4519</t>
  </si>
  <si>
    <t>Ã–rebro</t>
  </si>
  <si>
    <t>40-347-2903</t>
  </si>
  <si>
    <t>Kefar Yona</t>
  </si>
  <si>
    <t>18-452-1635</t>
  </si>
  <si>
    <t>Pasto</t>
  </si>
  <si>
    <t>47-710-5471</t>
  </si>
  <si>
    <t>Huangtan</t>
  </si>
  <si>
    <t>88-167-7129</t>
  </si>
  <si>
    <t>Ilâ€™inskiy</t>
  </si>
  <si>
    <t>86-771-9082</t>
  </si>
  <si>
    <t>Ugljevik</t>
  </si>
  <si>
    <t>46-678-4172</t>
  </si>
  <si>
    <t>Na Chaluai</t>
  </si>
  <si>
    <t>14-249-1256</t>
  </si>
  <si>
    <t>Marolambo</t>
  </si>
  <si>
    <t>75-617-1460</t>
  </si>
  <si>
    <t>10-247-0192</t>
  </si>
  <si>
    <t>Cali</t>
  </si>
  <si>
    <t>94-120-9525</t>
  </si>
  <si>
    <t>Tamana</t>
  </si>
  <si>
    <t>22-234-9315</t>
  </si>
  <si>
    <t>Miyazu</t>
  </si>
  <si>
    <t>37-560-7247</t>
  </si>
  <si>
    <t>GryfÃ³w ÅšlÄ…ski</t>
  </si>
  <si>
    <t>91-857-0797</t>
  </si>
  <si>
    <t>Pinagsibaan</t>
  </si>
  <si>
    <t>19-344-0102</t>
  </si>
  <si>
    <t>Jardin</t>
  </si>
  <si>
    <t>48-609-7715</t>
  </si>
  <si>
    <t>Aguilares</t>
  </si>
  <si>
    <t>13-571-6506</t>
  </si>
  <si>
    <t>Muslyumovo</t>
  </si>
  <si>
    <t>47-073-6440</t>
  </si>
  <si>
    <t>Taiyuan</t>
  </si>
  <si>
    <t>50-303-1693</t>
  </si>
  <si>
    <t>Chatturat</t>
  </si>
  <si>
    <t>69-157-9577</t>
  </si>
  <si>
    <t>Paisha</t>
  </si>
  <si>
    <t>09-513-4923</t>
  </si>
  <si>
    <t>Kadugadung</t>
  </si>
  <si>
    <t>82-975-8569</t>
  </si>
  <si>
    <t>Paris 15</t>
  </si>
  <si>
    <t>70-774-7728</t>
  </si>
  <si>
    <t>Dualing</t>
  </si>
  <si>
    <t>13-015-8097</t>
  </si>
  <si>
    <t>Adelaide</t>
  </si>
  <si>
    <t>68-391-7279</t>
  </si>
  <si>
    <t>Pingshi</t>
  </si>
  <si>
    <t>28-764-3337</t>
  </si>
  <si>
    <t>Renshan</t>
  </si>
  <si>
    <t>00-285-9607</t>
  </si>
  <si>
    <t>Sobinka</t>
  </si>
  <si>
    <t>04-832-3559</t>
  </si>
  <si>
    <t>Narol</t>
  </si>
  <si>
    <t>27-613-5005</t>
  </si>
  <si>
    <t>Fresno</t>
  </si>
  <si>
    <t>49-825-3438</t>
  </si>
  <si>
    <t>Vabalninkas</t>
  </si>
  <si>
    <t>31-783-9785</t>
  </si>
  <si>
    <t>Jambuwerkrajan</t>
  </si>
  <si>
    <t>58-059-8187</t>
  </si>
  <si>
    <t>Ozubulu</t>
  </si>
  <si>
    <t>74-882-6648</t>
  </si>
  <si>
    <t>Nakhchivan</t>
  </si>
  <si>
    <t>03-180-9200</t>
  </si>
  <si>
    <t>CurumanÃ­</t>
  </si>
  <si>
    <t>46-578-1425</t>
  </si>
  <si>
    <t>Praia</t>
  </si>
  <si>
    <t>13-588-5783</t>
  </si>
  <si>
    <t>25-085-7917</t>
  </si>
  <si>
    <t>Pallisa</t>
  </si>
  <si>
    <t>66-085-1226</t>
  </si>
  <si>
    <t>San Pascual</t>
  </si>
  <si>
    <t>37-037-1765</t>
  </si>
  <si>
    <t>â€˜AÅŸÄ«rah ash ShamÄlÄ«yah</t>
  </si>
  <si>
    <t>48-630-6410</t>
  </si>
  <si>
    <t>Dom Pedrito</t>
  </si>
  <si>
    <t>50-471-0212</t>
  </si>
  <si>
    <t>San SebastiÃ¡n de YalÃ­</t>
  </si>
  <si>
    <t>48-642-5768</t>
  </si>
  <si>
    <t>ShchÃ«kino</t>
  </si>
  <si>
    <t>15-152-9751</t>
  </si>
  <si>
    <t>Turkestan</t>
  </si>
  <si>
    <t>23-451-9920</t>
  </si>
  <si>
    <t>Rzeczenica</t>
  </si>
  <si>
    <t>09-775-4058</t>
  </si>
  <si>
    <t>PerzÃ³w</t>
  </si>
  <si>
    <t>43-595-0966</t>
  </si>
  <si>
    <t>Sabon Gari-Nangere</t>
  </si>
  <si>
    <t>56-592-0089</t>
  </si>
  <si>
    <t>Hengshui</t>
  </si>
  <si>
    <t>29-374-1297</t>
  </si>
  <si>
    <t>Nantes</t>
  </si>
  <si>
    <t>80-728-6133</t>
  </si>
  <si>
    <t>Tamorot</t>
  </si>
  <si>
    <t>58-502-7490</t>
  </si>
  <si>
    <t>Sinchao</t>
  </si>
  <si>
    <t>23-537-0742</t>
  </si>
  <si>
    <t>Anding</t>
  </si>
  <si>
    <t>22-483-3115</t>
  </si>
  <si>
    <t>Rukem</t>
  </si>
  <si>
    <t>57-372-5969</t>
  </si>
  <si>
    <t>Bogovarovo</t>
  </si>
  <si>
    <t>37-283-9076</t>
  </si>
  <si>
    <t>Valbo</t>
  </si>
  <si>
    <t>39-075-3518</t>
  </si>
  <si>
    <t>Jaguaruana</t>
  </si>
  <si>
    <t>84-315-7189</t>
  </si>
  <si>
    <t>Å¢Äqchah KhÄnah</t>
  </si>
  <si>
    <t>75-964-5589</t>
  </si>
  <si>
    <t>Lipovci</t>
  </si>
  <si>
    <t>06-594-3417</t>
  </si>
  <si>
    <t>Panagyurishte</t>
  </si>
  <si>
    <t>08-297-3351</t>
  </si>
  <si>
    <t>Thá»‹ Tráº¥n Than UyÃªn</t>
  </si>
  <si>
    <t>05-546-5128</t>
  </si>
  <si>
    <t>Clichy</t>
  </si>
  <si>
    <t>79-759-6726</t>
  </si>
  <si>
    <t>KÅ‚oczew</t>
  </si>
  <si>
    <t>12-851-1771</t>
  </si>
  <si>
    <t>Zhukovo</t>
  </si>
  <si>
    <t>79-960-1714</t>
  </si>
  <si>
    <t>NykÃ¶ping</t>
  </si>
  <si>
    <t>30-417-6981</t>
  </si>
  <si>
    <t>Jianmin</t>
  </si>
  <si>
    <t>91-532-5399</t>
  </si>
  <si>
    <t>Bucaramanga</t>
  </si>
  <si>
    <t>89-997-9041</t>
  </si>
  <si>
    <t>Kudanding</t>
  </si>
  <si>
    <t>26-235-6745</t>
  </si>
  <si>
    <t>Kyoto</t>
  </si>
  <si>
    <t>99-080-9462</t>
  </si>
  <si>
    <t>Saraburi</t>
  </si>
  <si>
    <t>87-056-8987</t>
  </si>
  <si>
    <t>Negeriagung</t>
  </si>
  <si>
    <t>06-160-8063</t>
  </si>
  <si>
    <t>Latacunga</t>
  </si>
  <si>
    <t>73-434-2308</t>
  </si>
  <si>
    <t>Guanzhou</t>
  </si>
  <si>
    <t>84-260-6464</t>
  </si>
  <si>
    <t>Tabuc Pontevedra</t>
  </si>
  <si>
    <t>00-149-4481</t>
  </si>
  <si>
    <t>Kabale</t>
  </si>
  <si>
    <t>05-710-6109</t>
  </si>
  <si>
    <t>Malveira</t>
  </si>
  <si>
    <t>84-724-8407</t>
  </si>
  <si>
    <t>Veiga</t>
  </si>
  <si>
    <t>45-795-1873</t>
  </si>
  <si>
    <t>Jagistay</t>
  </si>
  <si>
    <t>06-647-3248</t>
  </si>
  <si>
    <t>Yuannan</t>
  </si>
  <si>
    <t>06-767-5206</t>
  </si>
  <si>
    <t>Mount Darwin</t>
  </si>
  <si>
    <t>94-288-4423</t>
  </si>
  <si>
    <t>Qalâ€˜eh-ye KhvÄjeh</t>
  </si>
  <si>
    <t>49-891-9711</t>
  </si>
  <si>
    <t>08-806-0588</t>
  </si>
  <si>
    <t>Al QarÄrah</t>
  </si>
  <si>
    <t>94-746-2001</t>
  </si>
  <si>
    <t>Fandriana</t>
  </si>
  <si>
    <t>38-943-5744</t>
  </si>
  <si>
    <t>Carregueira</t>
  </si>
  <si>
    <t>98-535-8497</t>
  </si>
  <si>
    <t>Lincheng</t>
  </si>
  <si>
    <t>33-243-8793</t>
  </si>
  <si>
    <t>Semenivka</t>
  </si>
  <si>
    <t>99-581-5577</t>
  </si>
  <si>
    <t>YlÃ¤ne</t>
  </si>
  <si>
    <t>64-180-2404</t>
  </si>
  <si>
    <t>Cendagah</t>
  </si>
  <si>
    <t>73-097-0986</t>
  </si>
  <si>
    <t>FÄ«rÅ«zÄbÄd</t>
  </si>
  <si>
    <t>88-051-0567</t>
  </si>
  <si>
    <t>Trondheim</t>
  </si>
  <si>
    <t>44-715-9594</t>
  </si>
  <si>
    <t>Yakovlevo</t>
  </si>
  <si>
    <t>84-188-6577</t>
  </si>
  <si>
    <t>Katav-Ivanovsk</t>
  </si>
  <si>
    <t>19-116-4723</t>
  </si>
  <si>
    <t>Voznesenskoye</t>
  </si>
  <si>
    <t>21-783-9242</t>
  </si>
  <si>
    <t>Voskhod</t>
  </si>
  <si>
    <t>95-528-2313</t>
  </si>
  <si>
    <t>Gudja</t>
  </si>
  <si>
    <t>94-682-4886</t>
  </si>
  <si>
    <t>Gawul</t>
  </si>
  <si>
    <t>55-944-9669</t>
  </si>
  <si>
    <t>Sobeok</t>
  </si>
  <si>
    <t>32-314-2958</t>
  </si>
  <si>
    <t>Nanhuang</t>
  </si>
  <si>
    <t>67-697-2331</t>
  </si>
  <si>
    <t>Tanudan</t>
  </si>
  <si>
    <t>28-855-1639</t>
  </si>
  <si>
    <t>Jiaozuo</t>
  </si>
  <si>
    <t>38-069-8615</t>
  </si>
  <si>
    <t>TakÄb</t>
  </si>
  <si>
    <t>58-233-5963</t>
  </si>
  <si>
    <t>Gualeguay</t>
  </si>
  <si>
    <t>02-004-0620</t>
  </si>
  <si>
    <t>Lagoa Seca</t>
  </si>
  <si>
    <t>78-822-9328</t>
  </si>
  <si>
    <t>Bugarama</t>
  </si>
  <si>
    <t>73-359-1998</t>
  </si>
  <si>
    <t>Dicamay</t>
  </si>
  <si>
    <t>84-459-7736</t>
  </si>
  <si>
    <t>Xiluodu</t>
  </si>
  <si>
    <t>07-395-5818</t>
  </si>
  <si>
    <t>á¸¨abÄbah</t>
  </si>
  <si>
    <t>07-560-6637</t>
  </si>
  <si>
    <t>Lobuk</t>
  </si>
  <si>
    <t>61-926-1691</t>
  </si>
  <si>
    <t>Waiwukak</t>
  </si>
  <si>
    <t>68-129-1060</t>
  </si>
  <si>
    <t>AbaetÃ©</t>
  </si>
  <si>
    <t>04-052-5592</t>
  </si>
  <si>
    <t>Xiaqiao</t>
  </si>
  <si>
    <t>41-215-6092</t>
  </si>
  <si>
    <t>ZubÅ«bah</t>
  </si>
  <si>
    <t>89-833-7175</t>
  </si>
  <si>
    <t>KÄ™sowo</t>
  </si>
  <si>
    <t>08-117-9893</t>
  </si>
  <si>
    <t>Colombo</t>
  </si>
  <si>
    <t>24-109-2173</t>
  </si>
  <si>
    <t>MessÃ­ni</t>
  </si>
  <si>
    <t>79-939-2140</t>
  </si>
  <si>
    <t>Yishui</t>
  </si>
  <si>
    <t>95-999-0984</t>
  </si>
  <si>
    <t>Nanyaojie</t>
  </si>
  <si>
    <t>64-799-3174</t>
  </si>
  <si>
    <t>Buzen</t>
  </si>
  <si>
    <t>27-018-2262</t>
  </si>
  <si>
    <t>Bom Jesus do Itabapoana</t>
  </si>
  <si>
    <t>38-881-0766</t>
  </si>
  <si>
    <t>Centenario</t>
  </si>
  <si>
    <t>17-344-8603</t>
  </si>
  <si>
    <t>Al JÄ«zah</t>
  </si>
  <si>
    <t>51-387-9144</t>
  </si>
  <si>
    <t>Thá»‹ Tráº¥n Cáº©m Thá»§y</t>
  </si>
  <si>
    <t>42-101-8525</t>
  </si>
  <si>
    <t>Curahkalak Tengah</t>
  </si>
  <si>
    <t>69-157-6752</t>
  </si>
  <si>
    <t>Ebu</t>
  </si>
  <si>
    <t>27-843-5553</t>
  </si>
  <si>
    <t>TÃ­o Pujio</t>
  </si>
  <si>
    <t>04-468-5487</t>
  </si>
  <si>
    <t>08-584-8296</t>
  </si>
  <si>
    <t>Shaxi</t>
  </si>
  <si>
    <t>81-014-4502</t>
  </si>
  <si>
    <t>KelÄ«shÄd va SÅ«darjÄn</t>
  </si>
  <si>
    <t>65-167-9819</t>
  </si>
  <si>
    <t>19-925-2376</t>
  </si>
  <si>
    <t>Segodim</t>
  </si>
  <si>
    <t>03-669-7519</t>
  </si>
  <si>
    <t>Yinying</t>
  </si>
  <si>
    <t>00-520-4376</t>
  </si>
  <si>
    <t>Harembo</t>
  </si>
  <si>
    <t>62-701-1037</t>
  </si>
  <si>
    <t>Lazarevac</t>
  </si>
  <si>
    <t>87-806-4478</t>
  </si>
  <si>
    <t>04-809-8989</t>
  </si>
  <si>
    <t>Zhongcun</t>
  </si>
  <si>
    <t>39-867-1989</t>
  </si>
  <si>
    <t>Gaopeng</t>
  </si>
  <si>
    <t>45-584-7333</t>
  </si>
  <si>
    <t>Tabonok</t>
  </si>
  <si>
    <t>85-885-6579</t>
  </si>
  <si>
    <t>Tirana</t>
  </si>
  <si>
    <t>65-457-2840</t>
  </si>
  <si>
    <t>Maralal</t>
  </si>
  <si>
    <t>82-726-1255</t>
  </si>
  <si>
    <t>Xinjiang</t>
  </si>
  <si>
    <t>90-602-3583</t>
  </si>
  <si>
    <t>Mocho</t>
  </si>
  <si>
    <t>02-711-1034</t>
  </si>
  <si>
    <t>Likhoy</t>
  </si>
  <si>
    <t>27-347-7437</t>
  </si>
  <si>
    <t>Mineiros</t>
  </si>
  <si>
    <t>95-675-7816</t>
  </si>
  <si>
    <t>Noisy-le-Grand</t>
  </si>
  <si>
    <t>87-418-1400</t>
  </si>
  <si>
    <t>Taoyuan</t>
  </si>
  <si>
    <t>73-991-0066</t>
  </si>
  <si>
    <t>San Marcos de ColÃ³n</t>
  </si>
  <si>
    <t>62-273-8089</t>
  </si>
  <si>
    <t>Pokrovka</t>
  </si>
  <si>
    <t>51-220-3072</t>
  </si>
  <si>
    <t>Shuntian</t>
  </si>
  <si>
    <t>17-648-0171</t>
  </si>
  <si>
    <t>JoÃ£o CÃ¢mara</t>
  </si>
  <si>
    <t>11-975-9054</t>
  </si>
  <si>
    <t>Cunha</t>
  </si>
  <si>
    <t>75-518-2831</t>
  </si>
  <si>
    <t>Fengyi</t>
  </si>
  <si>
    <t>13-297-9777</t>
  </si>
  <si>
    <t>Myshkin</t>
  </si>
  <si>
    <t>81-604-7906</t>
  </si>
  <si>
    <t>Tewulike</t>
  </si>
  <si>
    <t>87-518-0375</t>
  </si>
  <si>
    <t>Bistrinci</t>
  </si>
  <si>
    <t>53-437-2629</t>
  </si>
  <si>
    <t>Chenguang</t>
  </si>
  <si>
    <t>46-681-0764</t>
  </si>
  <si>
    <t>Muara</t>
  </si>
  <si>
    <t>43-990-6454</t>
  </si>
  <si>
    <t>Qorveh</t>
  </si>
  <si>
    <t>55-570-3804</t>
  </si>
  <si>
    <t>Bom Despacho</t>
  </si>
  <si>
    <t>29-067-4901</t>
  </si>
  <si>
    <t>Arhust</t>
  </si>
  <si>
    <t>93-957-6269</t>
  </si>
  <si>
    <t>Thaton</t>
  </si>
  <si>
    <t>81-225-6647</t>
  </si>
  <si>
    <t>Changbai</t>
  </si>
  <si>
    <t>64-706-7841</t>
  </si>
  <si>
    <t>Kragan</t>
  </si>
  <si>
    <t>47-178-9529</t>
  </si>
  <si>
    <t>Bida</t>
  </si>
  <si>
    <t>63-808-3641</t>
  </si>
  <si>
    <t>Pointe Michel</t>
  </si>
  <si>
    <t>85-738-8909</t>
  </si>
  <si>
    <t>Juyuan</t>
  </si>
  <si>
    <t>40-224-1057</t>
  </si>
  <si>
    <t>Sabugo</t>
  </si>
  <si>
    <t>24-853-1635</t>
  </si>
  <si>
    <t>Huangjin</t>
  </si>
  <si>
    <t>61-627-1822</t>
  </si>
  <si>
    <t>Huquan</t>
  </si>
  <si>
    <t>89-392-5002</t>
  </si>
  <si>
    <t>Xinqiao</t>
  </si>
  <si>
    <t>71-573-6085</t>
  </si>
  <si>
    <t>Trzemeszno</t>
  </si>
  <si>
    <t>91-810-3612</t>
  </si>
  <si>
    <t>Dashkawka</t>
  </si>
  <si>
    <t>07-323-0255</t>
  </si>
  <si>
    <t>Sakura</t>
  </si>
  <si>
    <t>81-054-5343</t>
  </si>
  <si>
    <t>Lianghu</t>
  </si>
  <si>
    <t>14-854-9545</t>
  </si>
  <si>
    <t>Karabash</t>
  </si>
  <si>
    <t>52-150-4629</t>
  </si>
  <si>
    <t>Maomiaoji</t>
  </si>
  <si>
    <t>48-918-4473</t>
  </si>
  <si>
    <t>Pingtian</t>
  </si>
  <si>
    <t>06-764-5496</t>
  </si>
  <si>
    <t>TiÅ¡ina</t>
  </si>
  <si>
    <t>67-036-4295</t>
  </si>
  <si>
    <t>Montceau-les-Mines</t>
  </si>
  <si>
    <t>35-880-9374</t>
  </si>
  <si>
    <t>Karengan</t>
  </si>
  <si>
    <t>08-614-6177</t>
  </si>
  <si>
    <t>Sungai Raya</t>
  </si>
  <si>
    <t>35-879-0014</t>
  </si>
  <si>
    <t>Zwedru</t>
  </si>
  <si>
    <t>91-570-2695</t>
  </si>
  <si>
    <t>Å¢ahÅ£Ä</t>
  </si>
  <si>
    <t>54-193-3526</t>
  </si>
  <si>
    <t>Masaran</t>
  </si>
  <si>
    <t>55-237-7991</t>
  </si>
  <si>
    <t>Huangtang</t>
  </si>
  <si>
    <t>90-569-7391</t>
  </si>
  <si>
    <t>SkoÃºtari</t>
  </si>
  <si>
    <t>88-395-8741</t>
  </si>
  <si>
    <t>Jelat</t>
  </si>
  <si>
    <t>06-638-0433</t>
  </si>
  <si>
    <t>Doibang</t>
  </si>
  <si>
    <t>84-208-7045</t>
  </si>
  <si>
    <t>Kazimierz Dolny</t>
  </si>
  <si>
    <t>71-568-0867</t>
  </si>
  <si>
    <t>Margasari</t>
  </si>
  <si>
    <t>18-925-1867</t>
  </si>
  <si>
    <t>GarÃ§a</t>
  </si>
  <si>
    <t>69-394-1424</t>
  </si>
  <si>
    <t>Muff</t>
  </si>
  <si>
    <t>91-695-8237</t>
  </si>
  <si>
    <t>Kryva Hora</t>
  </si>
  <si>
    <t>68-458-0904</t>
  </si>
  <si>
    <t>Pyra</t>
  </si>
  <si>
    <t>28-862-5550</t>
  </si>
  <si>
    <t>General Lavalle</t>
  </si>
  <si>
    <t>85-666-7449</t>
  </si>
  <si>
    <t>Zhongzhang</t>
  </si>
  <si>
    <t>30-987-7421</t>
  </si>
  <si>
    <t>Estacion</t>
  </si>
  <si>
    <t>39-107-6852</t>
  </si>
  <si>
    <t>Xinglongchang</t>
  </si>
  <si>
    <t>85-467-6564</t>
  </si>
  <si>
    <t>San Nicolas</t>
  </si>
  <si>
    <t>82-692-9306</t>
  </si>
  <si>
    <t>Ropa</t>
  </si>
  <si>
    <t>18-593-8611</t>
  </si>
  <si>
    <t>San Diego</t>
  </si>
  <si>
    <t>93-093-0556</t>
  </si>
  <si>
    <t>Pan-an</t>
  </si>
  <si>
    <t>59-080-5779</t>
  </si>
  <si>
    <t>Shu</t>
  </si>
  <si>
    <t>64-915-2968</t>
  </si>
  <si>
    <t>94-495-3402</t>
  </si>
  <si>
    <t>Mojogajeh</t>
  </si>
  <si>
    <t>84-458-6432</t>
  </si>
  <si>
    <t>Mawu</t>
  </si>
  <si>
    <t>46-452-3822</t>
  </si>
  <si>
    <t>Genting</t>
  </si>
  <si>
    <t>54-877-5699</t>
  </si>
  <si>
    <t>Madan</t>
  </si>
  <si>
    <t>15-146-4456</t>
  </si>
  <si>
    <t>Hexiangqiao</t>
  </si>
  <si>
    <t>76-620-2994</t>
  </si>
  <si>
    <t>Na Muen</t>
  </si>
  <si>
    <t>60-834-3348</t>
  </si>
  <si>
    <t>Gafargaon</t>
  </si>
  <si>
    <t>77-742-5663</t>
  </si>
  <si>
    <t>Qingban</t>
  </si>
  <si>
    <t>05-167-0833</t>
  </si>
  <si>
    <t>LabÃ¨ge</t>
  </si>
  <si>
    <t>86-182-9556</t>
  </si>
  <si>
    <t>Port Elizabeth</t>
  </si>
  <si>
    <t>14-415-2802</t>
  </si>
  <si>
    <t>Sauri</t>
  </si>
  <si>
    <t>49-469-9163</t>
  </si>
  <si>
    <t>Desakolot</t>
  </si>
  <si>
    <t>67-937-6624</t>
  </si>
  <si>
    <t>Huambo</t>
  </si>
  <si>
    <t>91-761-9492</t>
  </si>
  <si>
    <t>Luoting</t>
  </si>
  <si>
    <t>19-184-7665</t>
  </si>
  <si>
    <t>Stepnogorsk</t>
  </si>
  <si>
    <t>19-383-9741</t>
  </si>
  <si>
    <t>Zarechnyy</t>
  </si>
  <si>
    <t>15-625-4047</t>
  </si>
  <si>
    <t>81-820-4735</t>
  </si>
  <si>
    <t>Banjar Medura</t>
  </si>
  <si>
    <t>71-436-6908</t>
  </si>
  <si>
    <t>Arnprior</t>
  </si>
  <si>
    <t>73-145-5784</t>
  </si>
  <si>
    <t>Donglu</t>
  </si>
  <si>
    <t>50-637-1630</t>
  </si>
  <si>
    <t>Inderka</t>
  </si>
  <si>
    <t>44-938-7475</t>
  </si>
  <si>
    <t>Tochio-honchÅ</t>
  </si>
  <si>
    <t>55-279-3045</t>
  </si>
  <si>
    <t>Pasadena</t>
  </si>
  <si>
    <t>59-997-3903</t>
  </si>
  <si>
    <t>BarishÄl</t>
  </si>
  <si>
    <t>12-029-9344</t>
  </si>
  <si>
    <t>Kihurio</t>
  </si>
  <si>
    <t>41-130-2570</t>
  </si>
  <si>
    <t>Oekero</t>
  </si>
  <si>
    <t>25-285-7453</t>
  </si>
  <si>
    <t>Cluses</t>
  </si>
  <si>
    <t>47-225-8686</t>
  </si>
  <si>
    <t>WrzÄ…sowice</t>
  </si>
  <si>
    <t>33-519-4214</t>
  </si>
  <si>
    <t>Hengfeng</t>
  </si>
  <si>
    <t>03-991-2098</t>
  </si>
  <si>
    <t>Bor</t>
  </si>
  <si>
    <t>30-735-8744</t>
  </si>
  <si>
    <t>Nawu</t>
  </si>
  <si>
    <t>13-848-5757</t>
  </si>
  <si>
    <t>Longotea</t>
  </si>
  <si>
    <t>21-300-2001</t>
  </si>
  <si>
    <t>á¸¨abÄ«l al Jabr</t>
  </si>
  <si>
    <t>38-587-1781</t>
  </si>
  <si>
    <t>Gueset</t>
  </si>
  <si>
    <t>66-557-1474</t>
  </si>
  <si>
    <t>LÄ«kak</t>
  </si>
  <si>
    <t>03-422-8710</t>
  </si>
  <si>
    <t>Yuanguping</t>
  </si>
  <si>
    <t>39-731-8532</t>
  </si>
  <si>
    <t>ColÃ³n</t>
  </si>
  <si>
    <t>80-830-3184</t>
  </si>
  <si>
    <t>Lyon</t>
  </si>
  <si>
    <t>97-505-8416</t>
  </si>
  <si>
    <t>Chamical</t>
  </si>
  <si>
    <t>98-585-4742</t>
  </si>
  <si>
    <t>Ãgios AndrÃ©as</t>
  </si>
  <si>
    <t>51-302-9537</t>
  </si>
  <si>
    <t>Cibeusi</t>
  </si>
  <si>
    <t>88-313-2633</t>
  </si>
  <si>
    <t>ItsandzÃ©ni</t>
  </si>
  <si>
    <t>61-286-0069</t>
  </si>
  <si>
    <t>Kosh-Agach</t>
  </si>
  <si>
    <t>35-907-0586</t>
  </si>
  <si>
    <t>Kuafeu</t>
  </si>
  <si>
    <t>30-522-1574</t>
  </si>
  <si>
    <t>Xincheng</t>
  </si>
  <si>
    <t>43-715-8777</t>
  </si>
  <si>
    <t>Minneapolis</t>
  </si>
  <si>
    <t>94-692-4313</t>
  </si>
  <si>
    <t>PÃ©fki</t>
  </si>
  <si>
    <t>96-915-4091</t>
  </si>
  <si>
    <t>á¸¨awallÄ«</t>
  </si>
  <si>
    <t>67-073-5578</t>
  </si>
  <si>
    <t>27-010-9462</t>
  </si>
  <si>
    <t>Imielin</t>
  </si>
  <si>
    <t>19-689-4556</t>
  </si>
  <si>
    <t>Przeworsk</t>
  </si>
  <si>
    <t>53-143-6147</t>
  </si>
  <si>
    <t>Amsterdam Nieuw West</t>
  </si>
  <si>
    <t>02-725-7664</t>
  </si>
  <si>
    <t>Klishkivtsi</t>
  </si>
  <si>
    <t>54-439-4748</t>
  </si>
  <si>
    <t>Borova</t>
  </si>
  <si>
    <t>66-949-9895</t>
  </si>
  <si>
    <t>Vendargues</t>
  </si>
  <si>
    <t>20-648-1010</t>
  </si>
  <si>
    <t>Zilang</t>
  </si>
  <si>
    <t>79-939-5393</t>
  </si>
  <si>
    <t>Camalote</t>
  </si>
  <si>
    <t>89-249-8369</t>
  </si>
  <si>
    <t>Julayjilah</t>
  </si>
  <si>
    <t>85-366-1482</t>
  </si>
  <si>
    <t>Badajoz</t>
  </si>
  <si>
    <t>34-874-7357</t>
  </si>
  <si>
    <t>Fort Wayne</t>
  </si>
  <si>
    <t>11-820-5039</t>
  </si>
  <si>
    <t>GalÃ¡n</t>
  </si>
  <si>
    <t>73-846-1423</t>
  </si>
  <si>
    <t>Saint Joseph</t>
  </si>
  <si>
    <t>90-363-8040</t>
  </si>
  <si>
    <t>Hospitalet De Llobregat, L'</t>
  </si>
  <si>
    <t>65-533-1660</t>
  </si>
  <si>
    <t>Palma De Mallorca</t>
  </si>
  <si>
    <t>98-376-8787</t>
  </si>
  <si>
    <t>Pho Duc</t>
  </si>
  <si>
    <t>18-938-9896</t>
  </si>
  <si>
    <t>Åeba</t>
  </si>
  <si>
    <t>04-829-7037</t>
  </si>
  <si>
    <t>Yaguaraparo</t>
  </si>
  <si>
    <t>93-455-0576</t>
  </si>
  <si>
    <t>Novoorsk</t>
  </si>
  <si>
    <t>84-637-9188</t>
  </si>
  <si>
    <t>Wuyang</t>
  </si>
  <si>
    <t>81-111-7832</t>
  </si>
  <si>
    <t>PelasgÃ­a</t>
  </si>
  <si>
    <t>77-401-8183</t>
  </si>
  <si>
    <t>PhÃºc Thá»</t>
  </si>
  <si>
    <t>01-484-8220</t>
  </si>
  <si>
    <t>Vsevolozhsk</t>
  </si>
  <si>
    <t>11-121-0709</t>
  </si>
  <si>
    <t>Kara Suu</t>
  </si>
  <si>
    <t>36-649-0081</t>
  </si>
  <si>
    <t>Beigucheng</t>
  </si>
  <si>
    <t>61-176-8712</t>
  </si>
  <si>
    <t>Cerro</t>
  </si>
  <si>
    <t>75-526-2611</t>
  </si>
  <si>
    <t>Yamaga</t>
  </si>
  <si>
    <t>72-339-1854</t>
  </si>
  <si>
    <t>Sacramento</t>
  </si>
  <si>
    <t>80-360-6324</t>
  </si>
  <si>
    <t>Foso</t>
  </si>
  <si>
    <t>24-591-4327</t>
  </si>
  <si>
    <t>Nowe Brzesko</t>
  </si>
  <si>
    <t>58-487-8848</t>
  </si>
  <si>
    <t>KonÄrak</t>
  </si>
  <si>
    <t>61-453-3503</t>
  </si>
  <si>
    <t>Qingshandi</t>
  </si>
  <si>
    <t>63-680-7694</t>
  </si>
  <si>
    <t>Mbala</t>
  </si>
  <si>
    <t>51-431-7150</t>
  </si>
  <si>
    <t>Shiqiao</t>
  </si>
  <si>
    <t>23-039-9347</t>
  </si>
  <si>
    <t>Yatsuomachi-higashikumisaka</t>
  </si>
  <si>
    <t>18-832-6916</t>
  </si>
  <si>
    <t>Czarna DÄ…brÃ³wka</t>
  </si>
  <si>
    <t>29-438-8126</t>
  </si>
  <si>
    <t>Pasirmadang</t>
  </si>
  <si>
    <t>68-201-1633</t>
  </si>
  <si>
    <t>MaÃ±o</t>
  </si>
  <si>
    <t>07-314-2945</t>
  </si>
  <si>
    <t>Tiwi</t>
  </si>
  <si>
    <t>64-490-6975</t>
  </si>
  <si>
    <t>Ahar</t>
  </si>
  <si>
    <t>91-789-3191</t>
  </si>
  <si>
    <t>Dake</t>
  </si>
  <si>
    <t>83-714-9649</t>
  </si>
  <si>
    <t>Harstad</t>
  </si>
  <si>
    <t>33-203-4230</t>
  </si>
  <si>
    <t>Perbaungan</t>
  </si>
  <si>
    <t>90-918-2833</t>
  </si>
  <si>
    <t>Soroti</t>
  </si>
  <si>
    <t>53-409-1176</t>
  </si>
  <si>
    <t>Caruaru</t>
  </si>
  <si>
    <t>52-491-3386</t>
  </si>
  <si>
    <t>Kamiennik</t>
  </si>
  <si>
    <t>10-870-3357</t>
  </si>
  <si>
    <t>Boundiali</t>
  </si>
  <si>
    <t>41-816-7753</t>
  </si>
  <si>
    <t>GÃ¶tene</t>
  </si>
  <si>
    <t>68-296-5978</t>
  </si>
  <si>
    <t>Kadumelati</t>
  </si>
  <si>
    <t>03-874-9055</t>
  </si>
  <si>
    <t>Amparo</t>
  </si>
  <si>
    <t>28-123-8406</t>
  </si>
  <si>
    <t>Shimen</t>
  </si>
  <si>
    <t>01-089-2223</t>
  </si>
  <si>
    <t>Philadelphia</t>
  </si>
  <si>
    <t>23-758-1012</t>
  </si>
  <si>
    <t>Myingyan</t>
  </si>
  <si>
    <t>34-788-8387</t>
  </si>
  <si>
    <t>Qingqu</t>
  </si>
  <si>
    <t>53-865-9342</t>
  </si>
  <si>
    <t>Poste de Flacq</t>
  </si>
  <si>
    <t>79-052-8470</t>
  </si>
  <si>
    <t>Å¢awr al BÄá¸©ah</t>
  </si>
  <si>
    <t>86-359-7320</t>
  </si>
  <si>
    <t>Phu Loc</t>
  </si>
  <si>
    <t>27-111-2242</t>
  </si>
  <si>
    <t>Jembangan</t>
  </si>
  <si>
    <t>84-538-0238</t>
  </si>
  <si>
    <t>Harhorin</t>
  </si>
  <si>
    <t>04-660-2742</t>
  </si>
  <si>
    <t>Meijiang</t>
  </si>
  <si>
    <t>96-496-9833</t>
  </si>
  <si>
    <t>LaÃ±gub</t>
  </si>
  <si>
    <t>27-672-6081</t>
  </si>
  <si>
    <t>Bangbayang</t>
  </si>
  <si>
    <t>66-033-0540</t>
  </si>
  <si>
    <t>StÄ›boÅ™ice</t>
  </si>
  <si>
    <t>99-643-9845</t>
  </si>
  <si>
    <t>Banturkrajan</t>
  </si>
  <si>
    <t>27-571-9402</t>
  </si>
  <si>
    <t>SÃ£o Torcato</t>
  </si>
  <si>
    <t>10-430-5821</t>
  </si>
  <si>
    <t>Kapan</t>
  </si>
  <si>
    <t>36-835-7445</t>
  </si>
  <si>
    <t>VÄƒn Giang</t>
  </si>
  <si>
    <t>41-602-4042</t>
  </si>
  <si>
    <t>63-743-6962</t>
  </si>
  <si>
    <t>Tanushimarumachi-toyoki</t>
  </si>
  <si>
    <t>66-772-9922</t>
  </si>
  <si>
    <t>Kazo</t>
  </si>
  <si>
    <t>23-246-5927</t>
  </si>
  <si>
    <t>Rawa Mazowiecka</t>
  </si>
  <si>
    <t>74-022-7557</t>
  </si>
  <si>
    <t>WÅnsan</t>
  </si>
  <si>
    <t>78-214-5658</t>
  </si>
  <si>
    <t>Villavicencio</t>
  </si>
  <si>
    <t>25-286-8786</t>
  </si>
  <si>
    <t>Berlin</t>
  </si>
  <si>
    <t>55-955-9889</t>
  </si>
  <si>
    <t>Wailang</t>
  </si>
  <si>
    <t>34-237-3943</t>
  </si>
  <si>
    <t>Fangshan</t>
  </si>
  <si>
    <t>19-386-9088</t>
  </si>
  <si>
    <t>Tallahassee</t>
  </si>
  <si>
    <t>16-583-2801</t>
  </si>
  <si>
    <t>Anchorage</t>
  </si>
  <si>
    <t>83-752-5439</t>
  </si>
  <si>
    <t>Mulhouse</t>
  </si>
  <si>
    <t>25-485-2023</t>
  </si>
  <si>
    <t>Tangkilsari</t>
  </si>
  <si>
    <t>90-822-7664</t>
  </si>
  <si>
    <t>San Carlos</t>
  </si>
  <si>
    <t>22-039-6819</t>
  </si>
  <si>
    <t>Queluz</t>
  </si>
  <si>
    <t>50-395-1941</t>
  </si>
  <si>
    <t>SÃ¤rkisalo</t>
  </si>
  <si>
    <t>99-771-9310</t>
  </si>
  <si>
    <t>Vitoria-Gasteiz</t>
  </si>
  <si>
    <t>18-518-0140</t>
  </si>
  <si>
    <t>Coro</t>
  </si>
  <si>
    <t>57-000-8646</t>
  </si>
  <si>
    <t>Purwa</t>
  </si>
  <si>
    <t>81-926-9297</t>
  </si>
  <si>
    <t>GÃ¤vle</t>
  </si>
  <si>
    <t>53-070-2625</t>
  </si>
  <si>
    <t>Embu GuaÃ§u</t>
  </si>
  <si>
    <t>63-217-7638</t>
  </si>
  <si>
    <t>64-120-6212</t>
  </si>
  <si>
    <t>Fubin</t>
  </si>
  <si>
    <t>01-404-3425</t>
  </si>
  <si>
    <t>Talshand</t>
  </si>
  <si>
    <t>68-971-6148</t>
  </si>
  <si>
    <t>Palampal</t>
  </si>
  <si>
    <t>22-053-4627</t>
  </si>
  <si>
    <t>KamÃ¡rai</t>
  </si>
  <si>
    <t>09-258-0424</t>
  </si>
  <si>
    <t>Ettelbruck</t>
  </si>
  <si>
    <t>56-782-9001</t>
  </si>
  <si>
    <t>Cawayan</t>
  </si>
  <si>
    <t>05-506-7216</t>
  </si>
  <si>
    <t>Don Carlos</t>
  </si>
  <si>
    <t>47-356-9730</t>
  </si>
  <si>
    <t>42-898-6421</t>
  </si>
  <si>
    <t>Cervantes</t>
  </si>
  <si>
    <t>17-364-8685</t>
  </si>
  <si>
    <t>Ebebiyin</t>
  </si>
  <si>
    <t>13-618-9438</t>
  </si>
  <si>
    <t>Chuquitira</t>
  </si>
  <si>
    <t>32-457-2982</t>
  </si>
  <si>
    <t>Proletarsk</t>
  </si>
  <si>
    <t>43-386-2489</t>
  </si>
  <si>
    <t>Naghalin</t>
  </si>
  <si>
    <t>67-438-2378</t>
  </si>
  <si>
    <t>Honolulu</t>
  </si>
  <si>
    <t>65-431-1264</t>
  </si>
  <si>
    <t>Dhalie</t>
  </si>
  <si>
    <t>73-367-8478</t>
  </si>
  <si>
    <t>Giesteira</t>
  </si>
  <si>
    <t>84-162-8799</t>
  </si>
  <si>
    <t>Khilok</t>
  </si>
  <si>
    <t>51-546-9992</t>
  </si>
  <si>
    <t>89-189-3295</t>
  </si>
  <si>
    <t>Vereshchagino</t>
  </si>
  <si>
    <t>45-776-7217</t>
  </si>
  <si>
    <t>Binagadi</t>
  </si>
  <si>
    <t>71-354-5174</t>
  </si>
  <si>
    <t>Tsuen Wan</t>
  </si>
  <si>
    <t>05-975-6985</t>
  </si>
  <si>
    <t>Banjar Batanpoh</t>
  </si>
  <si>
    <t>42-859-2475</t>
  </si>
  <si>
    <t>Yenakiyeve</t>
  </si>
  <si>
    <t>34-094-1923</t>
  </si>
  <si>
    <t>San Ramon</t>
  </si>
  <si>
    <t>57-797-8139</t>
  </si>
  <si>
    <t>SakÃ©tÃ©</t>
  </si>
  <si>
    <t>21-048-8669</t>
  </si>
  <si>
    <t>Pantenan</t>
  </si>
  <si>
    <t>30-038-8752</t>
  </si>
  <si>
    <t>Antrukan</t>
  </si>
  <si>
    <t>06-237-7338</t>
  </si>
  <si>
    <t>Dhahab</t>
  </si>
  <si>
    <t>71-817-5422</t>
  </si>
  <si>
    <t>Vetluga</t>
  </si>
  <si>
    <t>68-512-0568</t>
  </si>
  <si>
    <t>Wolfsberg</t>
  </si>
  <si>
    <t>18-633-9387</t>
  </si>
  <si>
    <t>San Bautista</t>
  </si>
  <si>
    <t>08-977-4418</t>
  </si>
  <si>
    <t>Reuleuet</t>
  </si>
  <si>
    <t>97-738-8095</t>
  </si>
  <si>
    <t>Lonpao Dajah</t>
  </si>
  <si>
    <t>15-421-1255</t>
  </si>
  <si>
    <t>Nanqiao</t>
  </si>
  <si>
    <t>92-142-4328</t>
  </si>
  <si>
    <t>06-357-6548</t>
  </si>
  <si>
    <t>Ishikawa</t>
  </si>
  <si>
    <t>59-261-4453</t>
  </si>
  <si>
    <t>Oguma</t>
  </si>
  <si>
    <t>35-644-3184</t>
  </si>
  <si>
    <t>TÄ›Å¡any</t>
  </si>
  <si>
    <t>30-528-9105</t>
  </si>
  <si>
    <t>Aksha</t>
  </si>
  <si>
    <t>14-709-8547</t>
  </si>
  <si>
    <t>Lahan Sai</t>
  </si>
  <si>
    <t>80-508-9866</t>
  </si>
  <si>
    <t>EstÃ¢ncia</t>
  </si>
  <si>
    <t>27-100-0661</t>
  </si>
  <si>
    <t>Las Lomas</t>
  </si>
  <si>
    <t>68-488-7343</t>
  </si>
  <si>
    <t>Xiamayu</t>
  </si>
  <si>
    <t>63-304-1852</t>
  </si>
  <si>
    <t>IÃ±apari</t>
  </si>
  <si>
    <t>53-843-5619</t>
  </si>
  <si>
    <t>Orsay</t>
  </si>
  <si>
    <t>44-786-7696</t>
  </si>
  <si>
    <t>Zhongying</t>
  </si>
  <si>
    <t>45-631-4619</t>
  </si>
  <si>
    <t>Bayá¸©Än</t>
  </si>
  <si>
    <t>11-850-1953</t>
  </si>
  <si>
    <t>Beizhakou</t>
  </si>
  <si>
    <t>20-421-2544</t>
  </si>
  <si>
    <t>KyÅngsÅng</t>
  </si>
  <si>
    <t>37-100-8709</t>
  </si>
  <si>
    <t>Turinsk</t>
  </si>
  <si>
    <t>78-361-5100</t>
  </si>
  <si>
    <t>As SawdÄ</t>
  </si>
  <si>
    <t>67-676-5945</t>
  </si>
  <si>
    <t>Legaspi</t>
  </si>
  <si>
    <t>67-639-5838</t>
  </si>
  <si>
    <t>Shimorskoye</t>
  </si>
  <si>
    <t>51-415-1931</t>
  </si>
  <si>
    <t>KoÅ›cielec</t>
  </si>
  <si>
    <t>96-764-3843</t>
  </si>
  <si>
    <t>Yongfu</t>
  </si>
  <si>
    <t>16-730-2056</t>
  </si>
  <si>
    <t>VinkkilÃ¤</t>
  </si>
  <si>
    <t>22-157-2494</t>
  </si>
  <si>
    <t>Revolucion Verde</t>
  </si>
  <si>
    <t>29-341-6463</t>
  </si>
  <si>
    <t>Newton</t>
  </si>
  <si>
    <t>64-906-4475</t>
  </si>
  <si>
    <t>Nantang</t>
  </si>
  <si>
    <t>36-340-8494</t>
  </si>
  <si>
    <t>Perugia</t>
  </si>
  <si>
    <t>77-031-4898</t>
  </si>
  <si>
    <t>Tancheng</t>
  </si>
  <si>
    <t>86-097-9642</t>
  </si>
  <si>
    <t>Leon Postigo</t>
  </si>
  <si>
    <t>64-090-3433</t>
  </si>
  <si>
    <t>BollÃ¨ne</t>
  </si>
  <si>
    <t>96-140-1936</t>
  </si>
  <si>
    <t>Baihe</t>
  </si>
  <si>
    <t>38-830-6976</t>
  </si>
  <si>
    <t>Puqi</t>
  </si>
  <si>
    <t>82-864-1154</t>
  </si>
  <si>
    <t>Pedraza</t>
  </si>
  <si>
    <t>79-711-6779</t>
  </si>
  <si>
    <t>22-860-9860</t>
  </si>
  <si>
    <t>Pasinan Barat</t>
  </si>
  <si>
    <t>72-590-6161</t>
  </si>
  <si>
    <t>Saltpond</t>
  </si>
  <si>
    <t>76-213-5806</t>
  </si>
  <si>
    <t>Rende</t>
  </si>
  <si>
    <t>66-894-5431</t>
  </si>
  <si>
    <t>Zarasai</t>
  </si>
  <si>
    <t>20-939-3906</t>
  </si>
  <si>
    <t>Nanchangshan</t>
  </si>
  <si>
    <t>86-390-9555</t>
  </si>
  <si>
    <t>PegÃµes</t>
  </si>
  <si>
    <t>91-602-0761</t>
  </si>
  <si>
    <t>EspÃ­rito Santo do Pinhal</t>
  </si>
  <si>
    <t>62-974-7965</t>
  </si>
  <si>
    <t>Ãšjezd</t>
  </si>
  <si>
    <t>21-232-1397</t>
  </si>
  <si>
    <t>Bhadrapur</t>
  </si>
  <si>
    <t>31-364-4144</t>
  </si>
  <si>
    <t>Kostrovo</t>
  </si>
  <si>
    <t>99-945-7193</t>
  </si>
  <si>
    <t>Lemery</t>
  </si>
  <si>
    <t>91-053-3261</t>
  </si>
  <si>
    <t>Youcheng</t>
  </si>
  <si>
    <t>50-447-5171</t>
  </si>
  <si>
    <t>Napoli</t>
  </si>
  <si>
    <t>89-754-7244</t>
  </si>
  <si>
    <t>El CaÃ±o</t>
  </si>
  <si>
    <t>56-072-7011</t>
  </si>
  <si>
    <t>Heemstede</t>
  </si>
  <si>
    <t>74-281-3421</t>
  </si>
  <si>
    <t>Panyam</t>
  </si>
  <si>
    <t>86-068-2133</t>
  </si>
  <si>
    <t>Faraulep</t>
  </si>
  <si>
    <t>03-102-0288</t>
  </si>
  <si>
    <t>San Isidro</t>
  </si>
  <si>
    <t>74-033-1145</t>
  </si>
  <si>
    <t>Mranggen</t>
  </si>
  <si>
    <t>24-272-6205</t>
  </si>
  <si>
    <t>Cigadog</t>
  </si>
  <si>
    <t>90-170-1951</t>
  </si>
  <si>
    <t>Caitang</t>
  </si>
  <si>
    <t>73-259-8940</t>
  </si>
  <si>
    <t>Masoyila</t>
  </si>
  <si>
    <t>77-796-5786</t>
  </si>
  <si>
    <t>Beiyuan</t>
  </si>
  <si>
    <t>23-949-1954</t>
  </si>
  <si>
    <t>Kariya</t>
  </si>
  <si>
    <t>51-313-7293</t>
  </si>
  <si>
    <t>Malakhovka</t>
  </si>
  <si>
    <t>62-797-9254</t>
  </si>
  <si>
    <t>At-Bashi</t>
  </si>
  <si>
    <t>27-941-4995</t>
  </si>
  <si>
    <t>Sankeyushu</t>
  </si>
  <si>
    <t>01-799-2615</t>
  </si>
  <si>
    <t>Limoges</t>
  </si>
  <si>
    <t>82-133-0444</t>
  </si>
  <si>
    <t>HÃ¤gersten</t>
  </si>
  <si>
    <t>43-920-9499</t>
  </si>
  <si>
    <t>Tarata</t>
  </si>
  <si>
    <t>17-551-9779</t>
  </si>
  <si>
    <t>Marabahan</t>
  </si>
  <si>
    <t>49-037-2300</t>
  </si>
  <si>
    <t>EslÄmÄbÄd</t>
  </si>
  <si>
    <t>95-876-9757</t>
  </si>
  <si>
    <t>Emar</t>
  </si>
  <si>
    <t>47-947-4888</t>
  </si>
  <si>
    <t>Baisha</t>
  </si>
  <si>
    <t>83-003-2165</t>
  </si>
  <si>
    <t>27-619-9264</t>
  </si>
  <si>
    <t>49-476-1729</t>
  </si>
  <si>
    <t>SkÃ³rzec</t>
  </si>
  <si>
    <t>64-803-7087</t>
  </si>
  <si>
    <t>SÃ£o JoÃ£o dos Inhamuns</t>
  </si>
  <si>
    <t>01-925-4021</t>
  </si>
  <si>
    <t>Tambaksari</t>
  </si>
  <si>
    <t>51-116-5937</t>
  </si>
  <si>
    <t>Lazarat</t>
  </si>
  <si>
    <t>72-454-2741</t>
  </si>
  <si>
    <t>Belene</t>
  </si>
  <si>
    <t>96-484-1000</t>
  </si>
  <si>
    <t>Xiangshan</t>
  </si>
  <si>
    <t>07-834-3350</t>
  </si>
  <si>
    <t>11-802-5604</t>
  </si>
  <si>
    <t>Zengfu</t>
  </si>
  <si>
    <t>41-750-4105</t>
  </si>
  <si>
    <t>Tingsryd</t>
  </si>
  <si>
    <t>31-491-8457</t>
  </si>
  <si>
    <t>Tipaz</t>
  </si>
  <si>
    <t>86-257-9581</t>
  </si>
  <si>
    <t>WÄdÄ« as SalqÄ</t>
  </si>
  <si>
    <t>22-981-6595</t>
  </si>
  <si>
    <t>Wasagu</t>
  </si>
  <si>
    <t>54-002-5845</t>
  </si>
  <si>
    <t>Wangsi</t>
  </si>
  <si>
    <t>31-927-7787</t>
  </si>
  <si>
    <t>Esmeralda</t>
  </si>
  <si>
    <t>46-098-9737</t>
  </si>
  <si>
    <t>Chivilcoy</t>
  </si>
  <si>
    <t>27-017-7173</t>
  </si>
  <si>
    <t>SÃ£o Miguel do Araguaia</t>
  </si>
  <si>
    <t>53-102-9949</t>
  </si>
  <si>
    <t>Libei</t>
  </si>
  <si>
    <t>02-676-9312</t>
  </si>
  <si>
    <t>28-969-7540</t>
  </si>
  <si>
    <t>KuÃ§ovÃ«</t>
  </si>
  <si>
    <t>30-083-9565</t>
  </si>
  <si>
    <t>Bokong Timur</t>
  </si>
  <si>
    <t>30-975-0306</t>
  </si>
  <si>
    <t>Gaowu</t>
  </si>
  <si>
    <t>14-364-4904</t>
  </si>
  <si>
    <t>GuÃ©ret</t>
  </si>
  <si>
    <t>08-652-2085</t>
  </si>
  <si>
    <t>PostÅ™ekov</t>
  </si>
  <si>
    <t>67-037-2087</t>
  </si>
  <si>
    <t>Gobojango</t>
  </si>
  <si>
    <t>09-737-8354</t>
  </si>
  <si>
    <t>Tandahimba</t>
  </si>
  <si>
    <t>12-417-5609</t>
  </si>
  <si>
    <t>Iwade</t>
  </si>
  <si>
    <t>25-096-6830</t>
  </si>
  <si>
    <t>La Guata</t>
  </si>
  <si>
    <t>91-558-5922</t>
  </si>
  <si>
    <t>Saint-Brieuc</t>
  </si>
  <si>
    <t>25-560-4506</t>
  </si>
  <si>
    <t>Paya Dapur</t>
  </si>
  <si>
    <t>33-609-0598</t>
  </si>
  <si>
    <t>Xinzha</t>
  </si>
  <si>
    <t>45-337-1798</t>
  </si>
  <si>
    <t>Al QÄrah</t>
  </si>
  <si>
    <t>34-265-8558</t>
  </si>
  <si>
    <t>Antipolo</t>
  </si>
  <si>
    <t>67-323-7406</t>
  </si>
  <si>
    <t>Yuyangguan</t>
  </si>
  <si>
    <t>40-149-8247</t>
  </si>
  <si>
    <t>Qiman</t>
  </si>
  <si>
    <t>37-361-8691</t>
  </si>
  <si>
    <t>Maguwon</t>
  </si>
  <si>
    <t>17-763-9416</t>
  </si>
  <si>
    <t>Tsibulev</t>
  </si>
  <si>
    <t>56-453-8263</t>
  </si>
  <si>
    <t>San Antonio Aguas Calientes</t>
  </si>
  <si>
    <t>19-560-0717</t>
  </si>
  <si>
    <t>Pombas</t>
  </si>
  <si>
    <t>40-199-1803</t>
  </si>
  <si>
    <t>Kuâ€˜aydinah</t>
  </si>
  <si>
    <t>09-332-0236</t>
  </si>
  <si>
    <t>San Marcos</t>
  </si>
  <si>
    <t>83-982-5300</t>
  </si>
  <si>
    <t>Chum Phae</t>
  </si>
  <si>
    <t>46-662-1571</t>
  </si>
  <si>
    <t>La Laja</t>
  </si>
  <si>
    <t>20-699-9217</t>
  </si>
  <si>
    <t>San Juan del Cesar</t>
  </si>
  <si>
    <t>26-150-0209</t>
  </si>
  <si>
    <t>Taiyigong</t>
  </si>
  <si>
    <t>94-985-5336</t>
  </si>
  <si>
    <t>97-715-3606</t>
  </si>
  <si>
    <t>Tayabamba</t>
  </si>
  <si>
    <t>02-100-4320</t>
  </si>
  <si>
    <t>Majennang</t>
  </si>
  <si>
    <t>16-070-0138</t>
  </si>
  <si>
    <t>Njeru</t>
  </si>
  <si>
    <t>82-474-5074</t>
  </si>
  <si>
    <t>Ambatolaona</t>
  </si>
  <si>
    <t>36-444-5336</t>
  </si>
  <si>
    <t>Jianggang</t>
  </si>
  <si>
    <t>54-680-5344</t>
  </si>
  <si>
    <t>Langkou</t>
  </si>
  <si>
    <t>16-364-8096</t>
  </si>
  <si>
    <t>HornÃ­ SuchÃ¡</t>
  </si>
  <si>
    <t>62-644-8183</t>
  </si>
  <si>
    <t>Haradok</t>
  </si>
  <si>
    <t>59-971-0799</t>
  </si>
  <si>
    <t>Vichuga</t>
  </si>
  <si>
    <t>64-031-2046</t>
  </si>
  <si>
    <t>Luci</t>
  </si>
  <si>
    <t>87-079-0237</t>
  </si>
  <si>
    <t>Guolemude</t>
  </si>
  <si>
    <t>78-091-8662</t>
  </si>
  <si>
    <t>Prengtale</t>
  </si>
  <si>
    <t>62-720-2922</t>
  </si>
  <si>
    <t>Cabanas</t>
  </si>
  <si>
    <t>47-528-3961</t>
  </si>
  <si>
    <t>FaÄ«áº•ÄbÄd</t>
  </si>
  <si>
    <t>21-808-2293</t>
  </si>
  <si>
    <t>Sukumo</t>
  </si>
  <si>
    <t>22-022-9256</t>
  </si>
  <si>
    <t>Fenglu</t>
  </si>
  <si>
    <t>96-772-7220</t>
  </si>
  <si>
    <t>Tanjungbalai</t>
  </si>
  <si>
    <t>25-866-7286</t>
  </si>
  <si>
    <t>Carrefour</t>
  </si>
  <si>
    <t>72-694-4159</t>
  </si>
  <si>
    <t>10-079-8237</t>
  </si>
  <si>
    <t>Hejiang</t>
  </si>
  <si>
    <t>47-460-8015</t>
  </si>
  <si>
    <t>Yaizu</t>
  </si>
  <si>
    <t>06-061-0023</t>
  </si>
  <si>
    <t>KembÃ©</t>
  </si>
  <si>
    <t>80-487-2550</t>
  </si>
  <si>
    <t>Novokayakent</t>
  </si>
  <si>
    <t>23-617-2637</t>
  </si>
  <si>
    <t>Hekou</t>
  </si>
  <si>
    <t>60-005-5187</t>
  </si>
  <si>
    <t>Bailadores</t>
  </si>
  <si>
    <t>24-371-5870</t>
  </si>
  <si>
    <t>Masuda</t>
  </si>
  <si>
    <t>02-055-8248</t>
  </si>
  <si>
    <t>Martanesh</t>
  </si>
  <si>
    <t>54-238-5459</t>
  </si>
  <si>
    <t>Xinzhou</t>
  </si>
  <si>
    <t>85-922-0190</t>
  </si>
  <si>
    <t>Nanfeng</t>
  </si>
  <si>
    <t>48-271-1908</t>
  </si>
  <si>
    <t>Oke Ila</t>
  </si>
  <si>
    <t>46-978-3874</t>
  </si>
  <si>
    <t>Rio Pardo</t>
  </si>
  <si>
    <t>53-595-7635</t>
  </si>
  <si>
    <t>Pingtang</t>
  </si>
  <si>
    <t>08-185-6608</t>
  </si>
  <si>
    <t>Podbrdo</t>
  </si>
  <si>
    <t>20-562-2569</t>
  </si>
  <si>
    <t>Aramayuan</t>
  </si>
  <si>
    <t>41-366-4205</t>
  </si>
  <si>
    <t>Paquera</t>
  </si>
  <si>
    <t>77-241-7621</t>
  </si>
  <si>
    <t>Warudoyong</t>
  </si>
  <si>
    <t>53-091-2176</t>
  </si>
  <si>
    <t>BÃ©ziers</t>
  </si>
  <si>
    <t>48-203-9118</t>
  </si>
  <si>
    <t>Dongzhou</t>
  </si>
  <si>
    <t>Recency</t>
  </si>
  <si>
    <t>Frequency</t>
  </si>
  <si>
    <t>Monetary</t>
  </si>
  <si>
    <t>R_Score</t>
  </si>
  <si>
    <t>F_Score</t>
  </si>
  <si>
    <t>M_Score</t>
  </si>
  <si>
    <t>Metric</t>
  </si>
  <si>
    <t>20th %ile</t>
  </si>
  <si>
    <t>40th %ile</t>
  </si>
  <si>
    <t>60th %ile</t>
  </si>
  <si>
    <t>80th %ile</t>
  </si>
  <si>
    <t>Meaning</t>
  </si>
  <si>
    <r>
      <t>Recency</t>
    </r>
    <r>
      <rPr>
        <sz val="11"/>
        <color theme="1"/>
        <rFont val="Aptos Narrow"/>
        <family val="2"/>
        <scheme val="minor"/>
      </rPr>
      <t xml:space="preserve"> (lower = better)</t>
    </r>
  </si>
  <si>
    <t>≤558.8 → best (5)</t>
  </si>
  <si>
    <r>
      <t>Frequency</t>
    </r>
    <r>
      <rPr>
        <sz val="11"/>
        <color theme="1"/>
        <rFont val="Aptos Narrow"/>
        <family val="2"/>
        <scheme val="minor"/>
      </rPr>
      <t xml:space="preserve"> (higher = better)</t>
    </r>
  </si>
  <si>
    <t>≥10 → best (5)</t>
  </si>
  <si>
    <r>
      <t>Monetary</t>
    </r>
    <r>
      <rPr>
        <sz val="11"/>
        <color theme="1"/>
        <rFont val="Aptos Narrow"/>
        <family val="2"/>
        <scheme val="minor"/>
      </rPr>
      <t xml:space="preserve"> (higher = better)</t>
    </r>
  </si>
  <si>
    <t>≥412.30 → best (5)</t>
  </si>
  <si>
    <t>Why the results will suddenly “make sense”</t>
  </si>
  <si>
    <r>
      <t xml:space="preserve">A customer with </t>
    </r>
    <r>
      <rPr>
        <b/>
        <sz val="11"/>
        <color theme="1"/>
        <rFont val="Aptos Narrow"/>
        <family val="2"/>
        <scheme val="minor"/>
      </rPr>
      <t>Recency = 500</t>
    </r>
    <r>
      <rPr>
        <sz val="11"/>
        <color theme="1"/>
        <rFont val="Aptos Narrow"/>
        <family val="2"/>
        <scheme val="minor"/>
      </rPr>
      <t xml:space="preserve"> (very recent) → R_Score = </t>
    </r>
    <r>
      <rPr>
        <b/>
        <sz val="11"/>
        <color theme="1"/>
        <rFont val="Aptos Narrow"/>
        <family val="2"/>
        <scheme val="minor"/>
      </rPr>
      <t>5</t>
    </r>
  </si>
  <si>
    <r>
      <t xml:space="preserve">A customer with </t>
    </r>
    <r>
      <rPr>
        <b/>
        <sz val="11"/>
        <color theme="1"/>
        <rFont val="Aptos Narrow"/>
        <family val="2"/>
        <scheme val="minor"/>
      </rPr>
      <t>Frequency = 12</t>
    </r>
    <r>
      <rPr>
        <sz val="11"/>
        <color theme="1"/>
        <rFont val="Aptos Narrow"/>
        <family val="2"/>
        <scheme val="minor"/>
      </rPr>
      <t xml:space="preserve"> → F_Score = </t>
    </r>
    <r>
      <rPr>
        <b/>
        <sz val="11"/>
        <color theme="1"/>
        <rFont val="Aptos Narrow"/>
        <family val="2"/>
        <scheme val="minor"/>
      </rPr>
      <t>5</t>
    </r>
  </si>
  <si>
    <r>
      <t xml:space="preserve">A customer with </t>
    </r>
    <r>
      <rPr>
        <b/>
        <sz val="11"/>
        <color theme="1"/>
        <rFont val="Aptos Narrow"/>
        <family val="2"/>
        <scheme val="minor"/>
      </rPr>
      <t>Monetary = $450</t>
    </r>
    <r>
      <rPr>
        <sz val="11"/>
        <color theme="1"/>
        <rFont val="Aptos Narrow"/>
        <family val="2"/>
        <scheme val="minor"/>
      </rPr>
      <t xml:space="preserve"> → M_Score = </t>
    </r>
    <r>
      <rPr>
        <b/>
        <sz val="11"/>
        <color theme="1"/>
        <rFont val="Aptos Narrow"/>
        <family val="2"/>
        <scheme val="minor"/>
      </rPr>
      <t>5</t>
    </r>
  </si>
  <si>
    <t>Someone with Recency = 800, Frequency = 2, Monetary = $80 → mostly 1s (At Risk)</t>
  </si>
  <si>
    <t>RFM_Score</t>
  </si>
  <si>
    <t>Customer_Segments</t>
  </si>
  <si>
    <t>Row Labels</t>
  </si>
  <si>
    <t>About To Sleep</t>
  </si>
  <si>
    <t>At Risk</t>
  </si>
  <si>
    <t>Big Spender</t>
  </si>
  <si>
    <t>Champion</t>
  </si>
  <si>
    <t>Lost Customer</t>
  </si>
  <si>
    <t>Loyal Customer</t>
  </si>
  <si>
    <t>Others</t>
  </si>
  <si>
    <t>Potential Loyalist</t>
  </si>
  <si>
    <t>Grand Total</t>
  </si>
  <si>
    <t>Average of Monetary</t>
  </si>
  <si>
    <t>Number of Customers</t>
  </si>
  <si>
    <t>Average of Frequency</t>
  </si>
  <si>
    <t>Segment</t>
  </si>
  <si>
    <t>Customers</t>
  </si>
  <si>
    <t>Avg. Spend</t>
  </si>
  <si>
    <t>Share</t>
  </si>
  <si>
    <t>Average of Purchase_Amount</t>
  </si>
  <si>
    <t>Count of Customer_ID</t>
  </si>
  <si>
    <t>E-COMMERCE CONSUMER BEHAVIOR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</si>
</sst>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Times New Roman"/>
      <family val="1"/>
    </font>
    <font>
      <sz val="11"/>
      <color theme="1"/>
      <name val="Times New Roman"/>
      <family val="1"/>
    </font>
    <font>
      <b/>
      <sz val="13.5"/>
      <color theme="1"/>
      <name val="Aptos Narrow"/>
      <family val="2"/>
      <scheme val="minor"/>
    </font>
    <font>
      <b/>
      <sz val="16"/>
      <color theme="3"/>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8" fontId="0" fillId="0" borderId="0" xfId="0" applyNumberFormat="1"/>
    <xf numFmtId="14" fontId="0" fillId="0" borderId="0" xfId="0" applyNumberFormat="1"/>
    <xf numFmtId="2" fontId="0" fillId="0" borderId="0" xfId="0" applyNumberFormat="1"/>
    <xf numFmtId="1" fontId="0" fillId="0" borderId="0" xfId="0" applyNumberFormat="1"/>
    <xf numFmtId="164" fontId="0" fillId="0" borderId="0" xfId="0" applyNumberFormat="1"/>
    <xf numFmtId="0" fontId="16" fillId="0" borderId="0" xfId="0" applyFont="1"/>
    <xf numFmtId="0" fontId="18" fillId="0" borderId="0" xfId="0" applyFont="1"/>
    <xf numFmtId="164" fontId="18" fillId="0" borderId="0" xfId="0" applyNumberFormat="1" applyFont="1"/>
    <xf numFmtId="0" fontId="19" fillId="0" borderId="0" xfId="0" applyFont="1"/>
    <xf numFmtId="164" fontId="19" fillId="0" borderId="0" xfId="0" applyNumberFormat="1" applyFont="1"/>
    <xf numFmtId="0" fontId="16" fillId="0" borderId="0" xfId="0" applyFont="1" applyAlignment="1">
      <alignment horizontal="center" vertical="center" wrapText="1"/>
    </xf>
    <xf numFmtId="0" fontId="16" fillId="0" borderId="0" xfId="0" applyFont="1" applyAlignment="1">
      <alignment vertical="center" wrapText="1"/>
    </xf>
    <xf numFmtId="0" fontId="0" fillId="0" borderId="0" xfId="0" applyAlignment="1">
      <alignment vertical="center" wrapText="1"/>
    </xf>
    <xf numFmtId="0" fontId="20" fillId="0" borderId="0" xfId="0" applyFont="1" applyAlignment="1">
      <alignment vertical="center"/>
    </xf>
    <xf numFmtId="0" fontId="0" fillId="0" borderId="0" xfId="0" applyAlignment="1">
      <alignment horizontal="left" vertical="center" indent="1"/>
    </xf>
    <xf numFmtId="0" fontId="0" fillId="0" borderId="0" xfId="0" pivotButton="1"/>
    <xf numFmtId="0" fontId="0" fillId="0" borderId="0" xfId="0" applyAlignment="1">
      <alignment horizontal="left"/>
    </xf>
    <xf numFmtId="2" fontId="16" fillId="0" borderId="0" xfId="0" applyNumberFormat="1" applyFont="1"/>
    <xf numFmtId="0" fontId="0" fillId="0" borderId="10" xfId="0" applyBorder="1"/>
    <xf numFmtId="164" fontId="0" fillId="0" borderId="10" xfId="0" applyNumberFormat="1" applyBorder="1"/>
    <xf numFmtId="0" fontId="16" fillId="0" borderId="11" xfId="0" applyFont="1" applyBorder="1"/>
    <xf numFmtId="0" fontId="16" fillId="0" borderId="12" xfId="0" applyFont="1" applyBorder="1"/>
    <xf numFmtId="0" fontId="16" fillId="0" borderId="13" xfId="0" applyFont="1" applyBorder="1"/>
    <xf numFmtId="0" fontId="0" fillId="0" borderId="14" xfId="0" applyBorder="1" applyAlignment="1">
      <alignment horizontal="left"/>
    </xf>
    <xf numFmtId="164" fontId="0" fillId="0" borderId="15" xfId="0" applyNumberFormat="1" applyBorder="1"/>
    <xf numFmtId="0" fontId="0" fillId="0" borderId="16" xfId="0" applyBorder="1" applyAlignment="1">
      <alignment horizontal="left"/>
    </xf>
    <xf numFmtId="0" fontId="0" fillId="0" borderId="17" xfId="0" applyBorder="1"/>
    <xf numFmtId="164" fontId="0" fillId="0" borderId="17" xfId="0" applyNumberFormat="1" applyBorder="1"/>
    <xf numFmtId="164" fontId="0" fillId="0" borderId="18" xfId="0" applyNumberFormat="1" applyBorder="1"/>
    <xf numFmtId="0" fontId="21" fillId="0" borderId="1" xfId="2" applyFont="1" applyAlignment="1">
      <alignment horizontal="center"/>
    </xf>
    <xf numFmtId="0" fontId="0" fillId="0" borderId="0" xfId="0" applyNumberFormat="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2" formatCode="0.0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1" formatCode="0"/>
    </dxf>
    <dxf>
      <numFmt numFmtId="19" formatCode="m/d/yyyy"/>
    </dxf>
    <dxf>
      <numFmt numFmtId="12" formatCode="&quot;$&quot;#,##0.00_);[Red]\(&quot;$&quot;#,##0.00\)"/>
    </dxf>
    <dxf>
      <numFmt numFmtId="2" formatCode="0.00"/>
    </dxf>
    <dxf>
      <font>
        <b val="0"/>
        <i val="0"/>
        <strike val="0"/>
        <condense val="0"/>
        <extend val="0"/>
        <outline val="0"/>
        <shadow val="0"/>
        <u val="none"/>
        <vertAlign val="baseline"/>
        <sz val="11"/>
        <color theme="1"/>
        <name val="Times New Roman"/>
        <family val="1"/>
        <scheme val="none"/>
      </font>
      <numFmt numFmtId="164" formatCode="&quot;$&quot;#,##0.00"/>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[Ecommerce_Consumer_Behavior_Analysis_Data.xlsx]PivotTables!Revenue by category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 (Top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PivotTables!$G$3</c:f>
              <c:strCache>
                <c:ptCount val="1"/>
                <c:pt idx="0">
                  <c:v>Total</c:v>
                </c:pt>
              </c:strCache>
            </c:strRef>
          </c:tx>
          <c:spPr>
            <a:solidFill>
              <a:schemeClr val="accent6"/>
            </a:solidFill>
            <a:ln>
              <a:noFill/>
            </a:ln>
            <a:effectLst/>
          </c:spPr>
          <c:invertIfNegative val="0"/>
          <c:cat>
            <c:strRef>
              <c:f>PivotTables!$F$4:$F$14</c:f>
              <c:strCache>
                <c:ptCount val="10"/>
                <c:pt idx="0">
                  <c:v>Mobile Accessories</c:v>
                </c:pt>
                <c:pt idx="1">
                  <c:v>Office Supplies</c:v>
                </c:pt>
                <c:pt idx="2">
                  <c:v>Sports &amp; Outdoors</c:v>
                </c:pt>
                <c:pt idx="3">
                  <c:v>Toys &amp; Games</c:v>
                </c:pt>
                <c:pt idx="4">
                  <c:v>Food &amp; Beverages</c:v>
                </c:pt>
                <c:pt idx="5">
                  <c:v>Packages)</c:v>
                </c:pt>
                <c:pt idx="6">
                  <c:v>Health Care</c:v>
                </c:pt>
                <c:pt idx="7">
                  <c:v>Books</c:v>
                </c:pt>
                <c:pt idx="8">
                  <c:v>Jewelry &amp; Accessories</c:v>
                </c:pt>
                <c:pt idx="9">
                  <c:v>Software &amp; Apps</c:v>
                </c:pt>
              </c:strCache>
            </c:strRef>
          </c:cat>
          <c:val>
            <c:numRef>
              <c:f>PivotTables!$G$4:$G$14</c:f>
              <c:numCache>
                <c:formatCode>"$"#,##0.00_);[Red]\("$"#,##0.00\)</c:formatCode>
                <c:ptCount val="10"/>
                <c:pt idx="0">
                  <c:v>285.1019512195121</c:v>
                </c:pt>
                <c:pt idx="1">
                  <c:v>285.13184210526316</c:v>
                </c:pt>
                <c:pt idx="2">
                  <c:v>286.48058823529408</c:v>
                </c:pt>
                <c:pt idx="3">
                  <c:v>288.00978723404256</c:v>
                </c:pt>
                <c:pt idx="4">
                  <c:v>294.70363636363641</c:v>
                </c:pt>
                <c:pt idx="5">
                  <c:v>296.07348837209304</c:v>
                </c:pt>
                <c:pt idx="6">
                  <c:v>296.31780487804878</c:v>
                </c:pt>
                <c:pt idx="7">
                  <c:v>300.61324324324335</c:v>
                </c:pt>
                <c:pt idx="8">
                  <c:v>302.78719999999998</c:v>
                </c:pt>
                <c:pt idx="9">
                  <c:v>316.31186046511618</c:v>
                </c:pt>
              </c:numCache>
            </c:numRef>
          </c:val>
          <c:extLst>
            <c:ext xmlns:c16="http://schemas.microsoft.com/office/drawing/2014/chart" uri="{C3380CC4-5D6E-409C-BE32-E72D297353CC}">
              <c16:uniqueId val="{00000000-9E09-4FC5-9992-036084CA68F8}"/>
            </c:ext>
          </c:extLst>
        </c:ser>
        <c:dLbls>
          <c:showLegendKey val="0"/>
          <c:showVal val="0"/>
          <c:showCatName val="0"/>
          <c:showSerName val="0"/>
          <c:showPercent val="0"/>
          <c:showBubbleSize val="0"/>
        </c:dLbls>
        <c:gapWidth val="182"/>
        <c:axId val="1015102192"/>
        <c:axId val="1015114192"/>
      </c:barChart>
      <c:catAx>
        <c:axId val="101510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114192"/>
        <c:crosses val="autoZero"/>
        <c:auto val="1"/>
        <c:lblAlgn val="ctr"/>
        <c:lblOffset val="100"/>
        <c:noMultiLvlLbl val="0"/>
      </c:catAx>
      <c:valAx>
        <c:axId val="10151141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102192"/>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[Ecommerce_Consumer_Behavior_Analysis_Data.xlsx]PivotTables!Purchase_Channel</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Times New Roman" panose="02020603050405020304" pitchFamily="18" charset="0"/>
                <a:cs typeface="Times New Roman" panose="02020603050405020304" pitchFamily="18" charset="0"/>
              </a:rPr>
              <a:t>Purchase</a:t>
            </a:r>
            <a:r>
              <a:rPr lang="en-US" sz="1100" b="1" baseline="0">
                <a:latin typeface="Times New Roman" panose="02020603050405020304" pitchFamily="18" charset="0"/>
                <a:cs typeface="Times New Roman" panose="02020603050405020304" pitchFamily="18" charset="0"/>
              </a:rPr>
              <a:t>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tint val="65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hade val="65000"/>
            </a:schemeClr>
          </a:solidFill>
          <a:ln w="19050">
            <a:solidFill>
              <a:schemeClr val="lt1"/>
            </a:solidFill>
          </a:ln>
          <a:effectLst/>
        </c:spPr>
      </c:pivotFmt>
    </c:pivotFmts>
    <c:plotArea>
      <c:layout/>
      <c:doughnutChart>
        <c:varyColors val="1"/>
        <c:ser>
          <c:idx val="0"/>
          <c:order val="0"/>
          <c:tx>
            <c:strRef>
              <c:f>PivotTables!$G$16</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FF13-4DC5-8E1C-551208826391}"/>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FF13-4DC5-8E1C-551208826391}"/>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FF13-4DC5-8E1C-551208826391}"/>
              </c:ext>
            </c:extLst>
          </c:dPt>
          <c:cat>
            <c:strRef>
              <c:f>PivotTables!$F$17:$F$20</c:f>
              <c:strCache>
                <c:ptCount val="3"/>
                <c:pt idx="0">
                  <c:v>In-Store</c:v>
                </c:pt>
                <c:pt idx="1">
                  <c:v>Mixed</c:v>
                </c:pt>
                <c:pt idx="2">
                  <c:v>Online</c:v>
                </c:pt>
              </c:strCache>
            </c:strRef>
          </c:cat>
          <c:val>
            <c:numRef>
              <c:f>PivotTables!$G$17:$G$20</c:f>
              <c:numCache>
                <c:formatCode>General</c:formatCode>
                <c:ptCount val="3"/>
                <c:pt idx="0">
                  <c:v>326</c:v>
                </c:pt>
                <c:pt idx="1">
                  <c:v>340</c:v>
                </c:pt>
                <c:pt idx="2">
                  <c:v>334</c:v>
                </c:pt>
              </c:numCache>
            </c:numRef>
          </c:val>
          <c:extLst>
            <c:ext xmlns:c16="http://schemas.microsoft.com/office/drawing/2014/chart" uri="{C3380CC4-5D6E-409C-BE32-E72D297353CC}">
              <c16:uniqueId val="{00000006-FF13-4DC5-8E1C-55120882639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[Ecommerce_Consumer_Behavior_Analysis_Data.xlsx]PivotTables!device</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Device used for shopping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tint val="65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hade val="65000"/>
            </a:schemeClr>
          </a:solidFill>
          <a:ln w="19050">
            <a:solidFill>
              <a:schemeClr val="lt1"/>
            </a:solidFill>
          </a:ln>
          <a:effectLst/>
        </c:spPr>
      </c:pivotFmt>
    </c:pivotFmts>
    <c:plotArea>
      <c:layout/>
      <c:doughnutChart>
        <c:varyColors val="1"/>
        <c:ser>
          <c:idx val="0"/>
          <c:order val="0"/>
          <c:tx>
            <c:strRef>
              <c:f>PivotTables!$G$22</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2EC2-4260-A4DB-3CB49E91A2CD}"/>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2EC2-4260-A4DB-3CB49E91A2CD}"/>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2EC2-4260-A4DB-3CB49E91A2CD}"/>
              </c:ext>
            </c:extLst>
          </c:dPt>
          <c:cat>
            <c:strRef>
              <c:f>PivotTables!$F$23:$F$26</c:f>
              <c:strCache>
                <c:ptCount val="3"/>
                <c:pt idx="0">
                  <c:v>Desktop</c:v>
                </c:pt>
                <c:pt idx="1">
                  <c:v>Smartphone</c:v>
                </c:pt>
                <c:pt idx="2">
                  <c:v>Tablet</c:v>
                </c:pt>
              </c:strCache>
            </c:strRef>
          </c:cat>
          <c:val>
            <c:numRef>
              <c:f>PivotTables!$G$23:$G$26</c:f>
              <c:numCache>
                <c:formatCode>General</c:formatCode>
                <c:ptCount val="3"/>
                <c:pt idx="0">
                  <c:v>350</c:v>
                </c:pt>
                <c:pt idx="1">
                  <c:v>311</c:v>
                </c:pt>
                <c:pt idx="2">
                  <c:v>339</c:v>
                </c:pt>
              </c:numCache>
            </c:numRef>
          </c:val>
          <c:extLst>
            <c:ext xmlns:c16="http://schemas.microsoft.com/office/drawing/2014/chart" uri="{C3380CC4-5D6E-409C-BE32-E72D297353CC}">
              <c16:uniqueId val="{00000006-2EC2-4260-A4DB-3CB49E91A2C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[Ecommerce_Consumer_Behavior_Analysis_Data.xlsx]PivotTables!intent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Why</a:t>
            </a:r>
            <a:r>
              <a:rPr lang="en-US" baseline="0"/>
              <a:t> do customers make a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PivotTables!$J$3</c:f>
              <c:strCache>
                <c:ptCount val="1"/>
                <c:pt idx="0">
                  <c:v>Total</c:v>
                </c:pt>
              </c:strCache>
            </c:strRef>
          </c:tx>
          <c:spPr>
            <a:solidFill>
              <a:schemeClr val="accent6"/>
            </a:solidFill>
            <a:ln>
              <a:noFill/>
            </a:ln>
            <a:effectLst/>
          </c:spPr>
          <c:invertIfNegative val="0"/>
          <c:cat>
            <c:strRef>
              <c:f>PivotTables!$I$4:$I$8</c:f>
              <c:strCache>
                <c:ptCount val="4"/>
                <c:pt idx="0">
                  <c:v>Planned</c:v>
                </c:pt>
                <c:pt idx="1">
                  <c:v>Impulsive</c:v>
                </c:pt>
                <c:pt idx="2">
                  <c:v>Wants-based</c:v>
                </c:pt>
                <c:pt idx="3">
                  <c:v>Need-based</c:v>
                </c:pt>
              </c:strCache>
            </c:strRef>
          </c:cat>
          <c:val>
            <c:numRef>
              <c:f>PivotTables!$J$4:$J$8</c:f>
              <c:numCache>
                <c:formatCode>General</c:formatCode>
                <c:ptCount val="4"/>
                <c:pt idx="0">
                  <c:v>247</c:v>
                </c:pt>
                <c:pt idx="1">
                  <c:v>248</c:v>
                </c:pt>
                <c:pt idx="2">
                  <c:v>249</c:v>
                </c:pt>
                <c:pt idx="3">
                  <c:v>256</c:v>
                </c:pt>
              </c:numCache>
            </c:numRef>
          </c:val>
          <c:extLst>
            <c:ext xmlns:c16="http://schemas.microsoft.com/office/drawing/2014/chart" uri="{C3380CC4-5D6E-409C-BE32-E72D297353CC}">
              <c16:uniqueId val="{00000000-5710-430A-8460-573ED3ADC7A9}"/>
            </c:ext>
          </c:extLst>
        </c:ser>
        <c:dLbls>
          <c:showLegendKey val="0"/>
          <c:showVal val="0"/>
          <c:showCatName val="0"/>
          <c:showSerName val="0"/>
          <c:showPercent val="0"/>
          <c:showBubbleSize val="0"/>
        </c:dLbls>
        <c:gapWidth val="219"/>
        <c:overlap val="-27"/>
        <c:axId val="1015148752"/>
        <c:axId val="1015150672"/>
      </c:barChart>
      <c:catAx>
        <c:axId val="101514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150672"/>
        <c:crosses val="autoZero"/>
        <c:auto val="1"/>
        <c:lblAlgn val="ctr"/>
        <c:lblOffset val="100"/>
        <c:noMultiLvlLbl val="0"/>
      </c:catAx>
      <c:valAx>
        <c:axId val="1015150672"/>
        <c:scaling>
          <c:orientation val="minMax"/>
          <c:max val="25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14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Frequency</a:t>
            </a:r>
            <a:r>
              <a:rPr lang="en-US" b="1" baseline="0">
                <a:latin typeface="Times New Roman" panose="02020603050405020304" pitchFamily="18" charset="0"/>
                <a:cs typeface="Times New Roman" panose="02020603050405020304" pitchFamily="18" charset="0"/>
              </a:rPr>
              <a:t> vs Monetary Distribution</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1"/>
        <c:ser>
          <c:idx val="0"/>
          <c:order val="0"/>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2D9-46CA-B620-01B86083560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12D9-46CA-B620-01B860835605}"/>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12D9-46CA-B620-01B860835605}"/>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12D9-46CA-B620-01B860835605}"/>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12D9-46CA-B620-01B860835605}"/>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12D9-46CA-B620-01B860835605}"/>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12D9-46CA-B620-01B860835605}"/>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12D9-46CA-B620-01B860835605}"/>
              </c:ext>
            </c:extLst>
          </c:dPt>
          <c:dLbls>
            <c:dLbl>
              <c:idx val="0"/>
              <c:layout>
                <c:manualLayout>
                  <c:x val="-3.0555555555555659E-2"/>
                  <c:y val="-6.018518518518523E-2"/>
                </c:manualLayout>
              </c:layout>
              <c:tx>
                <c:rich>
                  <a:bodyPr/>
                  <a:lstStyle/>
                  <a:p>
                    <a:fld id="{CA45F1C8-BB99-439A-B744-18726B8987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2D9-46CA-B620-01B860835605}"/>
                </c:ext>
              </c:extLst>
            </c:dLbl>
            <c:dLbl>
              <c:idx val="1"/>
              <c:tx>
                <c:rich>
                  <a:bodyPr/>
                  <a:lstStyle/>
                  <a:p>
                    <a:fld id="{F130BB09-3C26-442C-AB0D-692C8D9C65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2D9-46CA-B620-01B860835605}"/>
                </c:ext>
              </c:extLst>
            </c:dLbl>
            <c:dLbl>
              <c:idx val="2"/>
              <c:tx>
                <c:rich>
                  <a:bodyPr/>
                  <a:lstStyle/>
                  <a:p>
                    <a:fld id="{ED806E8C-E4A5-429F-BFED-7A04D428F6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2D9-46CA-B620-01B860835605}"/>
                </c:ext>
              </c:extLst>
            </c:dLbl>
            <c:dLbl>
              <c:idx val="3"/>
              <c:layout>
                <c:manualLayout>
                  <c:x val="-3.6111111111111108E-2"/>
                  <c:y val="-7.407407407407407E-2"/>
                </c:manualLayout>
              </c:layout>
              <c:tx>
                <c:rich>
                  <a:bodyPr/>
                  <a:lstStyle/>
                  <a:p>
                    <a:fld id="{A4AEE936-D893-4950-B8B0-E6AF8D03E3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2D9-46CA-B620-01B860835605}"/>
                </c:ext>
              </c:extLst>
            </c:dLbl>
            <c:dLbl>
              <c:idx val="4"/>
              <c:layout>
                <c:manualLayout>
                  <c:x val="-0.17222222222222222"/>
                  <c:y val="0.10185185185185176"/>
                </c:manualLayout>
              </c:layout>
              <c:tx>
                <c:rich>
                  <a:bodyPr/>
                  <a:lstStyle/>
                  <a:p>
                    <a:fld id="{CA8BB7E1-8445-4921-8CEB-72F36196A0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2D9-46CA-B620-01B860835605}"/>
                </c:ext>
              </c:extLst>
            </c:dLbl>
            <c:dLbl>
              <c:idx val="5"/>
              <c:tx>
                <c:rich>
                  <a:bodyPr/>
                  <a:lstStyle/>
                  <a:p>
                    <a:fld id="{64AC4489-5CAD-4A09-8D57-6B3E2BC835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2D9-46CA-B620-01B860835605}"/>
                </c:ext>
              </c:extLst>
            </c:dLbl>
            <c:dLbl>
              <c:idx val="6"/>
              <c:tx>
                <c:rich>
                  <a:bodyPr/>
                  <a:lstStyle/>
                  <a:p>
                    <a:fld id="{E82E175D-FC09-4E8F-9262-577B406036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2D9-46CA-B620-01B860835605}"/>
                </c:ext>
              </c:extLst>
            </c:dLbl>
            <c:dLbl>
              <c:idx val="7"/>
              <c:tx>
                <c:rich>
                  <a:bodyPr/>
                  <a:lstStyle/>
                  <a:p>
                    <a:fld id="{959B481E-7171-433B-AFEF-8C77B8A4F8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2D9-46CA-B620-01B8608356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PivotTables!$B$25:$B$32</c:f>
              <c:numCache>
                <c:formatCode>General</c:formatCode>
                <c:ptCount val="8"/>
                <c:pt idx="0">
                  <c:v>182.33676829268296</c:v>
                </c:pt>
                <c:pt idx="1">
                  <c:v>191.59342105263158</c:v>
                </c:pt>
                <c:pt idx="2">
                  <c:v>409.67477777777788</c:v>
                </c:pt>
                <c:pt idx="3">
                  <c:v>399.85857142857139</c:v>
                </c:pt>
                <c:pt idx="4">
                  <c:v>142.37762376237626</c:v>
                </c:pt>
                <c:pt idx="5">
                  <c:v>426.02065420560746</c:v>
                </c:pt>
                <c:pt idx="6">
                  <c:v>221.83581395348841</c:v>
                </c:pt>
                <c:pt idx="7">
                  <c:v>225.83018072289158</c:v>
                </c:pt>
              </c:numCache>
            </c:numRef>
          </c:xVal>
          <c:yVal>
            <c:numRef>
              <c:f>PivotTables!$C$25:$C$32</c:f>
              <c:numCache>
                <c:formatCode>0.00</c:formatCode>
                <c:ptCount val="8"/>
                <c:pt idx="0">
                  <c:v>9.0304878048780495</c:v>
                </c:pt>
                <c:pt idx="1">
                  <c:v>3.4736842105263159</c:v>
                </c:pt>
                <c:pt idx="2">
                  <c:v>4.2277777777777779</c:v>
                </c:pt>
                <c:pt idx="3">
                  <c:v>10.090909090909092</c:v>
                </c:pt>
                <c:pt idx="4">
                  <c:v>3.495049504950495</c:v>
                </c:pt>
                <c:pt idx="5">
                  <c:v>9.7383177570093462</c:v>
                </c:pt>
                <c:pt idx="6">
                  <c:v>6.7596899224806197</c:v>
                </c:pt>
                <c:pt idx="7">
                  <c:v>8.4036144578313259</c:v>
                </c:pt>
              </c:numCache>
            </c:numRef>
          </c:yVal>
          <c:bubbleSize>
            <c:numLit>
              <c:formatCode>General</c:formatCode>
              <c:ptCount val="8"/>
              <c:pt idx="0">
                <c:v>1</c:v>
              </c:pt>
              <c:pt idx="1">
                <c:v>1</c:v>
              </c:pt>
              <c:pt idx="2">
                <c:v>1</c:v>
              </c:pt>
              <c:pt idx="3">
                <c:v>1</c:v>
              </c:pt>
              <c:pt idx="4">
                <c:v>1</c:v>
              </c:pt>
              <c:pt idx="5">
                <c:v>1</c:v>
              </c:pt>
              <c:pt idx="6">
                <c:v>1</c:v>
              </c:pt>
              <c:pt idx="7">
                <c:v>1</c:v>
              </c:pt>
            </c:numLit>
          </c:bubbleSize>
          <c:bubble3D val="0"/>
          <c:extLst>
            <c:ext xmlns:c15="http://schemas.microsoft.com/office/drawing/2012/chart" uri="{02D57815-91ED-43cb-92C2-25804820EDAC}">
              <c15:datalabelsRange>
                <c15:f>PivotTables!$A$25:$A$32</c15:f>
                <c15:dlblRangeCache>
                  <c:ptCount val="8"/>
                  <c:pt idx="0">
                    <c:v>About To Sleep</c:v>
                  </c:pt>
                  <c:pt idx="1">
                    <c:v>At Risk</c:v>
                  </c:pt>
                  <c:pt idx="2">
                    <c:v>Big Spender</c:v>
                  </c:pt>
                  <c:pt idx="3">
                    <c:v>Champion</c:v>
                  </c:pt>
                  <c:pt idx="4">
                    <c:v>Lost Customer</c:v>
                  </c:pt>
                  <c:pt idx="5">
                    <c:v>Loyal Customer</c:v>
                  </c:pt>
                  <c:pt idx="6">
                    <c:v>Others</c:v>
                  </c:pt>
                  <c:pt idx="7">
                    <c:v>Potential Loyalist</c:v>
                  </c:pt>
                </c15:dlblRangeCache>
              </c15:datalabelsRange>
            </c:ext>
            <c:ext xmlns:c16="http://schemas.microsoft.com/office/drawing/2014/chart" uri="{C3380CC4-5D6E-409C-BE32-E72D297353CC}">
              <c16:uniqueId val="{00000010-12D9-46CA-B620-01B860835605}"/>
            </c:ext>
          </c:extLst>
        </c:ser>
        <c:dLbls>
          <c:showLegendKey val="0"/>
          <c:showVal val="1"/>
          <c:showCatName val="0"/>
          <c:showSerName val="0"/>
          <c:showPercent val="0"/>
          <c:showBubbleSize val="0"/>
        </c:dLbls>
        <c:bubbleScale val="35"/>
        <c:showNegBubbles val="0"/>
        <c:axId val="237925967"/>
        <c:axId val="237923087"/>
      </c:bubbleChart>
      <c:valAx>
        <c:axId val="2379259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923087"/>
        <c:crosses val="autoZero"/>
        <c:crossBetween val="midCat"/>
      </c:valAx>
      <c:valAx>
        <c:axId val="2379230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9259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9D31A9C-EA07-435E-8B7E-4B8FF8EDD7F3}">
  <sheetPr/>
  <sheetViews>
    <sheetView zoomScale="8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15</xdr:col>
      <xdr:colOff>9525</xdr:colOff>
      <xdr:row>2</xdr:row>
      <xdr:rowOff>0</xdr:rowOff>
    </xdr:from>
    <xdr:to>
      <xdr:col>18</xdr:col>
      <xdr:colOff>152400</xdr:colOff>
      <xdr:row>11</xdr:row>
      <xdr:rowOff>76201</xdr:rowOff>
    </xdr:to>
    <xdr:sp macro="" textlink="">
      <xdr:nvSpPr>
        <xdr:cNvPr id="12" name="TextBox 11">
          <a:extLst>
            <a:ext uri="{FF2B5EF4-FFF2-40B4-BE49-F238E27FC236}">
              <a16:creationId xmlns:a16="http://schemas.microsoft.com/office/drawing/2014/main" id="{B71B9580-C934-5D10-F5B4-C1BBE5C83138}"/>
            </a:ext>
          </a:extLst>
        </xdr:cNvPr>
        <xdr:cNvSpPr txBox="1"/>
      </xdr:nvSpPr>
      <xdr:spPr>
        <a:xfrm>
          <a:off x="10153650" y="466725"/>
          <a:ext cx="1971675" cy="1800226"/>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u="sng">
              <a:latin typeface="Times New Roman" panose="02020603050405020304" pitchFamily="18" charset="0"/>
              <a:cs typeface="Times New Roman" panose="02020603050405020304" pitchFamily="18" charset="0"/>
            </a:rPr>
            <a:t>Filters:</a:t>
          </a:r>
        </a:p>
      </xdr:txBody>
    </xdr:sp>
    <xdr:clientData/>
  </xdr:twoCellAnchor>
  <xdr:twoCellAnchor>
    <xdr:from>
      <xdr:col>5</xdr:col>
      <xdr:colOff>142875</xdr:colOff>
      <xdr:row>8</xdr:row>
      <xdr:rowOff>152400</xdr:rowOff>
    </xdr:from>
    <xdr:to>
      <xdr:col>14</xdr:col>
      <xdr:colOff>123825</xdr:colOff>
      <xdr:row>18</xdr:row>
      <xdr:rowOff>180975</xdr:rowOff>
    </xdr:to>
    <xdr:sp macro="" textlink="">
      <xdr:nvSpPr>
        <xdr:cNvPr id="8" name="TextBox 7">
          <a:extLst>
            <a:ext uri="{FF2B5EF4-FFF2-40B4-BE49-F238E27FC236}">
              <a16:creationId xmlns:a16="http://schemas.microsoft.com/office/drawing/2014/main" id="{25BC75FF-E84C-93F5-0716-6C6BD47C2FF0}"/>
            </a:ext>
          </a:extLst>
        </xdr:cNvPr>
        <xdr:cNvSpPr txBox="1"/>
      </xdr:nvSpPr>
      <xdr:spPr>
        <a:xfrm>
          <a:off x="4191000" y="1762125"/>
          <a:ext cx="5467350"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9</xdr:col>
      <xdr:colOff>47625</xdr:colOff>
      <xdr:row>2</xdr:row>
      <xdr:rowOff>28575</xdr:rowOff>
    </xdr:from>
    <xdr:to>
      <xdr:col>12</xdr:col>
      <xdr:colOff>457200</xdr:colOff>
      <xdr:row>7</xdr:row>
      <xdr:rowOff>0</xdr:rowOff>
    </xdr:to>
    <xdr:sp macro="" textlink="">
      <xdr:nvSpPr>
        <xdr:cNvPr id="11" name="Rectangle 10">
          <a:extLst>
            <a:ext uri="{FF2B5EF4-FFF2-40B4-BE49-F238E27FC236}">
              <a16:creationId xmlns:a16="http://schemas.microsoft.com/office/drawing/2014/main" id="{ECC28B4E-710F-4379-87A2-BEAE1A3412EB}"/>
            </a:ext>
          </a:extLst>
        </xdr:cNvPr>
        <xdr:cNvSpPr/>
      </xdr:nvSpPr>
      <xdr:spPr>
        <a:xfrm>
          <a:off x="6534150" y="495300"/>
          <a:ext cx="2238375" cy="923925"/>
        </a:xfrm>
        <a:prstGeom prst="rect">
          <a:avLst/>
        </a:prstGeom>
        <a:solidFill>
          <a:schemeClr val="accent6">
            <a:lumMod val="75000"/>
          </a:schemeClr>
        </a:solidFill>
        <a:ln w="19050" cap="flat" cmpd="sng" algn="ctr">
          <a:solidFill>
            <a:srgbClr val="156082"/>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ysClr val="window" lastClr="FFFFFF"/>
              </a:solidFill>
              <a:effectLst/>
              <a:uLnTx/>
              <a:uFillTx/>
              <a:latin typeface="Aptos Narrow" panose="02110004020202020204"/>
              <a:ea typeface="+mn-ea"/>
              <a:cs typeface="+mn-cs"/>
            </a:rPr>
            <a:t>Avg. Satisfaction:</a:t>
          </a:r>
        </a:p>
      </xdr:txBody>
    </xdr:sp>
    <xdr:clientData/>
  </xdr:twoCellAnchor>
  <xdr:twoCellAnchor>
    <xdr:from>
      <xdr:col>6</xdr:col>
      <xdr:colOff>190500</xdr:colOff>
      <xdr:row>20</xdr:row>
      <xdr:rowOff>9524</xdr:rowOff>
    </xdr:from>
    <xdr:to>
      <xdr:col>14</xdr:col>
      <xdr:colOff>123825</xdr:colOff>
      <xdr:row>34</xdr:row>
      <xdr:rowOff>171449</xdr:rowOff>
    </xdr:to>
    <xdr:graphicFrame macro="">
      <xdr:nvGraphicFramePr>
        <xdr:cNvPr id="15" name="Chart 1">
          <a:extLst>
            <a:ext uri="{FF2B5EF4-FFF2-40B4-BE49-F238E27FC236}">
              <a16:creationId xmlns:a16="http://schemas.microsoft.com/office/drawing/2014/main" id="{739CD6A1-0925-1681-8295-FD0D2A04E6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276225</xdr:colOff>
      <xdr:row>9</xdr:row>
      <xdr:rowOff>9525</xdr:rowOff>
    </xdr:from>
    <xdr:to>
      <xdr:col>9</xdr:col>
      <xdr:colOff>304800</xdr:colOff>
      <xdr:row>18</xdr:row>
      <xdr:rowOff>123825</xdr:rowOff>
    </xdr:to>
    <xdr:graphicFrame macro="">
      <xdr:nvGraphicFramePr>
        <xdr:cNvPr id="16" name="Chart 2">
          <a:extLst>
            <a:ext uri="{FF2B5EF4-FFF2-40B4-BE49-F238E27FC236}">
              <a16:creationId xmlns:a16="http://schemas.microsoft.com/office/drawing/2014/main" id="{118B6A8B-56F6-A268-709F-BA9CB4CAD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400051</xdr:colOff>
      <xdr:row>9</xdr:row>
      <xdr:rowOff>9525</xdr:rowOff>
    </xdr:from>
    <xdr:to>
      <xdr:col>13</xdr:col>
      <xdr:colOff>590551</xdr:colOff>
      <xdr:row>18</xdr:row>
      <xdr:rowOff>114300</xdr:rowOff>
    </xdr:to>
    <xdr:graphicFrame macro="">
      <xdr:nvGraphicFramePr>
        <xdr:cNvPr id="17" name="Chart 3">
          <a:extLst>
            <a:ext uri="{FF2B5EF4-FFF2-40B4-BE49-F238E27FC236}">
              <a16:creationId xmlns:a16="http://schemas.microsoft.com/office/drawing/2014/main" id="{1F7A9C16-B9DB-935C-8C22-C0E0A36A9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19049</xdr:colOff>
      <xdr:row>20</xdr:row>
      <xdr:rowOff>80962</xdr:rowOff>
    </xdr:from>
    <xdr:to>
      <xdr:col>5</xdr:col>
      <xdr:colOff>447674</xdr:colOff>
      <xdr:row>34</xdr:row>
      <xdr:rowOff>157162</xdr:rowOff>
    </xdr:to>
    <xdr:graphicFrame macro="">
      <xdr:nvGraphicFramePr>
        <xdr:cNvPr id="18" name="Chart 4">
          <a:extLst>
            <a:ext uri="{FF2B5EF4-FFF2-40B4-BE49-F238E27FC236}">
              <a16:creationId xmlns:a16="http://schemas.microsoft.com/office/drawing/2014/main" id="{D9FC513A-E05E-4630-403E-B6E4375A1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47625</xdr:colOff>
      <xdr:row>2</xdr:row>
      <xdr:rowOff>28575</xdr:rowOff>
    </xdr:from>
    <xdr:to>
      <xdr:col>3</xdr:col>
      <xdr:colOff>142875</xdr:colOff>
      <xdr:row>7</xdr:row>
      <xdr:rowOff>0</xdr:rowOff>
    </xdr:to>
    <xdr:sp macro="" textlink="">
      <xdr:nvSpPr>
        <xdr:cNvPr id="19" name="Rectangle 18">
          <a:extLst>
            <a:ext uri="{FF2B5EF4-FFF2-40B4-BE49-F238E27FC236}">
              <a16:creationId xmlns:a16="http://schemas.microsoft.com/office/drawing/2014/main" id="{279DA52A-5689-4FA1-BC53-F7519E4CA722}"/>
            </a:ext>
          </a:extLst>
        </xdr:cNvPr>
        <xdr:cNvSpPr/>
      </xdr:nvSpPr>
      <xdr:spPr>
        <a:xfrm>
          <a:off x="514350" y="495300"/>
          <a:ext cx="2238375" cy="923925"/>
        </a:xfrm>
        <a:prstGeom prst="rect">
          <a:avLst/>
        </a:prstGeom>
        <a:solidFill>
          <a:srgbClr val="4EA72E">
            <a:lumMod val="75000"/>
          </a:srgbClr>
        </a:solidFill>
        <a:ln w="19050" cap="flat" cmpd="sng" algn="ctr">
          <a:solidFill>
            <a:srgbClr val="156082"/>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ysClr val="window" lastClr="FFFFFF"/>
              </a:solidFill>
              <a:effectLst/>
              <a:uLnTx/>
              <a:uFillTx/>
              <a:latin typeface="Aptos Narrow" panose="02110004020202020204"/>
              <a:ea typeface="+mn-ea"/>
              <a:cs typeface="+mn-cs"/>
            </a:rPr>
            <a:t>Total Customers:</a:t>
          </a:r>
        </a:p>
      </xdr:txBody>
    </xdr:sp>
    <xdr:clientData/>
  </xdr:twoCellAnchor>
  <xdr:twoCellAnchor>
    <xdr:from>
      <xdr:col>4</xdr:col>
      <xdr:colOff>171450</xdr:colOff>
      <xdr:row>2</xdr:row>
      <xdr:rowOff>28575</xdr:rowOff>
    </xdr:from>
    <xdr:to>
      <xdr:col>7</xdr:col>
      <xdr:colOff>495300</xdr:colOff>
      <xdr:row>7</xdr:row>
      <xdr:rowOff>0</xdr:rowOff>
    </xdr:to>
    <xdr:sp macro="" textlink="">
      <xdr:nvSpPr>
        <xdr:cNvPr id="21" name="Rectangle 20">
          <a:extLst>
            <a:ext uri="{FF2B5EF4-FFF2-40B4-BE49-F238E27FC236}">
              <a16:creationId xmlns:a16="http://schemas.microsoft.com/office/drawing/2014/main" id="{09C1B323-C592-4E8D-8BD8-080725C2C5ED}"/>
            </a:ext>
          </a:extLst>
        </xdr:cNvPr>
        <xdr:cNvSpPr/>
      </xdr:nvSpPr>
      <xdr:spPr>
        <a:xfrm>
          <a:off x="3524250" y="495300"/>
          <a:ext cx="2238375" cy="923925"/>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00B050"/>
              </a:solidFill>
              <a:effectLst/>
              <a:uLnTx/>
              <a:uFillTx/>
              <a:latin typeface="Aptos Narrow" panose="02110004020202020204"/>
              <a:ea typeface="+mn-ea"/>
              <a:cs typeface="+mn-cs"/>
            </a:rPr>
            <a:t>Avg. Purchase Value:</a:t>
          </a:r>
        </a:p>
      </xdr:txBody>
    </xdr:sp>
    <xdr:clientData/>
  </xdr:twoCellAnchor>
  <xdr:twoCellAnchor>
    <xdr:from>
      <xdr:col>1</xdr:col>
      <xdr:colOff>57150</xdr:colOff>
      <xdr:row>4</xdr:row>
      <xdr:rowOff>9525</xdr:rowOff>
    </xdr:from>
    <xdr:to>
      <xdr:col>3</xdr:col>
      <xdr:colOff>142875</xdr:colOff>
      <xdr:row>5</xdr:row>
      <xdr:rowOff>180975</xdr:rowOff>
    </xdr:to>
    <xdr:sp macro="" textlink="Total_Customers">
      <xdr:nvSpPr>
        <xdr:cNvPr id="3" name="Rectangle 2">
          <a:extLst>
            <a:ext uri="{FF2B5EF4-FFF2-40B4-BE49-F238E27FC236}">
              <a16:creationId xmlns:a16="http://schemas.microsoft.com/office/drawing/2014/main" id="{6F4CFED2-047A-4DA6-B571-C0C3445F45F3}"/>
            </a:ext>
          </a:extLst>
        </xdr:cNvPr>
        <xdr:cNvSpPr/>
      </xdr:nvSpPr>
      <xdr:spPr>
        <a:xfrm>
          <a:off x="523875" y="857250"/>
          <a:ext cx="2228850" cy="361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D0CD74-D7DE-4C38-B25F-652AE1766F24}" type="TxLink">
            <a:rPr lang="en-US" sz="3600" b="1" i="0" u="none" strike="noStrike">
              <a:solidFill>
                <a:schemeClr val="bg1"/>
              </a:solidFill>
              <a:latin typeface="Times New Roman" panose="02020603050405020304" pitchFamily="18" charset="0"/>
              <a:cs typeface="Times New Roman" panose="02020603050405020304" pitchFamily="18" charset="0"/>
            </a:rPr>
            <a:t>1000</a:t>
          </a:fld>
          <a:endParaRPr lang="en-US" sz="36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38099</xdr:colOff>
      <xdr:row>4</xdr:row>
      <xdr:rowOff>1</xdr:rowOff>
    </xdr:from>
    <xdr:to>
      <xdr:col>7</xdr:col>
      <xdr:colOff>342899</xdr:colOff>
      <xdr:row>6</xdr:row>
      <xdr:rowOff>19051</xdr:rowOff>
    </xdr:to>
    <xdr:sp macro="" textlink="Avg_Amount">
      <xdr:nvSpPr>
        <xdr:cNvPr id="5" name="Rectangle 4">
          <a:extLst>
            <a:ext uri="{FF2B5EF4-FFF2-40B4-BE49-F238E27FC236}">
              <a16:creationId xmlns:a16="http://schemas.microsoft.com/office/drawing/2014/main" id="{EDF88EBF-AF76-4121-AA8C-9309480B67FB}"/>
            </a:ext>
          </a:extLst>
        </xdr:cNvPr>
        <xdr:cNvSpPr/>
      </xdr:nvSpPr>
      <xdr:spPr>
        <a:xfrm>
          <a:off x="3390899" y="847726"/>
          <a:ext cx="2219325" cy="4000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F7C105-61F6-41D2-B1E4-D298DE4D5374}" type="TxLink">
            <a:rPr lang="en-US" sz="3200" b="1" i="0" u="none" strike="noStrike">
              <a:solidFill>
                <a:schemeClr val="accent6"/>
              </a:solidFill>
              <a:latin typeface="Times New Roman" panose="02020603050405020304" pitchFamily="18" charset="0"/>
              <a:cs typeface="Times New Roman" panose="02020603050405020304" pitchFamily="18" charset="0"/>
            </a:rPr>
            <a:t>$275.06 </a:t>
          </a:fld>
          <a:endParaRPr lang="en-US" sz="3200" b="1" i="0" u="none" strike="noStrike">
            <a:solidFill>
              <a:schemeClr val="accent6"/>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47624</xdr:colOff>
      <xdr:row>4</xdr:row>
      <xdr:rowOff>19050</xdr:rowOff>
    </xdr:from>
    <xdr:to>
      <xdr:col>12</xdr:col>
      <xdr:colOff>457199</xdr:colOff>
      <xdr:row>6</xdr:row>
      <xdr:rowOff>0</xdr:rowOff>
    </xdr:to>
    <xdr:sp macro="" textlink="Avg_Satisfaction">
      <xdr:nvSpPr>
        <xdr:cNvPr id="7" name="Rectangle 6">
          <a:extLst>
            <a:ext uri="{FF2B5EF4-FFF2-40B4-BE49-F238E27FC236}">
              <a16:creationId xmlns:a16="http://schemas.microsoft.com/office/drawing/2014/main" id="{292820A4-9380-4967-B1F9-5EE1A13E78AB}"/>
            </a:ext>
          </a:extLst>
        </xdr:cNvPr>
        <xdr:cNvSpPr/>
      </xdr:nvSpPr>
      <xdr:spPr>
        <a:xfrm>
          <a:off x="6534149" y="866775"/>
          <a:ext cx="2238375" cy="361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874AB3E-2F00-40D0-804B-B629DAA721D4}" type="TxLink">
            <a:rPr lang="en-US" sz="3200" b="1" i="0" u="none" strike="noStrike">
              <a:solidFill>
                <a:schemeClr val="bg1"/>
              </a:solidFill>
              <a:latin typeface="Times New Roman" panose="02020603050405020304" pitchFamily="18" charset="0"/>
              <a:cs typeface="Times New Roman" panose="02020603050405020304" pitchFamily="18" charset="0"/>
            </a:rPr>
            <a:t>5.40</a:t>
          </a:fld>
          <a:endParaRPr lang="en-US" sz="3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15</xdr:col>
      <xdr:colOff>85725</xdr:colOff>
      <xdr:row>3</xdr:row>
      <xdr:rowOff>76201</xdr:rowOff>
    </xdr:from>
    <xdr:to>
      <xdr:col>18</xdr:col>
      <xdr:colOff>85725</xdr:colOff>
      <xdr:row>7</xdr:row>
      <xdr:rowOff>1</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165419F0-A62E-46DF-64D6-751256FA318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229850" y="733426"/>
              <a:ext cx="182880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104775</xdr:colOff>
      <xdr:row>7</xdr:row>
      <xdr:rowOff>57151</xdr:rowOff>
    </xdr:from>
    <xdr:to>
      <xdr:col>18</xdr:col>
      <xdr:colOff>104775</xdr:colOff>
      <xdr:row>10</xdr:row>
      <xdr:rowOff>161926</xdr:rowOff>
    </xdr:to>
    <mc:AlternateContent xmlns:mc="http://schemas.openxmlformats.org/markup-compatibility/2006">
      <mc:Choice xmlns:a14="http://schemas.microsoft.com/office/drawing/2010/main" Requires="a14">
        <xdr:graphicFrame macro="">
          <xdr:nvGraphicFramePr>
            <xdr:cNvPr id="10" name="Income_Level">
              <a:extLst>
                <a:ext uri="{FF2B5EF4-FFF2-40B4-BE49-F238E27FC236}">
                  <a16:creationId xmlns:a16="http://schemas.microsoft.com/office/drawing/2014/main" id="{BEB4A9A7-71C9-D5E8-3545-4F7720504BC2}"/>
                </a:ext>
              </a:extLst>
            </xdr:cNvPr>
            <xdr:cNvGraphicFramePr/>
          </xdr:nvGraphicFramePr>
          <xdr:xfrm>
            <a:off x="0" y="0"/>
            <a:ext cx="0" cy="0"/>
          </xdr:xfrm>
          <a:graphic>
            <a:graphicData uri="http://schemas.microsoft.com/office/drawing/2010/slicer">
              <sle:slicer xmlns:sle="http://schemas.microsoft.com/office/drawing/2010/slicer" name="Income_Level"/>
            </a:graphicData>
          </a:graphic>
        </xdr:graphicFrame>
      </mc:Choice>
      <mc:Fallback>
        <xdr:sp macro="" textlink="">
          <xdr:nvSpPr>
            <xdr:cNvPr id="0" name=""/>
            <xdr:cNvSpPr>
              <a:spLocks noTextEdit="1"/>
            </xdr:cNvSpPr>
          </xdr:nvSpPr>
          <xdr:spPr>
            <a:xfrm>
              <a:off x="10248900" y="1476376"/>
              <a:ext cx="182880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absoluteAnchor>
    <xdr:pos x="0" y="0"/>
    <xdr:ext cx="8675783" cy="6300271"/>
    <xdr:graphicFrame macro="">
      <xdr:nvGraphicFramePr>
        <xdr:cNvPr id="2" name="Chart 1">
          <a:extLst>
            <a:ext uri="{FF2B5EF4-FFF2-40B4-BE49-F238E27FC236}">
              <a16:creationId xmlns:a16="http://schemas.microsoft.com/office/drawing/2014/main" id="{C47350D7-2EA2-D027-7232-EB6D21BED68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xcel%20Portfolio/Hospital%20Analysis/hospital%20data%20analysis.xlsx" TargetMode="External"/><Relationship Id="rId2" Type="http://schemas.openxmlformats.org/officeDocument/2006/relationships/externalLinkPath" Target="file:///C:\Users\USER\Desktop\Excel%20Portfolio\Hospital%20Analysis\hospital%20data%20analysis.xlsx" TargetMode="External"/><Relationship Id="rId1" Type="http://schemas.openxmlformats.org/officeDocument/2006/relationships/externalLinkPath" Target="/Users/USER/Desktop/Excel%20Portfolio/Hospital%20Analysis/hospital%20data%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aw Data"/>
      <sheetName val="Cleaned_Data"/>
      <sheetName val="Dashboard"/>
      <sheetName val="PivotTables"/>
      <sheetName val="Insights"/>
      <sheetName val="Notes &amp; Methodology"/>
    </sheetNames>
    <sheetDataSet>
      <sheetData sheetId="0" refreshError="1"/>
      <sheetData sheetId="1" refreshError="1"/>
      <sheetData sheetId="2" refreshError="1"/>
      <sheetData sheetId="3">
        <row r="2">
          <cell r="A2">
            <v>984</v>
          </cell>
        </row>
      </sheetData>
      <sheetData sheetId="4" refreshError="1"/>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2.87518171296" createdVersion="8" refreshedVersion="8" minRefreshableVersion="3" recordCount="1000" xr:uid="{4EE0E34A-1F7E-4833-AFB3-4AAC70F38B52}">
  <cacheSource type="worksheet">
    <worksheetSource name="RFM"/>
  </cacheSource>
  <cacheFields count="9">
    <cacheField name="Customer_ID" numFmtId="0">
      <sharedItems count="1000">
        <s v="37-611-6911"/>
        <s v="29-392-9296"/>
        <s v="84-649-5117"/>
        <s v="48-980-6078"/>
        <s v="91-170-9072"/>
        <s v="82-561-4233"/>
        <s v="90-144-9193"/>
        <s v="88-661-4689"/>
        <s v="37-065-3182"/>
        <s v="84-894-9222"/>
        <s v="44-674-4037"/>
        <s v="78-116-8349"/>
        <s v="19-933-8095"/>
        <s v="80-684-5072"/>
        <s v="23-302-7502"/>
        <s v="90-069-8934"/>
        <s v="45-073-7243"/>
        <s v="89-883-2101"/>
        <s v="00-477-9449"/>
        <s v="67-159-7366"/>
        <s v="85-691-4293"/>
        <s v="56-085-0464"/>
        <s v="33-264-2822"/>
        <s v="95-478-2650"/>
        <s v="04-349-6759"/>
        <s v="21-755-8745"/>
        <s v="29-625-7057"/>
        <s v="58-623-8404"/>
        <s v="56-506-4709"/>
        <s v="25-839-8670"/>
        <s v="89-194-0596"/>
        <s v="55-163-1389"/>
        <s v="28-225-4286"/>
        <s v="14-305-8712"/>
        <s v="85-738-6864"/>
        <s v="17-198-5155"/>
        <s v="15-354-9904"/>
        <s v="35-198-9248"/>
        <s v="03-950-6074"/>
        <s v="19-999-0134"/>
        <s v="57-989-1487"/>
        <s v="07-816-2673"/>
        <s v="70-761-3550"/>
        <s v="38-242-3251"/>
        <s v="95-525-0842"/>
        <s v="37-101-4922"/>
        <s v="37-128-5425"/>
        <s v="27-439-9545"/>
        <s v="37-126-7954"/>
        <s v="82-990-0504"/>
        <s v="21-734-0212"/>
        <s v="76-148-9413"/>
        <s v="53-639-3774"/>
        <s v="20-817-9584"/>
        <s v="18-655-3670"/>
        <s v="72-431-5021"/>
        <s v="07-479-3919"/>
        <s v="17-032-6274"/>
        <s v="64-166-9097"/>
        <s v="39-499-3854"/>
        <s v="39-636-5871"/>
        <s v="71-667-2334"/>
        <s v="35-192-9050"/>
        <s v="91-440-0011"/>
        <s v="20-830-4758"/>
        <s v="84-337-1016"/>
        <s v="09-346-4992"/>
        <s v="75-083-3608"/>
        <s v="29-779-7209"/>
        <s v="12-409-5166"/>
        <s v="07-024-4995"/>
        <s v="74-478-5950"/>
        <s v="31-395-1286"/>
        <s v="60-838-4334"/>
        <s v="71-197-8227"/>
        <s v="15-530-3861"/>
        <s v="30-567-4471"/>
        <s v="04-465-1819"/>
        <s v="69-692-0614"/>
        <s v="12-839-8066"/>
        <s v="05-465-8765"/>
        <s v="81-580-3810"/>
        <s v="74-353-6312"/>
        <s v="78-824-1887"/>
        <s v="31-218-0024"/>
        <s v="15-711-4107"/>
        <s v="76-672-1193"/>
        <s v="46-503-5589"/>
        <s v="87-499-6916"/>
        <s v="30-520-8656"/>
        <s v="36-323-3504"/>
        <s v="93-810-4051"/>
        <s v="66-515-3648"/>
        <s v="09-216-1957"/>
        <s v="23-253-2565"/>
        <s v="74-509-4985"/>
        <s v="05-857-1572"/>
        <s v="26-521-8328"/>
        <s v="31-147-6197"/>
        <s v="90-093-0469"/>
        <s v="38-935-1865"/>
        <s v="75-953-8663"/>
        <s v="38-478-2681"/>
        <s v="70-895-5298"/>
        <s v="02-653-5884"/>
        <s v="11-719-8800"/>
        <s v="59-355-5251"/>
        <s v="82-572-9091"/>
        <s v="86-044-1071"/>
        <s v="08-733-0300"/>
        <s v="70-108-1493"/>
        <s v="46-230-8307"/>
        <s v="74-431-0242"/>
        <s v="78-272-6417"/>
        <s v="13-792-4356"/>
        <s v="04-563-9091"/>
        <s v="79-592-5396"/>
        <s v="39-952-4459"/>
        <s v="67-935-7964"/>
        <s v="26-828-2720"/>
        <s v="57-410-7415"/>
        <s v="62-989-8214"/>
        <s v="73-827-2774"/>
        <s v="19-643-1879"/>
        <s v="57-345-3921"/>
        <s v="98-817-6731"/>
        <s v="31-788-0864"/>
        <s v="27-806-4972"/>
        <s v="48-343-1220"/>
        <s v="15-640-6493"/>
        <s v="64-846-7450"/>
        <s v="58-788-8938"/>
        <s v="52-240-3825"/>
        <s v="60-618-2561"/>
        <s v="94-969-6819"/>
        <s v="76-982-8107"/>
        <s v="52-779-8972"/>
        <s v="40-520-3271"/>
        <s v="79-884-5600"/>
        <s v="80-607-9947"/>
        <s v="87-290-8263"/>
        <s v="99-316-9993"/>
        <s v="54-164-2243"/>
        <s v="14-784-5606"/>
        <s v="47-992-7446"/>
        <s v="37-513-5073"/>
        <s v="93-473-7248"/>
        <s v="72-830-1211"/>
        <s v="87-934-6762"/>
        <s v="71-975-9564"/>
        <s v="40-232-5631"/>
        <s v="22-414-4955"/>
        <s v="99-089-1930"/>
        <s v="62-198-2511"/>
        <s v="21-297-1223"/>
        <s v="10-961-9336"/>
        <s v="71-473-2656"/>
        <s v="84-954-2973"/>
        <s v="22-382-9636"/>
        <s v="89-724-2536"/>
        <s v="85-391-1888"/>
        <s v="84-934-2483"/>
        <s v="96-229-1698"/>
        <s v="36-948-6994"/>
        <s v="43-172-9431"/>
        <s v="53-690-5759"/>
        <s v="00-496-3067"/>
        <s v="10-330-6387"/>
        <s v="87-590-8963"/>
        <s v="47-931-2642"/>
        <s v="76-501-6422"/>
        <s v="39-274-2175"/>
        <s v="62-493-5282"/>
        <s v="18-841-7253"/>
        <s v="18-097-5707"/>
        <s v="83-792-5141"/>
        <s v="65-036-2410"/>
        <s v="67-593-9579"/>
        <s v="33-484-6674"/>
        <s v="65-249-5416"/>
        <s v="17-328-4678"/>
        <s v="00-733-8770"/>
        <s v="47-501-3435"/>
        <s v="46-779-7065"/>
        <s v="91-603-1565"/>
        <s v="35-122-5020"/>
        <s v="63-684-4073"/>
        <s v="74-483-2893"/>
        <s v="72-728-4406"/>
        <s v="13-588-2488"/>
        <s v="79-861-6506"/>
        <s v="66-974-6707"/>
        <s v="95-112-6724"/>
        <s v="27-262-6874"/>
        <s v="92-908-5062"/>
        <s v="70-014-6406"/>
        <s v="52-908-9971"/>
        <s v="57-623-5362"/>
        <s v="48-315-0196"/>
        <s v="71-959-3896"/>
        <s v="29-987-3969"/>
        <s v="78-613-1546"/>
        <s v="43-664-4451"/>
        <s v="34-095-3364"/>
        <s v="72-393-6893"/>
        <s v="73-707-2809"/>
        <s v="04-609-7885"/>
        <s v="73-139-4306"/>
        <s v="23-794-8196"/>
        <s v="66-050-6391"/>
        <s v="22-311-5460"/>
        <s v="51-917-0766"/>
        <s v="53-013-1026"/>
        <s v="29-779-3457"/>
        <s v="18-047-5540"/>
        <s v="89-438-5310"/>
        <s v="23-985-3535"/>
        <s v="67-939-2463"/>
        <s v="03-623-6767"/>
        <s v="86-749-6914"/>
        <s v="03-977-8103"/>
        <s v="03-827-4021"/>
        <s v="68-507-4747"/>
        <s v="73-942-8440"/>
        <s v="21-821-6398"/>
        <s v="64-641-7874"/>
        <s v="53-459-7870"/>
        <s v="36-240-3240"/>
        <s v="54-936-4361"/>
        <s v="67-209-0990"/>
        <s v="19-667-0201"/>
        <s v="36-274-5269"/>
        <s v="09-948-3150"/>
        <s v="19-873-9468"/>
        <s v="37-748-4988"/>
        <s v="08-755-1170"/>
        <s v="07-402-7433"/>
        <s v="60-073-3575"/>
        <s v="97-237-3483"/>
        <s v="93-675-1619"/>
        <s v="43-884-2577"/>
        <s v="33-200-7615"/>
        <s v="63-631-8261"/>
        <s v="34-016-7909"/>
        <s v="82-304-6495"/>
        <s v="70-207-6999"/>
        <s v="71-780-8195"/>
        <s v="93-356-8589"/>
        <s v="92-142-9480"/>
        <s v="53-042-5685"/>
        <s v="35-853-2222"/>
        <s v="83-670-9273"/>
        <s v="37-783-6086"/>
        <s v="79-902-8144"/>
        <s v="41-009-7879"/>
        <s v="89-302-8461"/>
        <s v="23-066-1915"/>
        <s v="39-090-0124"/>
        <s v="41-854-0707"/>
        <s v="04-352-1558"/>
        <s v="93-867-8303"/>
        <s v="31-088-6950"/>
        <s v="43-616-8365"/>
        <s v="71-876-9118"/>
        <s v="18-263-0366"/>
        <s v="25-502-1415"/>
        <s v="50-000-9588"/>
        <s v="32-338-5967"/>
        <s v="19-311-9149"/>
        <s v="94-212-7169"/>
        <s v="17-246-6194"/>
        <s v="26-672-1285"/>
        <s v="00-265-0556"/>
        <s v="76-397-3294"/>
        <s v="43-612-8079"/>
        <s v="17-213-2834"/>
        <s v="36-214-1586"/>
        <s v="32-414-1466"/>
        <s v="12-699-6543"/>
        <s v="83-427-3218"/>
        <s v="61-663-9008"/>
        <s v="86-917-7481"/>
        <s v="66-086-2306"/>
        <s v="43-671-9834"/>
        <s v="90-888-8726"/>
        <s v="23-085-0811"/>
        <s v="85-192-9218"/>
        <s v="82-671-7236"/>
        <s v="42-674-3987"/>
        <s v="41-934-7739"/>
        <s v="48-825-0400"/>
        <s v="30-133-5120"/>
        <s v="29-827-8515"/>
        <s v="91-724-4633"/>
        <s v="10-328-5732"/>
        <s v="38-912-1128"/>
        <s v="07-751-9620"/>
        <s v="81-877-9170"/>
        <s v="19-885-2597"/>
        <s v="82-389-2029"/>
        <s v="97-463-0048"/>
        <s v="91-572-6135"/>
        <s v="10-232-0685"/>
        <s v="77-761-7475"/>
        <s v="78-826-3039"/>
        <s v="86-668-1045"/>
        <s v="14-603-9698"/>
        <s v="23-752-2213"/>
        <s v="71-486-8561"/>
        <s v="76-382-7162"/>
        <s v="28-947-4295"/>
        <s v="84-765-0748"/>
        <s v="54-207-8349"/>
        <s v="20-419-0341"/>
        <s v="52-005-9914"/>
        <s v="34-846-7805"/>
        <s v="26-596-5461"/>
        <s v="20-157-8631"/>
        <s v="91-199-9097"/>
        <s v="55-846-2579"/>
        <s v="83-455-7266"/>
        <s v="67-599-9267"/>
        <s v="41-501-9276"/>
        <s v="99-509-4653"/>
        <s v="31-284-5722"/>
        <s v="88-000-9227"/>
        <s v="52-726-9328"/>
        <s v="60-198-5417"/>
        <s v="00-107-4749"/>
        <s v="88-428-8409"/>
        <s v="21-313-7424"/>
        <s v="79-973-7862"/>
        <s v="81-814-3498"/>
        <s v="34-375-8138"/>
        <s v="05-067-9686"/>
        <s v="61-951-7929"/>
        <s v="53-667-0793"/>
        <s v="61-212-1117"/>
        <s v="09-443-7536"/>
        <s v="27-463-5671"/>
        <s v="53-380-3968"/>
        <s v="42-969-0735"/>
        <s v="12-440-5464"/>
        <s v="33-467-2534"/>
        <s v="35-418-0288"/>
        <s v="33-787-2143"/>
        <s v="58-528-6262"/>
        <s v="31-060-2716"/>
        <s v="81-515-5823"/>
        <s v="90-858-0453"/>
        <s v="28-874-8938"/>
        <s v="89-625-5542"/>
        <s v="07-966-8728"/>
        <s v="94-408-2581"/>
        <s v="55-301-9368"/>
        <s v="72-336-1992"/>
        <s v="06-008-2805"/>
        <s v="77-178-6086"/>
        <s v="28-832-2885"/>
        <s v="75-210-7391"/>
        <s v="60-470-3563"/>
        <s v="24-241-7171"/>
        <s v="53-784-1855"/>
        <s v="83-561-3374"/>
        <s v="96-121-0629"/>
        <s v="00-275-9990"/>
        <s v="36-593-2907"/>
        <s v="22-692-3470"/>
        <s v="90-322-7329"/>
        <s v="28-395-9872"/>
        <s v="79-297-1061"/>
        <s v="93-649-9356"/>
        <s v="27-543-7069"/>
        <s v="96-079-9597"/>
        <s v="38-940-4942"/>
        <s v="82-014-2564"/>
        <s v="70-699-5799"/>
        <s v="53-240-2040"/>
        <s v="27-742-2776"/>
        <s v="55-620-7906"/>
        <s v="04-213-4617"/>
        <s v="79-384-7469"/>
        <s v="30-839-5589"/>
        <s v="76-848-9229"/>
        <s v="98-559-6096"/>
        <s v="56-810-2066"/>
        <s v="55-580-7707"/>
        <s v="18-605-0795"/>
        <s v="86-268-2904"/>
        <s v="75-847-7630"/>
        <s v="76-910-2337"/>
        <s v="56-719-7145"/>
        <s v="14-025-2335"/>
        <s v="10-300-8072"/>
        <s v="73-698-2326"/>
        <s v="01-023-2094"/>
        <s v="65-359-4645"/>
        <s v="33-405-7978"/>
        <s v="09-783-7921"/>
        <s v="76-561-2427"/>
        <s v="82-467-3300"/>
        <s v="92-946-7398"/>
        <s v="59-891-2990"/>
        <s v="22-579-3978"/>
        <s v="22-352-0576"/>
        <s v="28-676-0614"/>
        <s v="07-211-9364"/>
        <s v="98-238-6733"/>
        <s v="72-006-3769"/>
        <s v="75-845-3143"/>
        <s v="26-028-2671"/>
        <s v="55-876-7407"/>
        <s v="47-720-9520"/>
        <s v="42-207-5005"/>
        <s v="47-266-2261"/>
        <s v="77-642-7686"/>
        <s v="37-468-8133"/>
        <s v="00-335-5034"/>
        <s v="95-148-1769"/>
        <s v="72-324-1243"/>
        <s v="62-687-5354"/>
        <s v="54-634-0814"/>
        <s v="64-769-5737"/>
        <s v="62-892-2088"/>
        <s v="53-951-2529"/>
        <s v="00-264-3797"/>
        <s v="88-445-9235"/>
        <s v="65-539-9955"/>
        <s v="89-730-1134"/>
        <s v="74-051-7865"/>
        <s v="40-450-4266"/>
        <s v="78-796-5651"/>
        <s v="78-163-4800"/>
        <s v="90-272-5701"/>
        <s v="14-118-5229"/>
        <s v="24-662-2119"/>
        <s v="61-794-8438"/>
        <s v="21-959-5766"/>
        <s v="42-518-2602"/>
        <s v="35-850-8676"/>
        <s v="07-958-2231"/>
        <s v="78-503-0416"/>
        <s v="46-167-7999"/>
        <s v="93-989-8649"/>
        <s v="98-130-8811"/>
        <s v="18-614-2070"/>
        <s v="80-277-3242"/>
        <s v="44-949-9040"/>
        <s v="04-545-9162"/>
        <s v="51-320-2801"/>
        <s v="50-510-5119"/>
        <s v="63-964-6954"/>
        <s v="55-569-9247"/>
        <s v="02-911-0447"/>
        <s v="77-626-7240"/>
        <s v="75-915-9803"/>
        <s v="78-905-2660"/>
        <s v="02-677-6735"/>
        <s v="20-460-9796"/>
        <s v="57-587-4005"/>
        <s v="99-477-8256"/>
        <s v="03-992-3728"/>
        <s v="24-878-4507"/>
        <s v="22-106-8347"/>
        <s v="81-479-0790"/>
        <s v="03-023-9932"/>
        <s v="36-632-2460"/>
        <s v="32-799-7704"/>
        <s v="09-369-0588"/>
        <s v="87-727-6434"/>
        <s v="18-793-9543"/>
        <s v="63-625-5757"/>
        <s v="93-413-4758"/>
        <s v="15-663-7994"/>
        <s v="29-319-4519"/>
        <s v="40-347-2903"/>
        <s v="18-452-1635"/>
        <s v="47-710-5471"/>
        <s v="88-167-7129"/>
        <s v="86-771-9082"/>
        <s v="46-678-4172"/>
        <s v="14-249-1256"/>
        <s v="75-617-1460"/>
        <s v="10-247-0192"/>
        <s v="94-120-9525"/>
        <s v="22-234-9315"/>
        <s v="37-560-7247"/>
        <s v="91-857-0797"/>
        <s v="19-344-0102"/>
        <s v="48-609-7715"/>
        <s v="13-571-6506"/>
        <s v="47-073-6440"/>
        <s v="50-303-1693"/>
        <s v="69-157-9577"/>
        <s v="09-513-4923"/>
        <s v="82-975-8569"/>
        <s v="70-774-7728"/>
        <s v="13-015-8097"/>
        <s v="68-391-7279"/>
        <s v="28-764-3337"/>
        <s v="00-285-9607"/>
        <s v="04-832-3559"/>
        <s v="27-613-5005"/>
        <s v="49-825-3438"/>
        <s v="31-783-9785"/>
        <s v="58-059-8187"/>
        <s v="74-882-6648"/>
        <s v="03-180-9200"/>
        <s v="46-578-1425"/>
        <s v="13-588-5783"/>
        <s v="25-085-7917"/>
        <s v="66-085-1226"/>
        <s v="37-037-1765"/>
        <s v="48-630-6410"/>
        <s v="50-471-0212"/>
        <s v="48-642-5768"/>
        <s v="15-152-9751"/>
        <s v="23-451-9920"/>
        <s v="09-775-4058"/>
        <s v="43-595-0966"/>
        <s v="56-592-0089"/>
        <s v="29-374-1297"/>
        <s v="80-728-6133"/>
        <s v="58-502-7490"/>
        <s v="23-537-0742"/>
        <s v="22-483-3115"/>
        <s v="57-372-5969"/>
        <s v="37-283-9076"/>
        <s v="39-075-3518"/>
        <s v="84-315-7189"/>
        <s v="75-964-5589"/>
        <s v="06-594-3417"/>
        <s v="08-297-3351"/>
        <s v="05-546-5128"/>
        <s v="79-759-6726"/>
        <s v="12-851-1771"/>
        <s v="79-960-1714"/>
        <s v="30-417-6981"/>
        <s v="91-532-5399"/>
        <s v="89-997-9041"/>
        <s v="26-235-6745"/>
        <s v="99-080-9462"/>
        <s v="87-056-8987"/>
        <s v="06-160-8063"/>
        <s v="73-434-2308"/>
        <s v="84-260-6464"/>
        <s v="00-149-4481"/>
        <s v="05-710-6109"/>
        <s v="84-724-8407"/>
        <s v="45-795-1873"/>
        <s v="06-647-3248"/>
        <s v="06-767-5206"/>
        <s v="94-288-4423"/>
        <s v="49-891-9711"/>
        <s v="08-806-0588"/>
        <s v="94-746-2001"/>
        <s v="38-943-5744"/>
        <s v="98-535-8497"/>
        <s v="33-243-8793"/>
        <s v="99-581-5577"/>
        <s v="64-180-2404"/>
        <s v="73-097-0986"/>
        <s v="88-051-0567"/>
        <s v="44-715-9594"/>
        <s v="84-188-6577"/>
        <s v="19-116-4723"/>
        <s v="21-783-9242"/>
        <s v="95-528-2313"/>
        <s v="94-682-4886"/>
        <s v="55-944-9669"/>
        <s v="32-314-2958"/>
        <s v="67-697-2331"/>
        <s v="28-855-1639"/>
        <s v="38-069-8615"/>
        <s v="58-233-5963"/>
        <s v="02-004-0620"/>
        <s v="78-822-9328"/>
        <s v="73-359-1998"/>
        <s v="84-459-7736"/>
        <s v="07-395-5818"/>
        <s v="07-560-6637"/>
        <s v="61-926-1691"/>
        <s v="68-129-1060"/>
        <s v="04-052-5592"/>
        <s v="41-215-6092"/>
        <s v="89-833-7175"/>
        <s v="08-117-9893"/>
        <s v="24-109-2173"/>
        <s v="79-939-2140"/>
        <s v="95-999-0984"/>
        <s v="64-799-3174"/>
        <s v="27-018-2262"/>
        <s v="38-881-0766"/>
        <s v="17-344-8603"/>
        <s v="51-387-9144"/>
        <s v="42-101-8525"/>
        <s v="69-157-6752"/>
        <s v="27-843-5553"/>
        <s v="04-468-5487"/>
        <s v="08-584-8296"/>
        <s v="81-014-4502"/>
        <s v="65-167-9819"/>
        <s v="19-925-2376"/>
        <s v="03-669-7519"/>
        <s v="00-520-4376"/>
        <s v="62-701-1037"/>
        <s v="87-806-4478"/>
        <s v="04-809-8989"/>
        <s v="39-867-1989"/>
        <s v="45-584-7333"/>
        <s v="85-885-6579"/>
        <s v="65-457-2840"/>
        <s v="82-726-1255"/>
        <s v="90-602-3583"/>
        <s v="02-711-1034"/>
        <s v="27-347-7437"/>
        <s v="95-675-7816"/>
        <s v="87-418-1400"/>
        <s v="73-991-0066"/>
        <s v="62-273-8089"/>
        <s v="51-220-3072"/>
        <s v="17-648-0171"/>
        <s v="11-975-9054"/>
        <s v="75-518-2831"/>
        <s v="13-297-9777"/>
        <s v="81-604-7906"/>
        <s v="87-518-0375"/>
        <s v="53-437-2629"/>
        <s v="46-681-0764"/>
        <s v="43-990-6454"/>
        <s v="55-570-3804"/>
        <s v="29-067-4901"/>
        <s v="93-957-6269"/>
        <s v="81-225-6647"/>
        <s v="64-706-7841"/>
        <s v="47-178-9529"/>
        <s v="63-808-3641"/>
        <s v="85-738-8909"/>
        <s v="40-224-1057"/>
        <s v="24-853-1635"/>
        <s v="61-627-1822"/>
        <s v="89-392-5002"/>
        <s v="71-573-6085"/>
        <s v="91-810-3612"/>
        <s v="07-323-0255"/>
        <s v="81-054-5343"/>
        <s v="14-854-9545"/>
        <s v="52-150-4629"/>
        <s v="48-918-4473"/>
        <s v="06-764-5496"/>
        <s v="67-036-4295"/>
        <s v="35-880-9374"/>
        <s v="08-614-6177"/>
        <s v="35-879-0014"/>
        <s v="91-570-2695"/>
        <s v="54-193-3526"/>
        <s v="55-237-7991"/>
        <s v="90-569-7391"/>
        <s v="88-395-8741"/>
        <s v="06-638-0433"/>
        <s v="84-208-7045"/>
        <s v="71-568-0867"/>
        <s v="18-925-1867"/>
        <s v="69-394-1424"/>
        <s v="91-695-8237"/>
        <s v="68-458-0904"/>
        <s v="28-862-5550"/>
        <s v="85-666-7449"/>
        <s v="30-987-7421"/>
        <s v="39-107-6852"/>
        <s v="85-467-6564"/>
        <s v="82-692-9306"/>
        <s v="18-593-8611"/>
        <s v="93-093-0556"/>
        <s v="59-080-5779"/>
        <s v="64-915-2968"/>
        <s v="94-495-3402"/>
        <s v="84-458-6432"/>
        <s v="46-452-3822"/>
        <s v="54-877-5699"/>
        <s v="15-146-4456"/>
        <s v="76-620-2994"/>
        <s v="60-834-3348"/>
        <s v="77-742-5663"/>
        <s v="05-167-0833"/>
        <s v="86-182-9556"/>
        <s v="14-415-2802"/>
        <s v="49-469-9163"/>
        <s v="67-937-6624"/>
        <s v="91-761-9492"/>
        <s v="19-184-7665"/>
        <s v="19-383-9741"/>
        <s v="15-625-4047"/>
        <s v="81-820-4735"/>
        <s v="71-436-6908"/>
        <s v="73-145-5784"/>
        <s v="50-637-1630"/>
        <s v="44-938-7475"/>
        <s v="55-279-3045"/>
        <s v="59-997-3903"/>
        <s v="12-029-9344"/>
        <s v="41-130-2570"/>
        <s v="25-285-7453"/>
        <s v="47-225-8686"/>
        <s v="33-519-4214"/>
        <s v="03-991-2098"/>
        <s v="30-735-8744"/>
        <s v="13-848-5757"/>
        <s v="21-300-2001"/>
        <s v="38-587-1781"/>
        <s v="66-557-1474"/>
        <s v="03-422-8710"/>
        <s v="39-731-8532"/>
        <s v="80-830-3184"/>
        <s v="97-505-8416"/>
        <s v="98-585-4742"/>
        <s v="51-302-9537"/>
        <s v="88-313-2633"/>
        <s v="61-286-0069"/>
        <s v="35-907-0586"/>
        <s v="30-522-1574"/>
        <s v="43-715-8777"/>
        <s v="94-692-4313"/>
        <s v="96-915-4091"/>
        <s v="67-073-5578"/>
        <s v="27-010-9462"/>
        <s v="19-689-4556"/>
        <s v="53-143-6147"/>
        <s v="02-725-7664"/>
        <s v="54-439-4748"/>
        <s v="66-949-9895"/>
        <s v="20-648-1010"/>
        <s v="79-939-5393"/>
        <s v="89-249-8369"/>
        <s v="85-366-1482"/>
        <s v="34-874-7357"/>
        <s v="11-820-5039"/>
        <s v="73-846-1423"/>
        <s v="90-363-8040"/>
        <s v="65-533-1660"/>
        <s v="98-376-8787"/>
        <s v="18-938-9896"/>
        <s v="04-829-7037"/>
        <s v="93-455-0576"/>
        <s v="84-637-9188"/>
        <s v="81-111-7832"/>
        <s v="77-401-8183"/>
        <s v="01-484-8220"/>
        <s v="11-121-0709"/>
        <s v="36-649-0081"/>
        <s v="61-176-8712"/>
        <s v="75-526-2611"/>
        <s v="72-339-1854"/>
        <s v="80-360-6324"/>
        <s v="24-591-4327"/>
        <s v="58-487-8848"/>
        <s v="61-453-3503"/>
        <s v="63-680-7694"/>
        <s v="51-431-7150"/>
        <s v="23-039-9347"/>
        <s v="18-832-6916"/>
        <s v="29-438-8126"/>
        <s v="68-201-1633"/>
        <s v="07-314-2945"/>
        <s v="64-490-6975"/>
        <s v="91-789-3191"/>
        <s v="83-714-9649"/>
        <s v="33-203-4230"/>
        <s v="90-918-2833"/>
        <s v="53-409-1176"/>
        <s v="52-491-3386"/>
        <s v="10-870-3357"/>
        <s v="41-816-7753"/>
        <s v="68-296-5978"/>
        <s v="03-874-9055"/>
        <s v="28-123-8406"/>
        <s v="01-089-2223"/>
        <s v="23-758-1012"/>
        <s v="34-788-8387"/>
        <s v="53-865-9342"/>
        <s v="79-052-8470"/>
        <s v="86-359-7320"/>
        <s v="27-111-2242"/>
        <s v="84-538-0238"/>
        <s v="04-660-2742"/>
        <s v="96-496-9833"/>
        <s v="27-672-6081"/>
        <s v="66-033-0540"/>
        <s v="99-643-9845"/>
        <s v="27-571-9402"/>
        <s v="10-430-5821"/>
        <s v="36-835-7445"/>
        <s v="41-602-4042"/>
        <s v="63-743-6962"/>
        <s v="66-772-9922"/>
        <s v="23-246-5927"/>
        <s v="74-022-7557"/>
        <s v="78-214-5658"/>
        <s v="25-286-8786"/>
        <s v="55-955-9889"/>
        <s v="34-237-3943"/>
        <s v="19-386-9088"/>
        <s v="16-583-2801"/>
        <s v="83-752-5439"/>
        <s v="25-485-2023"/>
        <s v="90-822-7664"/>
        <s v="22-039-6819"/>
        <s v="50-395-1941"/>
        <s v="99-771-9310"/>
        <s v="18-518-0140"/>
        <s v="57-000-8646"/>
        <s v="81-926-9297"/>
        <s v="53-070-2625"/>
        <s v="63-217-7638"/>
        <s v="64-120-6212"/>
        <s v="01-404-3425"/>
        <s v="68-971-6148"/>
        <s v="22-053-4627"/>
        <s v="09-258-0424"/>
        <s v="56-782-9001"/>
        <s v="05-506-7216"/>
        <s v="47-356-9730"/>
        <s v="42-898-6421"/>
        <s v="17-364-8685"/>
        <s v="13-618-9438"/>
        <s v="32-457-2982"/>
        <s v="43-386-2489"/>
        <s v="67-438-2378"/>
        <s v="65-431-1264"/>
        <s v="73-367-8478"/>
        <s v="84-162-8799"/>
        <s v="51-546-9992"/>
        <s v="89-189-3295"/>
        <s v="45-776-7217"/>
        <s v="71-354-5174"/>
        <s v="05-975-6985"/>
        <s v="42-859-2475"/>
        <s v="34-094-1923"/>
        <s v="57-797-8139"/>
        <s v="21-048-8669"/>
        <s v="30-038-8752"/>
        <s v="06-237-7338"/>
        <s v="71-817-5422"/>
        <s v="68-512-0568"/>
        <s v="18-633-9387"/>
        <s v="08-977-4418"/>
        <s v="97-738-8095"/>
        <s v="15-421-1255"/>
        <s v="92-142-4328"/>
        <s v="06-357-6548"/>
        <s v="59-261-4453"/>
        <s v="35-644-3184"/>
        <s v="30-528-9105"/>
        <s v="14-709-8547"/>
        <s v="80-508-9866"/>
        <s v="27-100-0661"/>
        <s v="68-488-7343"/>
        <s v="63-304-1852"/>
        <s v="53-843-5619"/>
        <s v="44-786-7696"/>
        <s v="45-631-4619"/>
        <s v="11-850-1953"/>
        <s v="20-421-2544"/>
        <s v="37-100-8709"/>
        <s v="78-361-5100"/>
        <s v="67-676-5945"/>
        <s v="67-639-5838"/>
        <s v="51-415-1931"/>
        <s v="96-764-3843"/>
        <s v="16-730-2056"/>
        <s v="22-157-2494"/>
        <s v="29-341-6463"/>
        <s v="64-906-4475"/>
        <s v="36-340-8494"/>
        <s v="77-031-4898"/>
        <s v="86-097-9642"/>
        <s v="64-090-3433"/>
        <s v="96-140-1936"/>
        <s v="38-830-6976"/>
        <s v="82-864-1154"/>
        <s v="79-711-6779"/>
        <s v="22-860-9860"/>
        <s v="72-590-6161"/>
        <s v="76-213-5806"/>
        <s v="66-894-5431"/>
        <s v="20-939-3906"/>
        <s v="86-390-9555"/>
        <s v="91-602-0761"/>
        <s v="62-974-7965"/>
        <s v="21-232-1397"/>
        <s v="31-364-4144"/>
        <s v="99-945-7193"/>
        <s v="91-053-3261"/>
        <s v="50-447-5171"/>
        <s v="89-754-7244"/>
        <s v="56-072-7011"/>
        <s v="74-281-3421"/>
        <s v="86-068-2133"/>
        <s v="03-102-0288"/>
        <s v="74-033-1145"/>
        <s v="24-272-6205"/>
        <s v="90-170-1951"/>
        <s v="73-259-8940"/>
        <s v="77-796-5786"/>
        <s v="23-949-1954"/>
        <s v="51-313-7293"/>
        <s v="62-797-9254"/>
        <s v="27-941-4995"/>
        <s v="01-799-2615"/>
        <s v="82-133-0444"/>
        <s v="43-920-9499"/>
        <s v="17-551-9779"/>
        <s v="49-037-2300"/>
        <s v="95-876-9757"/>
        <s v="47-947-4888"/>
        <s v="83-003-2165"/>
        <s v="27-619-9264"/>
        <s v="49-476-1729"/>
        <s v="64-803-7087"/>
        <s v="01-925-4021"/>
        <s v="51-116-5937"/>
        <s v="72-454-2741"/>
        <s v="96-484-1000"/>
        <s v="07-834-3350"/>
        <s v="11-802-5604"/>
        <s v="41-750-4105"/>
        <s v="31-491-8457"/>
        <s v="86-257-9581"/>
        <s v="22-981-6595"/>
        <s v="54-002-5845"/>
        <s v="31-927-7787"/>
        <s v="46-098-9737"/>
        <s v="27-017-7173"/>
        <s v="53-102-9949"/>
        <s v="02-676-9312"/>
        <s v="28-969-7540"/>
        <s v="30-083-9565"/>
        <s v="30-975-0306"/>
        <s v="14-364-4904"/>
        <s v="08-652-2085"/>
        <s v="67-037-2087"/>
        <s v="09-737-8354"/>
        <s v="12-417-5609"/>
        <s v="25-096-6830"/>
        <s v="91-558-5922"/>
        <s v="25-560-4506"/>
        <s v="33-609-0598"/>
        <s v="45-337-1798"/>
        <s v="34-265-8558"/>
        <s v="67-323-7406"/>
        <s v="40-149-8247"/>
        <s v="37-361-8691"/>
        <s v="17-763-9416"/>
        <s v="56-453-8263"/>
        <s v="19-560-0717"/>
        <s v="40-199-1803"/>
        <s v="09-332-0236"/>
        <s v="83-982-5300"/>
        <s v="46-662-1571"/>
        <s v="20-699-9217"/>
        <s v="26-150-0209"/>
        <s v="94-985-5336"/>
        <s v="97-715-3606"/>
        <s v="02-100-4320"/>
        <s v="16-070-0138"/>
        <s v="82-474-5074"/>
        <s v="36-444-5336"/>
        <s v="54-680-5344"/>
        <s v="16-364-8096"/>
        <s v="62-644-8183"/>
        <s v="59-971-0799"/>
        <s v="64-031-2046"/>
        <s v="87-079-0237"/>
        <s v="78-091-8662"/>
        <s v="62-720-2922"/>
        <s v="47-528-3961"/>
        <s v="21-808-2293"/>
        <s v="22-022-9256"/>
        <s v="96-772-7220"/>
        <s v="25-866-7286"/>
        <s v="72-694-4159"/>
        <s v="10-079-8237"/>
        <s v="47-460-8015"/>
        <s v="06-061-0023"/>
        <s v="80-487-2550"/>
        <s v="23-617-2637"/>
        <s v="60-005-5187"/>
        <s v="24-371-5870"/>
        <s v="02-055-8248"/>
        <s v="54-238-5459"/>
        <s v="85-922-0190"/>
        <s v="48-271-1908"/>
        <s v="46-978-3874"/>
        <s v="53-595-7635"/>
        <s v="08-185-6608"/>
        <s v="20-562-2569"/>
        <s v="41-366-4205"/>
        <s v="77-241-7621"/>
        <s v="53-091-2176"/>
        <s v="48-203-9118"/>
      </sharedItems>
    </cacheField>
    <cacheField name="Recency" numFmtId="0">
      <sharedItems containsSemiMixedTypes="0" containsString="0" containsNumber="1" containsInteger="1" minValue="476" maxValue="840"/>
    </cacheField>
    <cacheField name="Frequency" numFmtId="0">
      <sharedItems containsSemiMixedTypes="0" containsString="0" containsNumber="1" containsInteger="1" minValue="2" maxValue="12"/>
    </cacheField>
    <cacheField name="Monetary" numFmtId="164">
      <sharedItems containsSemiMixedTypes="0" containsString="0" containsNumber="1" minValue="50.71" maxValue="498.33"/>
    </cacheField>
    <cacheField name="R_Score" numFmtId="0">
      <sharedItems containsSemiMixedTypes="0" containsString="0" containsNumber="1" containsInteger="1" minValue="1" maxValue="5" count="5">
        <n v="1"/>
        <n v="2"/>
        <n v="4"/>
        <n v="3"/>
        <n v="5"/>
      </sharedItems>
    </cacheField>
    <cacheField name="F_Score" numFmtId="0">
      <sharedItems containsSemiMixedTypes="0" containsString="0" containsNumber="1" containsInteger="1" minValue="1" maxValue="5" count="5">
        <n v="2"/>
        <n v="5"/>
        <n v="1"/>
        <n v="3"/>
        <n v="4"/>
      </sharedItems>
    </cacheField>
    <cacheField name="M_Score" numFmtId="0">
      <sharedItems containsSemiMixedTypes="0" containsString="0" containsNumber="1" containsInteger="1" minValue="1" maxValue="5" count="5">
        <n v="4"/>
        <n v="2"/>
        <n v="5"/>
        <n v="1"/>
        <n v="3"/>
      </sharedItems>
    </cacheField>
    <cacheField name="RFM_Score" numFmtId="0">
      <sharedItems/>
    </cacheField>
    <cacheField name="Customer_Segments" numFmtId="0">
      <sharedItems count="8">
        <s v="Big Spender"/>
        <s v="About To Sleep"/>
        <s v="Potential Loyalist"/>
        <s v="Loyal Customer"/>
        <s v="Others"/>
        <s v="Lost Customer"/>
        <s v="Champion"/>
        <s v="At Risk"/>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3.850098263887" createdVersion="8" refreshedVersion="8" minRefreshableVersion="3" recordCount="1000" xr:uid="{F9A87AD2-30CE-4ABE-99E1-0CF107EDEB15}">
  <cacheSource type="worksheet">
    <worksheetSource name="DATASET"/>
  </cacheSource>
  <cacheFields count="29">
    <cacheField name="Customer_ID" numFmtId="0">
      <sharedItems/>
    </cacheField>
    <cacheField name="Age" numFmtId="0">
      <sharedItems containsSemiMixedTypes="0" containsString="0" containsNumber="1" containsInteger="1" minValue="18" maxValue="50" count="33">
        <n v="22"/>
        <n v="49"/>
        <n v="24"/>
        <n v="29"/>
        <n v="33"/>
        <n v="45"/>
        <n v="21"/>
        <n v="39"/>
        <n v="25"/>
        <n v="38"/>
        <n v="34"/>
        <n v="32"/>
        <n v="30"/>
        <n v="40"/>
        <n v="37"/>
        <n v="36"/>
        <n v="31"/>
        <n v="50"/>
        <n v="48"/>
        <n v="46"/>
        <n v="43"/>
        <n v="42"/>
        <n v="35"/>
        <n v="27"/>
        <n v="19"/>
        <n v="23"/>
        <n v="47"/>
        <n v="18"/>
        <n v="20"/>
        <n v="26"/>
        <n v="41"/>
        <n v="28"/>
        <n v="44"/>
      </sharedItems>
    </cacheField>
    <cacheField name="Gender" numFmtId="0">
      <sharedItems count="8">
        <s v="Female"/>
        <s v="Male"/>
        <s v="Bigender"/>
        <s v="Genderfluid"/>
        <s v="Non-binary"/>
        <s v="Polygender"/>
        <s v="Agender"/>
        <s v="Genderqueer"/>
      </sharedItems>
    </cacheField>
    <cacheField name="Income_Level" numFmtId="0">
      <sharedItems count="2">
        <s v="Middle"/>
        <s v="High"/>
      </sharedItems>
    </cacheField>
    <cacheField name="Marital_Status" numFmtId="0">
      <sharedItems/>
    </cacheField>
    <cacheField name="Education_Level" numFmtId="0">
      <sharedItems/>
    </cacheField>
    <cacheField name="Occupation" numFmtId="0">
      <sharedItems/>
    </cacheField>
    <cacheField name="Location" numFmtId="0">
      <sharedItems/>
    </cacheField>
    <cacheField name="Purchase_Category" numFmtId="0">
      <sharedItems count="24">
        <s v="Gardening &amp; Outdoors"/>
        <s v="Food &amp; Beverages"/>
        <s v="Office Supplies"/>
        <s v="Home Appliances"/>
        <s v="Furniture"/>
        <s v="Books"/>
        <s v="Sports &amp; Outdoors"/>
        <s v="Mobile Accessories"/>
        <s v="Luxury Goods"/>
        <s v="Animal Feed"/>
        <s v="Health Care"/>
        <s v="Hotels"/>
        <s v="Packages)"/>
        <s v="Electronics"/>
        <s v="Software &amp; Apps"/>
        <s v="Baby Products"/>
        <s v="Toys &amp; Games"/>
        <s v="Arts &amp; Crafts"/>
        <s v="Health Supplements"/>
        <s v="Groceries"/>
        <s v="Clothing"/>
        <s v="Beauty &amp; Personal Care"/>
        <s v="Travel &amp; Leisure (Flights"/>
        <s v="Jewelry &amp; Accessories"/>
      </sharedItems>
    </cacheField>
    <cacheField name="Purchase_Amount" numFmtId="8">
      <sharedItems containsSemiMixedTypes="0" containsString="0" containsNumber="1" minValue="50.71" maxValue="498.33"/>
    </cacheField>
    <cacheField name="Frequency_of_Purchase" numFmtId="0">
      <sharedItems containsSemiMixedTypes="0" containsString="0" containsNumber="1" containsInteger="1" minValue="2" maxValue="12"/>
    </cacheField>
    <cacheField name="Purchase_Channel" numFmtId="0">
      <sharedItems count="3">
        <s v="Mixed"/>
        <s v="In-Store"/>
        <s v="Online"/>
      </sharedItems>
    </cacheField>
    <cacheField name="Brand_Loyalty" numFmtId="0">
      <sharedItems containsSemiMixedTypes="0" containsString="0" containsNumber="1" containsInteger="1" minValue="1" maxValue="5"/>
    </cacheField>
    <cacheField name="Product_Rating" numFmtId="0">
      <sharedItems containsSemiMixedTypes="0" containsString="0" containsNumber="1" containsInteger="1" minValue="1" maxValue="5"/>
    </cacheField>
    <cacheField name="Time_Spent_on_Product_Research(hours)" numFmtId="0">
      <sharedItems containsSemiMixedTypes="0" containsString="0" containsNumber="1" minValue="0" maxValue="2"/>
    </cacheField>
    <cacheField name="Social_Media_Influence" numFmtId="0">
      <sharedItems/>
    </cacheField>
    <cacheField name="Discount_Sensitivity" numFmtId="0">
      <sharedItems/>
    </cacheField>
    <cacheField name="Return_Rate" numFmtId="0">
      <sharedItems containsSemiMixedTypes="0" containsString="0" containsNumber="1" containsInteger="1" minValue="0" maxValue="2"/>
    </cacheField>
    <cacheField name="Customer_Satisfaction" numFmtId="0">
      <sharedItems containsSemiMixedTypes="0" containsString="0" containsNumber="1" containsInteger="1" minValue="1" maxValue="10"/>
    </cacheField>
    <cacheField name="Engagement_with_Ads" numFmtId="0">
      <sharedItems/>
    </cacheField>
    <cacheField name="Device_Used_for_Shopping" numFmtId="0">
      <sharedItems count="3">
        <s v="Tablet"/>
        <s v="Smartphone"/>
        <s v="Desktop"/>
      </sharedItems>
    </cacheField>
    <cacheField name="Payment_Method" numFmtId="0">
      <sharedItems count="5">
        <s v="Credit Card"/>
        <s v="PayPal"/>
        <s v="Debit Card"/>
        <s v="Other"/>
        <s v="Cash"/>
      </sharedItems>
    </cacheField>
    <cacheField name="Time_of_Purchase" numFmtId="14">
      <sharedItems containsSemiMixedTypes="0" containsNonDate="0" containsDate="1" containsString="0" minDate="2024-01-01T00:00:00" maxDate="2024-12-31T00:00:00"/>
    </cacheField>
    <cacheField name="Recency" numFmtId="1">
      <sharedItems containsSemiMixedTypes="0" containsString="0" containsNumber="1" containsInteger="1" minValue="477" maxValue="841"/>
    </cacheField>
    <cacheField name="Discount_Used" numFmtId="0">
      <sharedItems/>
    </cacheField>
    <cacheField name="Customer_Loyalty_Program_Member" numFmtId="0">
      <sharedItems/>
    </cacheField>
    <cacheField name="Purchase_Intent" numFmtId="0">
      <sharedItems count="4">
        <s v="Need-based"/>
        <s v="Wants-based"/>
        <s v="Impulsive"/>
        <s v="Planned"/>
      </sharedItems>
    </cacheField>
    <cacheField name="Shipping_Preference" numFmtId="0">
      <sharedItems/>
    </cacheField>
    <cacheField name="Time_to_Decision" numFmtId="0">
      <sharedItems containsSemiMixedTypes="0" containsString="0" containsNumber="1" containsInteger="1" minValue="1" maxValue="14"/>
    </cacheField>
  </cacheFields>
  <extLst>
    <ext xmlns:x14="http://schemas.microsoft.com/office/spreadsheetml/2009/9/main" uri="{725AE2AE-9491-48be-B2B4-4EB974FC3084}">
      <x14:pivotCacheDefinition pivotCacheId="15192393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780"/>
    <n v="4"/>
    <n v="333.8"/>
    <x v="0"/>
    <x v="0"/>
    <x v="0"/>
    <s v="124"/>
    <x v="0"/>
  </r>
  <r>
    <x v="1"/>
    <n v="734"/>
    <n v="11"/>
    <n v="222.22"/>
    <x v="1"/>
    <x v="1"/>
    <x v="1"/>
    <s v="252"/>
    <x v="1"/>
  </r>
  <r>
    <x v="2"/>
    <n v="766"/>
    <n v="2"/>
    <n v="426.22"/>
    <x v="0"/>
    <x v="2"/>
    <x v="2"/>
    <s v="115"/>
    <x v="0"/>
  </r>
  <r>
    <x v="3"/>
    <n v="563"/>
    <n v="6"/>
    <n v="101.31"/>
    <x v="2"/>
    <x v="3"/>
    <x v="3"/>
    <s v="431"/>
    <x v="2"/>
  </r>
  <r>
    <x v="4"/>
    <n v="811"/>
    <n v="6"/>
    <n v="211.7"/>
    <x v="0"/>
    <x v="3"/>
    <x v="1"/>
    <s v="132"/>
    <x v="1"/>
  </r>
  <r>
    <x v="5"/>
    <n v="762"/>
    <n v="8"/>
    <n v="487.95"/>
    <x v="0"/>
    <x v="4"/>
    <x v="2"/>
    <s v="145"/>
    <x v="3"/>
  </r>
  <r>
    <x v="6"/>
    <n v="766"/>
    <n v="12"/>
    <n v="486.4"/>
    <x v="0"/>
    <x v="1"/>
    <x v="2"/>
    <s v="155"/>
    <x v="3"/>
  </r>
  <r>
    <x v="7"/>
    <n v="764"/>
    <n v="6"/>
    <n v="218.06"/>
    <x v="0"/>
    <x v="3"/>
    <x v="1"/>
    <s v="132"/>
    <x v="1"/>
  </r>
  <r>
    <x v="8"/>
    <n v="679"/>
    <n v="8"/>
    <n v="201.96"/>
    <x v="3"/>
    <x v="4"/>
    <x v="1"/>
    <s v="342"/>
    <x v="4"/>
  </r>
  <r>
    <x v="9"/>
    <n v="560"/>
    <n v="7"/>
    <n v="418.83"/>
    <x v="2"/>
    <x v="3"/>
    <x v="2"/>
    <s v="435"/>
    <x v="2"/>
  </r>
  <r>
    <x v="10"/>
    <n v="657"/>
    <n v="12"/>
    <n v="389.7"/>
    <x v="3"/>
    <x v="1"/>
    <x v="0"/>
    <s v="354"/>
    <x v="3"/>
  </r>
  <r>
    <x v="11"/>
    <n v="479"/>
    <n v="5"/>
    <n v="238.93"/>
    <x v="4"/>
    <x v="0"/>
    <x v="4"/>
    <s v="523"/>
    <x v="4"/>
  </r>
  <r>
    <x v="12"/>
    <n v="623"/>
    <n v="7"/>
    <n v="61.22"/>
    <x v="2"/>
    <x v="3"/>
    <x v="3"/>
    <s v="431"/>
    <x v="2"/>
  </r>
  <r>
    <x v="13"/>
    <n v="643"/>
    <n v="4"/>
    <n v="79.81"/>
    <x v="3"/>
    <x v="0"/>
    <x v="3"/>
    <s v="321"/>
    <x v="5"/>
  </r>
  <r>
    <x v="14"/>
    <n v="492"/>
    <n v="2"/>
    <n v="58.51"/>
    <x v="4"/>
    <x v="2"/>
    <x v="3"/>
    <s v="511"/>
    <x v="5"/>
  </r>
  <r>
    <x v="15"/>
    <n v="617"/>
    <n v="3"/>
    <n v="109.29"/>
    <x v="2"/>
    <x v="2"/>
    <x v="3"/>
    <s v="411"/>
    <x v="5"/>
  </r>
  <r>
    <x v="16"/>
    <n v="549"/>
    <n v="6"/>
    <n v="356.45"/>
    <x v="4"/>
    <x v="3"/>
    <x v="0"/>
    <s v="534"/>
    <x v="2"/>
  </r>
  <r>
    <x v="17"/>
    <n v="497"/>
    <n v="10"/>
    <n v="236.99"/>
    <x v="4"/>
    <x v="1"/>
    <x v="4"/>
    <s v="553"/>
    <x v="2"/>
  </r>
  <r>
    <x v="18"/>
    <n v="636"/>
    <n v="10"/>
    <n v="454.39"/>
    <x v="3"/>
    <x v="1"/>
    <x v="2"/>
    <s v="355"/>
    <x v="3"/>
  </r>
  <r>
    <x v="19"/>
    <n v="651"/>
    <n v="10"/>
    <n v="490.75"/>
    <x v="3"/>
    <x v="1"/>
    <x v="2"/>
    <s v="355"/>
    <x v="3"/>
  </r>
  <r>
    <x v="20"/>
    <n v="636"/>
    <n v="7"/>
    <n v="463.07"/>
    <x v="3"/>
    <x v="3"/>
    <x v="2"/>
    <s v="335"/>
    <x v="0"/>
  </r>
  <r>
    <x v="21"/>
    <n v="628"/>
    <n v="5"/>
    <n v="56.74"/>
    <x v="3"/>
    <x v="0"/>
    <x v="3"/>
    <s v="321"/>
    <x v="5"/>
  </r>
  <r>
    <x v="22"/>
    <n v="785"/>
    <n v="7"/>
    <n v="371.32"/>
    <x v="0"/>
    <x v="3"/>
    <x v="0"/>
    <s v="134"/>
    <x v="0"/>
  </r>
  <r>
    <x v="23"/>
    <n v="649"/>
    <n v="7"/>
    <n v="461"/>
    <x v="3"/>
    <x v="3"/>
    <x v="2"/>
    <s v="335"/>
    <x v="0"/>
  </r>
  <r>
    <x v="24"/>
    <n v="481"/>
    <n v="6"/>
    <n v="253.37"/>
    <x v="4"/>
    <x v="3"/>
    <x v="4"/>
    <s v="533"/>
    <x v="2"/>
  </r>
  <r>
    <x v="25"/>
    <n v="689"/>
    <n v="3"/>
    <n v="136.53"/>
    <x v="3"/>
    <x v="2"/>
    <x v="3"/>
    <s v="311"/>
    <x v="5"/>
  </r>
  <r>
    <x v="26"/>
    <n v="593"/>
    <n v="10"/>
    <n v="489.05"/>
    <x v="2"/>
    <x v="1"/>
    <x v="2"/>
    <s v="455"/>
    <x v="6"/>
  </r>
  <r>
    <x v="27"/>
    <n v="635"/>
    <n v="10"/>
    <n v="81.91"/>
    <x v="3"/>
    <x v="1"/>
    <x v="3"/>
    <s v="351"/>
    <x v="4"/>
  </r>
  <r>
    <x v="28"/>
    <n v="520"/>
    <n v="2"/>
    <n v="135.80000000000001"/>
    <x v="4"/>
    <x v="2"/>
    <x v="3"/>
    <s v="511"/>
    <x v="5"/>
  </r>
  <r>
    <x v="29"/>
    <n v="653"/>
    <n v="12"/>
    <n v="382.24"/>
    <x v="3"/>
    <x v="1"/>
    <x v="0"/>
    <s v="354"/>
    <x v="3"/>
  </r>
  <r>
    <x v="30"/>
    <n v="800"/>
    <n v="5"/>
    <n v="354.7"/>
    <x v="0"/>
    <x v="0"/>
    <x v="0"/>
    <s v="124"/>
    <x v="0"/>
  </r>
  <r>
    <x v="31"/>
    <n v="660"/>
    <n v="6"/>
    <n v="433.82"/>
    <x v="3"/>
    <x v="3"/>
    <x v="2"/>
    <s v="335"/>
    <x v="0"/>
  </r>
  <r>
    <x v="32"/>
    <n v="815"/>
    <n v="5"/>
    <n v="282.13"/>
    <x v="0"/>
    <x v="0"/>
    <x v="4"/>
    <s v="123"/>
    <x v="7"/>
  </r>
  <r>
    <x v="33"/>
    <n v="674"/>
    <n v="10"/>
    <n v="454.38"/>
    <x v="3"/>
    <x v="1"/>
    <x v="2"/>
    <s v="355"/>
    <x v="3"/>
  </r>
  <r>
    <x v="34"/>
    <n v="681"/>
    <n v="7"/>
    <n v="138.88"/>
    <x v="3"/>
    <x v="3"/>
    <x v="1"/>
    <s v="332"/>
    <x v="4"/>
  </r>
  <r>
    <x v="35"/>
    <n v="699"/>
    <n v="6"/>
    <n v="52.34"/>
    <x v="1"/>
    <x v="3"/>
    <x v="3"/>
    <s v="231"/>
    <x v="1"/>
  </r>
  <r>
    <x v="36"/>
    <n v="596"/>
    <n v="7"/>
    <n v="338.2"/>
    <x v="2"/>
    <x v="3"/>
    <x v="0"/>
    <s v="434"/>
    <x v="2"/>
  </r>
  <r>
    <x v="37"/>
    <n v="777"/>
    <n v="3"/>
    <n v="263.14999999999998"/>
    <x v="0"/>
    <x v="2"/>
    <x v="4"/>
    <s v="113"/>
    <x v="7"/>
  </r>
  <r>
    <x v="38"/>
    <n v="584"/>
    <n v="2"/>
    <n v="371.58"/>
    <x v="2"/>
    <x v="2"/>
    <x v="0"/>
    <s v="414"/>
    <x v="0"/>
  </r>
  <r>
    <x v="39"/>
    <n v="500"/>
    <n v="2"/>
    <n v="353.4"/>
    <x v="4"/>
    <x v="2"/>
    <x v="0"/>
    <s v="514"/>
    <x v="0"/>
  </r>
  <r>
    <x v="40"/>
    <n v="546"/>
    <n v="5"/>
    <n v="329.41"/>
    <x v="4"/>
    <x v="0"/>
    <x v="0"/>
    <s v="524"/>
    <x v="0"/>
  </r>
  <r>
    <x v="41"/>
    <n v="519"/>
    <n v="5"/>
    <n v="54.46"/>
    <x v="4"/>
    <x v="0"/>
    <x v="3"/>
    <s v="521"/>
    <x v="5"/>
  </r>
  <r>
    <x v="42"/>
    <n v="635"/>
    <n v="8"/>
    <n v="257.12"/>
    <x v="3"/>
    <x v="4"/>
    <x v="4"/>
    <s v="343"/>
    <x v="4"/>
  </r>
  <r>
    <x v="43"/>
    <n v="778"/>
    <n v="11"/>
    <n v="293.04000000000002"/>
    <x v="0"/>
    <x v="1"/>
    <x v="4"/>
    <s v="153"/>
    <x v="1"/>
  </r>
  <r>
    <x v="44"/>
    <n v="523"/>
    <n v="12"/>
    <n v="110.4"/>
    <x v="4"/>
    <x v="1"/>
    <x v="3"/>
    <s v="551"/>
    <x v="2"/>
  </r>
  <r>
    <x v="45"/>
    <n v="482"/>
    <n v="4"/>
    <n v="76.27"/>
    <x v="4"/>
    <x v="0"/>
    <x v="3"/>
    <s v="521"/>
    <x v="5"/>
  </r>
  <r>
    <x v="46"/>
    <n v="624"/>
    <n v="6"/>
    <n v="392.08"/>
    <x v="2"/>
    <x v="3"/>
    <x v="0"/>
    <s v="434"/>
    <x v="2"/>
  </r>
  <r>
    <x v="47"/>
    <n v="603"/>
    <n v="6"/>
    <n v="51.22"/>
    <x v="2"/>
    <x v="3"/>
    <x v="3"/>
    <s v="431"/>
    <x v="2"/>
  </r>
  <r>
    <x v="48"/>
    <n v="611"/>
    <n v="2"/>
    <n v="227.57"/>
    <x v="2"/>
    <x v="2"/>
    <x v="1"/>
    <s v="412"/>
    <x v="5"/>
  </r>
  <r>
    <x v="49"/>
    <n v="749"/>
    <n v="7"/>
    <n v="378.87"/>
    <x v="1"/>
    <x v="3"/>
    <x v="0"/>
    <s v="234"/>
    <x v="0"/>
  </r>
  <r>
    <x v="50"/>
    <n v="604"/>
    <n v="8"/>
    <n v="423.92"/>
    <x v="2"/>
    <x v="4"/>
    <x v="2"/>
    <s v="445"/>
    <x v="6"/>
  </r>
  <r>
    <x v="51"/>
    <n v="622"/>
    <n v="9"/>
    <n v="111.24"/>
    <x v="2"/>
    <x v="4"/>
    <x v="3"/>
    <s v="441"/>
    <x v="2"/>
  </r>
  <r>
    <x v="52"/>
    <n v="809"/>
    <n v="7"/>
    <n v="299.31"/>
    <x v="0"/>
    <x v="3"/>
    <x v="4"/>
    <s v="133"/>
    <x v="1"/>
  </r>
  <r>
    <x v="53"/>
    <n v="672"/>
    <n v="7"/>
    <n v="169.28"/>
    <x v="3"/>
    <x v="3"/>
    <x v="1"/>
    <s v="332"/>
    <x v="4"/>
  </r>
  <r>
    <x v="54"/>
    <n v="677"/>
    <n v="9"/>
    <n v="449.13"/>
    <x v="3"/>
    <x v="4"/>
    <x v="2"/>
    <s v="345"/>
    <x v="3"/>
  </r>
  <r>
    <x v="55"/>
    <n v="490"/>
    <n v="6"/>
    <n v="427.48"/>
    <x v="4"/>
    <x v="3"/>
    <x v="2"/>
    <s v="535"/>
    <x v="2"/>
  </r>
  <r>
    <x v="56"/>
    <n v="536"/>
    <n v="3"/>
    <n v="171.61"/>
    <x v="4"/>
    <x v="2"/>
    <x v="1"/>
    <s v="512"/>
    <x v="5"/>
  </r>
  <r>
    <x v="57"/>
    <n v="499"/>
    <n v="3"/>
    <n v="240.28"/>
    <x v="4"/>
    <x v="2"/>
    <x v="4"/>
    <s v="513"/>
    <x v="4"/>
  </r>
  <r>
    <x v="58"/>
    <n v="786"/>
    <n v="6"/>
    <n v="310.17"/>
    <x v="0"/>
    <x v="3"/>
    <x v="4"/>
    <s v="133"/>
    <x v="1"/>
  </r>
  <r>
    <x v="59"/>
    <n v="678"/>
    <n v="10"/>
    <n v="166"/>
    <x v="3"/>
    <x v="1"/>
    <x v="1"/>
    <s v="352"/>
    <x v="4"/>
  </r>
  <r>
    <x v="60"/>
    <n v="512"/>
    <n v="2"/>
    <n v="362.01"/>
    <x v="4"/>
    <x v="2"/>
    <x v="0"/>
    <s v="514"/>
    <x v="0"/>
  </r>
  <r>
    <x v="61"/>
    <n v="650"/>
    <n v="3"/>
    <n v="348.5"/>
    <x v="3"/>
    <x v="2"/>
    <x v="0"/>
    <s v="314"/>
    <x v="0"/>
  </r>
  <r>
    <x v="62"/>
    <n v="610"/>
    <n v="9"/>
    <n v="395.97"/>
    <x v="2"/>
    <x v="4"/>
    <x v="0"/>
    <s v="444"/>
    <x v="6"/>
  </r>
  <r>
    <x v="63"/>
    <n v="649"/>
    <n v="9"/>
    <n v="474.99"/>
    <x v="3"/>
    <x v="4"/>
    <x v="2"/>
    <s v="345"/>
    <x v="3"/>
  </r>
  <r>
    <x v="64"/>
    <n v="647"/>
    <n v="4"/>
    <n v="286.43"/>
    <x v="3"/>
    <x v="0"/>
    <x v="4"/>
    <s v="323"/>
    <x v="4"/>
  </r>
  <r>
    <x v="65"/>
    <n v="562"/>
    <n v="8"/>
    <n v="333.32"/>
    <x v="2"/>
    <x v="4"/>
    <x v="0"/>
    <s v="444"/>
    <x v="6"/>
  </r>
  <r>
    <x v="66"/>
    <n v="577"/>
    <n v="9"/>
    <n v="223.47"/>
    <x v="2"/>
    <x v="4"/>
    <x v="1"/>
    <s v="442"/>
    <x v="2"/>
  </r>
  <r>
    <x v="67"/>
    <n v="643"/>
    <n v="2"/>
    <n v="414.83"/>
    <x v="3"/>
    <x v="2"/>
    <x v="2"/>
    <s v="315"/>
    <x v="0"/>
  </r>
  <r>
    <x v="68"/>
    <n v="748"/>
    <n v="5"/>
    <n v="391.38"/>
    <x v="1"/>
    <x v="0"/>
    <x v="0"/>
    <s v="224"/>
    <x v="0"/>
  </r>
  <r>
    <x v="69"/>
    <n v="668"/>
    <n v="11"/>
    <n v="368.4"/>
    <x v="3"/>
    <x v="1"/>
    <x v="0"/>
    <s v="354"/>
    <x v="3"/>
  </r>
  <r>
    <x v="70"/>
    <n v="770"/>
    <n v="11"/>
    <n v="328.36"/>
    <x v="0"/>
    <x v="1"/>
    <x v="0"/>
    <s v="154"/>
    <x v="3"/>
  </r>
  <r>
    <x v="71"/>
    <n v="784"/>
    <n v="9"/>
    <n v="424.39"/>
    <x v="0"/>
    <x v="4"/>
    <x v="2"/>
    <s v="145"/>
    <x v="3"/>
  </r>
  <r>
    <x v="72"/>
    <n v="675"/>
    <n v="10"/>
    <n v="197.12"/>
    <x v="3"/>
    <x v="1"/>
    <x v="1"/>
    <s v="352"/>
    <x v="4"/>
  </r>
  <r>
    <x v="73"/>
    <n v="757"/>
    <n v="9"/>
    <n v="454.57"/>
    <x v="1"/>
    <x v="4"/>
    <x v="2"/>
    <s v="245"/>
    <x v="3"/>
  </r>
  <r>
    <x v="74"/>
    <n v="723"/>
    <n v="4"/>
    <n v="298.38"/>
    <x v="1"/>
    <x v="0"/>
    <x v="4"/>
    <s v="223"/>
    <x v="7"/>
  </r>
  <r>
    <x v="75"/>
    <n v="529"/>
    <n v="6"/>
    <n v="111.7"/>
    <x v="4"/>
    <x v="3"/>
    <x v="3"/>
    <s v="531"/>
    <x v="2"/>
  </r>
  <r>
    <x v="76"/>
    <n v="502"/>
    <n v="10"/>
    <n v="373.69"/>
    <x v="4"/>
    <x v="1"/>
    <x v="0"/>
    <s v="554"/>
    <x v="6"/>
  </r>
  <r>
    <x v="77"/>
    <n v="732"/>
    <n v="5"/>
    <n v="354.87"/>
    <x v="1"/>
    <x v="0"/>
    <x v="0"/>
    <s v="224"/>
    <x v="0"/>
  </r>
  <r>
    <x v="78"/>
    <n v="729"/>
    <n v="2"/>
    <n v="214.48"/>
    <x v="1"/>
    <x v="2"/>
    <x v="1"/>
    <s v="212"/>
    <x v="7"/>
  </r>
  <r>
    <x v="79"/>
    <n v="572"/>
    <n v="6"/>
    <n v="399.58"/>
    <x v="2"/>
    <x v="3"/>
    <x v="0"/>
    <s v="434"/>
    <x v="2"/>
  </r>
  <r>
    <x v="80"/>
    <n v="497"/>
    <n v="7"/>
    <n v="380.99"/>
    <x v="4"/>
    <x v="3"/>
    <x v="0"/>
    <s v="534"/>
    <x v="2"/>
  </r>
  <r>
    <x v="81"/>
    <n v="583"/>
    <n v="10"/>
    <n v="79"/>
    <x v="2"/>
    <x v="1"/>
    <x v="3"/>
    <s v="451"/>
    <x v="2"/>
  </r>
  <r>
    <x v="82"/>
    <n v="752"/>
    <n v="2"/>
    <n v="113.88"/>
    <x v="1"/>
    <x v="2"/>
    <x v="3"/>
    <s v="211"/>
    <x v="7"/>
  </r>
  <r>
    <x v="83"/>
    <n v="683"/>
    <n v="4"/>
    <n v="121.57"/>
    <x v="3"/>
    <x v="0"/>
    <x v="3"/>
    <s v="321"/>
    <x v="5"/>
  </r>
  <r>
    <x v="84"/>
    <n v="742"/>
    <n v="11"/>
    <n v="215.54"/>
    <x v="1"/>
    <x v="1"/>
    <x v="1"/>
    <s v="252"/>
    <x v="1"/>
  </r>
  <r>
    <x v="85"/>
    <n v="617"/>
    <n v="10"/>
    <n v="87.03"/>
    <x v="2"/>
    <x v="1"/>
    <x v="3"/>
    <s v="451"/>
    <x v="2"/>
  </r>
  <r>
    <x v="86"/>
    <n v="557"/>
    <n v="4"/>
    <n v="111.75"/>
    <x v="4"/>
    <x v="0"/>
    <x v="3"/>
    <s v="521"/>
    <x v="5"/>
  </r>
  <r>
    <x v="87"/>
    <n v="674"/>
    <n v="2"/>
    <n v="136.19999999999999"/>
    <x v="3"/>
    <x v="2"/>
    <x v="3"/>
    <s v="311"/>
    <x v="5"/>
  </r>
  <r>
    <x v="88"/>
    <n v="617"/>
    <n v="4"/>
    <n v="439.31"/>
    <x v="2"/>
    <x v="0"/>
    <x v="2"/>
    <s v="425"/>
    <x v="0"/>
  </r>
  <r>
    <x v="89"/>
    <n v="753"/>
    <n v="9"/>
    <n v="194.93"/>
    <x v="1"/>
    <x v="4"/>
    <x v="1"/>
    <s v="242"/>
    <x v="1"/>
  </r>
  <r>
    <x v="90"/>
    <n v="707"/>
    <n v="8"/>
    <n v="377.67"/>
    <x v="1"/>
    <x v="4"/>
    <x v="0"/>
    <s v="244"/>
    <x v="3"/>
  </r>
  <r>
    <x v="91"/>
    <n v="513"/>
    <n v="10"/>
    <n v="108.61"/>
    <x v="4"/>
    <x v="1"/>
    <x v="3"/>
    <s v="551"/>
    <x v="2"/>
  </r>
  <r>
    <x v="92"/>
    <n v="579"/>
    <n v="7"/>
    <n v="366.77"/>
    <x v="2"/>
    <x v="3"/>
    <x v="0"/>
    <s v="434"/>
    <x v="2"/>
  </r>
  <r>
    <x v="93"/>
    <n v="643"/>
    <n v="5"/>
    <n v="178.04"/>
    <x v="3"/>
    <x v="0"/>
    <x v="1"/>
    <s v="322"/>
    <x v="5"/>
  </r>
  <r>
    <x v="94"/>
    <n v="625"/>
    <n v="8"/>
    <n v="461.09"/>
    <x v="2"/>
    <x v="4"/>
    <x v="2"/>
    <s v="445"/>
    <x v="6"/>
  </r>
  <r>
    <x v="95"/>
    <n v="661"/>
    <n v="5"/>
    <n v="211.16"/>
    <x v="3"/>
    <x v="0"/>
    <x v="1"/>
    <s v="322"/>
    <x v="5"/>
  </r>
  <r>
    <x v="96"/>
    <n v="763"/>
    <n v="8"/>
    <n v="421.95"/>
    <x v="0"/>
    <x v="4"/>
    <x v="2"/>
    <s v="145"/>
    <x v="3"/>
  </r>
  <r>
    <x v="97"/>
    <n v="552"/>
    <n v="5"/>
    <n v="378.59"/>
    <x v="4"/>
    <x v="0"/>
    <x v="0"/>
    <s v="524"/>
    <x v="0"/>
  </r>
  <r>
    <x v="98"/>
    <n v="513"/>
    <n v="2"/>
    <n v="268.93"/>
    <x v="4"/>
    <x v="2"/>
    <x v="4"/>
    <s v="513"/>
    <x v="4"/>
  </r>
  <r>
    <x v="99"/>
    <n v="507"/>
    <n v="11"/>
    <n v="444.87"/>
    <x v="4"/>
    <x v="1"/>
    <x v="2"/>
    <s v="555"/>
    <x v="6"/>
  </r>
  <r>
    <x v="100"/>
    <n v="650"/>
    <n v="7"/>
    <n v="160.82"/>
    <x v="3"/>
    <x v="3"/>
    <x v="1"/>
    <s v="332"/>
    <x v="4"/>
  </r>
  <r>
    <x v="101"/>
    <n v="625"/>
    <n v="6"/>
    <n v="494.18"/>
    <x v="2"/>
    <x v="3"/>
    <x v="2"/>
    <s v="435"/>
    <x v="2"/>
  </r>
  <r>
    <x v="102"/>
    <n v="502"/>
    <n v="5"/>
    <n v="177.05"/>
    <x v="4"/>
    <x v="0"/>
    <x v="1"/>
    <s v="522"/>
    <x v="5"/>
  </r>
  <r>
    <x v="103"/>
    <n v="676"/>
    <n v="7"/>
    <n v="450.66"/>
    <x v="3"/>
    <x v="3"/>
    <x v="2"/>
    <s v="335"/>
    <x v="0"/>
  </r>
  <r>
    <x v="104"/>
    <n v="646"/>
    <n v="6"/>
    <n v="164.27"/>
    <x v="3"/>
    <x v="3"/>
    <x v="1"/>
    <s v="332"/>
    <x v="4"/>
  </r>
  <r>
    <x v="105"/>
    <n v="593"/>
    <n v="12"/>
    <n v="346.36"/>
    <x v="2"/>
    <x v="1"/>
    <x v="0"/>
    <s v="454"/>
    <x v="6"/>
  </r>
  <r>
    <x v="106"/>
    <n v="602"/>
    <n v="9"/>
    <n v="377.77"/>
    <x v="2"/>
    <x v="4"/>
    <x v="0"/>
    <s v="444"/>
    <x v="6"/>
  </r>
  <r>
    <x v="107"/>
    <n v="785"/>
    <n v="2"/>
    <n v="163.41"/>
    <x v="0"/>
    <x v="2"/>
    <x v="1"/>
    <s v="112"/>
    <x v="7"/>
  </r>
  <r>
    <x v="108"/>
    <n v="735"/>
    <n v="10"/>
    <n v="467.58"/>
    <x v="1"/>
    <x v="1"/>
    <x v="2"/>
    <s v="255"/>
    <x v="3"/>
  </r>
  <r>
    <x v="109"/>
    <n v="658"/>
    <n v="10"/>
    <n v="247.51"/>
    <x v="3"/>
    <x v="1"/>
    <x v="4"/>
    <s v="353"/>
    <x v="4"/>
  </r>
  <r>
    <x v="110"/>
    <n v="598"/>
    <n v="3"/>
    <n v="365.1"/>
    <x v="2"/>
    <x v="2"/>
    <x v="0"/>
    <s v="414"/>
    <x v="0"/>
  </r>
  <r>
    <x v="111"/>
    <n v="523"/>
    <n v="5"/>
    <n v="485.42"/>
    <x v="4"/>
    <x v="0"/>
    <x v="2"/>
    <s v="525"/>
    <x v="0"/>
  </r>
  <r>
    <x v="112"/>
    <n v="479"/>
    <n v="4"/>
    <n v="250.54"/>
    <x v="4"/>
    <x v="0"/>
    <x v="4"/>
    <s v="523"/>
    <x v="4"/>
  </r>
  <r>
    <x v="113"/>
    <n v="621"/>
    <n v="5"/>
    <n v="163.13999999999999"/>
    <x v="2"/>
    <x v="0"/>
    <x v="1"/>
    <s v="422"/>
    <x v="5"/>
  </r>
  <r>
    <x v="114"/>
    <n v="562"/>
    <n v="8"/>
    <n v="162.31"/>
    <x v="2"/>
    <x v="4"/>
    <x v="1"/>
    <s v="442"/>
    <x v="2"/>
  </r>
  <r>
    <x v="115"/>
    <n v="796"/>
    <n v="7"/>
    <n v="328.21"/>
    <x v="0"/>
    <x v="3"/>
    <x v="0"/>
    <s v="134"/>
    <x v="0"/>
  </r>
  <r>
    <x v="116"/>
    <n v="745"/>
    <n v="4"/>
    <n v="268.58999999999997"/>
    <x v="1"/>
    <x v="0"/>
    <x v="4"/>
    <s v="223"/>
    <x v="7"/>
  </r>
  <r>
    <x v="117"/>
    <n v="809"/>
    <n v="7"/>
    <n v="257.37"/>
    <x v="0"/>
    <x v="3"/>
    <x v="4"/>
    <s v="133"/>
    <x v="1"/>
  </r>
  <r>
    <x v="118"/>
    <n v="527"/>
    <n v="4"/>
    <n v="205.49"/>
    <x v="4"/>
    <x v="0"/>
    <x v="1"/>
    <s v="522"/>
    <x v="5"/>
  </r>
  <r>
    <x v="119"/>
    <n v="672"/>
    <n v="7"/>
    <n v="407.91"/>
    <x v="3"/>
    <x v="3"/>
    <x v="0"/>
    <s v="334"/>
    <x v="0"/>
  </r>
  <r>
    <x v="120"/>
    <n v="688"/>
    <n v="6"/>
    <n v="254.73"/>
    <x v="3"/>
    <x v="3"/>
    <x v="4"/>
    <s v="333"/>
    <x v="4"/>
  </r>
  <r>
    <x v="121"/>
    <n v="573"/>
    <n v="12"/>
    <n v="397.78"/>
    <x v="2"/>
    <x v="1"/>
    <x v="0"/>
    <s v="454"/>
    <x v="6"/>
  </r>
  <r>
    <x v="122"/>
    <n v="592"/>
    <n v="3"/>
    <n v="305.29000000000002"/>
    <x v="2"/>
    <x v="2"/>
    <x v="4"/>
    <s v="413"/>
    <x v="4"/>
  </r>
  <r>
    <x v="123"/>
    <n v="677"/>
    <n v="6"/>
    <n v="257.86"/>
    <x v="3"/>
    <x v="3"/>
    <x v="4"/>
    <s v="333"/>
    <x v="4"/>
  </r>
  <r>
    <x v="124"/>
    <n v="561"/>
    <n v="12"/>
    <n v="393.45"/>
    <x v="2"/>
    <x v="1"/>
    <x v="0"/>
    <s v="454"/>
    <x v="6"/>
  </r>
  <r>
    <x v="125"/>
    <n v="630"/>
    <n v="6"/>
    <n v="58.49"/>
    <x v="3"/>
    <x v="3"/>
    <x v="3"/>
    <s v="331"/>
    <x v="4"/>
  </r>
  <r>
    <x v="126"/>
    <n v="549"/>
    <n v="11"/>
    <n v="226.48"/>
    <x v="4"/>
    <x v="1"/>
    <x v="1"/>
    <s v="552"/>
    <x v="2"/>
  </r>
  <r>
    <x v="127"/>
    <n v="621"/>
    <n v="6"/>
    <n v="469.22"/>
    <x v="2"/>
    <x v="3"/>
    <x v="2"/>
    <s v="435"/>
    <x v="2"/>
  </r>
  <r>
    <x v="128"/>
    <n v="616"/>
    <n v="6"/>
    <n v="335.32"/>
    <x v="2"/>
    <x v="3"/>
    <x v="0"/>
    <s v="434"/>
    <x v="2"/>
  </r>
  <r>
    <x v="129"/>
    <n v="509"/>
    <n v="5"/>
    <n v="184.74"/>
    <x v="4"/>
    <x v="0"/>
    <x v="1"/>
    <s v="522"/>
    <x v="5"/>
  </r>
  <r>
    <x v="130"/>
    <n v="816"/>
    <n v="5"/>
    <n v="442.18"/>
    <x v="0"/>
    <x v="0"/>
    <x v="2"/>
    <s v="125"/>
    <x v="0"/>
  </r>
  <r>
    <x v="131"/>
    <n v="710"/>
    <n v="8"/>
    <n v="427.1"/>
    <x v="1"/>
    <x v="4"/>
    <x v="2"/>
    <s v="245"/>
    <x v="3"/>
  </r>
  <r>
    <x v="132"/>
    <n v="728"/>
    <n v="4"/>
    <n v="326.82"/>
    <x v="1"/>
    <x v="0"/>
    <x v="0"/>
    <s v="224"/>
    <x v="0"/>
  </r>
  <r>
    <x v="133"/>
    <n v="762"/>
    <n v="12"/>
    <n v="98.97"/>
    <x v="0"/>
    <x v="1"/>
    <x v="3"/>
    <s v="151"/>
    <x v="1"/>
  </r>
  <r>
    <x v="134"/>
    <n v="817"/>
    <n v="6"/>
    <n v="77.650000000000006"/>
    <x v="0"/>
    <x v="3"/>
    <x v="3"/>
    <s v="131"/>
    <x v="1"/>
  </r>
  <r>
    <x v="135"/>
    <n v="563"/>
    <n v="2"/>
    <n v="85.61"/>
    <x v="2"/>
    <x v="2"/>
    <x v="3"/>
    <s v="411"/>
    <x v="5"/>
  </r>
  <r>
    <x v="136"/>
    <n v="697"/>
    <n v="4"/>
    <n v="164.79"/>
    <x v="1"/>
    <x v="0"/>
    <x v="1"/>
    <s v="222"/>
    <x v="7"/>
  </r>
  <r>
    <x v="137"/>
    <n v="523"/>
    <n v="10"/>
    <n v="235.46"/>
    <x v="4"/>
    <x v="1"/>
    <x v="4"/>
    <s v="553"/>
    <x v="2"/>
  </r>
  <r>
    <x v="138"/>
    <n v="778"/>
    <n v="4"/>
    <n v="245.14"/>
    <x v="0"/>
    <x v="0"/>
    <x v="4"/>
    <s v="123"/>
    <x v="7"/>
  </r>
  <r>
    <x v="139"/>
    <n v="778"/>
    <n v="5"/>
    <n v="439.91"/>
    <x v="0"/>
    <x v="0"/>
    <x v="2"/>
    <s v="125"/>
    <x v="0"/>
  </r>
  <r>
    <x v="140"/>
    <n v="757"/>
    <n v="5"/>
    <n v="309.22000000000003"/>
    <x v="1"/>
    <x v="0"/>
    <x v="4"/>
    <s v="223"/>
    <x v="7"/>
  </r>
  <r>
    <x v="141"/>
    <n v="819"/>
    <n v="10"/>
    <n v="146.59"/>
    <x v="0"/>
    <x v="1"/>
    <x v="1"/>
    <s v="152"/>
    <x v="1"/>
  </r>
  <r>
    <x v="142"/>
    <n v="534"/>
    <n v="4"/>
    <n v="298.73"/>
    <x v="4"/>
    <x v="0"/>
    <x v="4"/>
    <s v="523"/>
    <x v="4"/>
  </r>
  <r>
    <x v="143"/>
    <n v="732"/>
    <n v="2"/>
    <n v="395.01"/>
    <x v="1"/>
    <x v="2"/>
    <x v="0"/>
    <s v="214"/>
    <x v="0"/>
  </r>
  <r>
    <x v="144"/>
    <n v="601"/>
    <n v="10"/>
    <n v="371.19"/>
    <x v="2"/>
    <x v="1"/>
    <x v="0"/>
    <s v="454"/>
    <x v="6"/>
  </r>
  <r>
    <x v="145"/>
    <n v="807"/>
    <n v="10"/>
    <n v="193.76"/>
    <x v="0"/>
    <x v="1"/>
    <x v="1"/>
    <s v="152"/>
    <x v="1"/>
  </r>
  <r>
    <x v="146"/>
    <n v="582"/>
    <n v="6"/>
    <n v="424.27"/>
    <x v="2"/>
    <x v="3"/>
    <x v="2"/>
    <s v="435"/>
    <x v="2"/>
  </r>
  <r>
    <x v="147"/>
    <n v="681"/>
    <n v="2"/>
    <n v="496.11"/>
    <x v="3"/>
    <x v="2"/>
    <x v="2"/>
    <s v="315"/>
    <x v="0"/>
  </r>
  <r>
    <x v="148"/>
    <n v="689"/>
    <n v="3"/>
    <n v="341.91"/>
    <x v="3"/>
    <x v="2"/>
    <x v="0"/>
    <s v="314"/>
    <x v="0"/>
  </r>
  <r>
    <x v="149"/>
    <n v="787"/>
    <n v="11"/>
    <n v="127.66"/>
    <x v="0"/>
    <x v="1"/>
    <x v="3"/>
    <s v="151"/>
    <x v="1"/>
  </r>
  <r>
    <x v="150"/>
    <n v="537"/>
    <n v="2"/>
    <n v="227.47"/>
    <x v="4"/>
    <x v="2"/>
    <x v="1"/>
    <s v="512"/>
    <x v="5"/>
  </r>
  <r>
    <x v="151"/>
    <n v="514"/>
    <n v="3"/>
    <n v="342.99"/>
    <x v="4"/>
    <x v="2"/>
    <x v="0"/>
    <s v="514"/>
    <x v="0"/>
  </r>
  <r>
    <x v="152"/>
    <n v="582"/>
    <n v="5"/>
    <n v="306.48"/>
    <x v="2"/>
    <x v="0"/>
    <x v="4"/>
    <s v="423"/>
    <x v="4"/>
  </r>
  <r>
    <x v="153"/>
    <n v="568"/>
    <n v="3"/>
    <n v="308.54000000000002"/>
    <x v="2"/>
    <x v="2"/>
    <x v="4"/>
    <s v="413"/>
    <x v="4"/>
  </r>
  <r>
    <x v="154"/>
    <n v="520"/>
    <n v="12"/>
    <n v="124.17"/>
    <x v="4"/>
    <x v="1"/>
    <x v="3"/>
    <s v="551"/>
    <x v="2"/>
  </r>
  <r>
    <x v="155"/>
    <n v="527"/>
    <n v="5"/>
    <n v="78"/>
    <x v="4"/>
    <x v="0"/>
    <x v="3"/>
    <s v="521"/>
    <x v="5"/>
  </r>
  <r>
    <x v="156"/>
    <n v="594"/>
    <n v="4"/>
    <n v="393.03"/>
    <x v="2"/>
    <x v="0"/>
    <x v="0"/>
    <s v="424"/>
    <x v="0"/>
  </r>
  <r>
    <x v="157"/>
    <n v="768"/>
    <n v="3"/>
    <n v="102.09"/>
    <x v="0"/>
    <x v="2"/>
    <x v="3"/>
    <s v="111"/>
    <x v="7"/>
  </r>
  <r>
    <x v="158"/>
    <n v="732"/>
    <n v="3"/>
    <n v="426.21"/>
    <x v="1"/>
    <x v="2"/>
    <x v="2"/>
    <s v="215"/>
    <x v="0"/>
  </r>
  <r>
    <x v="159"/>
    <n v="699"/>
    <n v="2"/>
    <n v="140.31"/>
    <x v="1"/>
    <x v="2"/>
    <x v="1"/>
    <s v="212"/>
    <x v="7"/>
  </r>
  <r>
    <x v="160"/>
    <n v="672"/>
    <n v="8"/>
    <n v="413.7"/>
    <x v="3"/>
    <x v="4"/>
    <x v="2"/>
    <s v="345"/>
    <x v="3"/>
  </r>
  <r>
    <x v="161"/>
    <n v="749"/>
    <n v="4"/>
    <n v="348.63"/>
    <x v="1"/>
    <x v="0"/>
    <x v="0"/>
    <s v="224"/>
    <x v="0"/>
  </r>
  <r>
    <x v="162"/>
    <n v="668"/>
    <n v="7"/>
    <n v="91.27"/>
    <x v="3"/>
    <x v="3"/>
    <x v="3"/>
    <s v="331"/>
    <x v="4"/>
  </r>
  <r>
    <x v="163"/>
    <n v="487"/>
    <n v="11"/>
    <n v="359.94"/>
    <x v="4"/>
    <x v="1"/>
    <x v="0"/>
    <s v="554"/>
    <x v="6"/>
  </r>
  <r>
    <x v="164"/>
    <n v="779"/>
    <n v="8"/>
    <n v="138.19999999999999"/>
    <x v="0"/>
    <x v="4"/>
    <x v="3"/>
    <s v="141"/>
    <x v="1"/>
  </r>
  <r>
    <x v="165"/>
    <n v="660"/>
    <n v="11"/>
    <n v="196.33"/>
    <x v="3"/>
    <x v="1"/>
    <x v="1"/>
    <s v="352"/>
    <x v="4"/>
  </r>
  <r>
    <x v="166"/>
    <n v="599"/>
    <n v="8"/>
    <n v="249.24"/>
    <x v="2"/>
    <x v="4"/>
    <x v="4"/>
    <s v="443"/>
    <x v="2"/>
  </r>
  <r>
    <x v="167"/>
    <n v="735"/>
    <n v="12"/>
    <n v="129.1"/>
    <x v="1"/>
    <x v="1"/>
    <x v="3"/>
    <s v="251"/>
    <x v="1"/>
  </r>
  <r>
    <x v="168"/>
    <n v="601"/>
    <n v="10"/>
    <n v="112.69"/>
    <x v="2"/>
    <x v="1"/>
    <x v="3"/>
    <s v="451"/>
    <x v="2"/>
  </r>
  <r>
    <x v="169"/>
    <n v="761"/>
    <n v="5"/>
    <n v="267.85000000000002"/>
    <x v="1"/>
    <x v="0"/>
    <x v="4"/>
    <s v="223"/>
    <x v="7"/>
  </r>
  <r>
    <x v="170"/>
    <n v="723"/>
    <n v="12"/>
    <n v="205.36"/>
    <x v="1"/>
    <x v="1"/>
    <x v="1"/>
    <s v="252"/>
    <x v="1"/>
  </r>
  <r>
    <x v="171"/>
    <n v="715"/>
    <n v="10"/>
    <n v="79.099999999999994"/>
    <x v="1"/>
    <x v="1"/>
    <x v="3"/>
    <s v="251"/>
    <x v="1"/>
  </r>
  <r>
    <x v="172"/>
    <n v="673"/>
    <n v="12"/>
    <n v="256.63"/>
    <x v="3"/>
    <x v="1"/>
    <x v="4"/>
    <s v="353"/>
    <x v="4"/>
  </r>
  <r>
    <x v="173"/>
    <n v="552"/>
    <n v="12"/>
    <n v="409.98"/>
    <x v="4"/>
    <x v="1"/>
    <x v="0"/>
    <s v="554"/>
    <x v="6"/>
  </r>
  <r>
    <x v="174"/>
    <n v="627"/>
    <n v="2"/>
    <n v="291.60000000000002"/>
    <x v="3"/>
    <x v="2"/>
    <x v="4"/>
    <s v="313"/>
    <x v="4"/>
  </r>
  <r>
    <x v="175"/>
    <n v="664"/>
    <n v="7"/>
    <n v="101.7"/>
    <x v="3"/>
    <x v="3"/>
    <x v="3"/>
    <s v="331"/>
    <x v="4"/>
  </r>
  <r>
    <x v="176"/>
    <n v="806"/>
    <n v="2"/>
    <n v="369.73"/>
    <x v="0"/>
    <x v="2"/>
    <x v="0"/>
    <s v="114"/>
    <x v="0"/>
  </r>
  <r>
    <x v="177"/>
    <n v="663"/>
    <n v="12"/>
    <n v="71"/>
    <x v="3"/>
    <x v="1"/>
    <x v="3"/>
    <s v="351"/>
    <x v="4"/>
  </r>
  <r>
    <x v="178"/>
    <n v="653"/>
    <n v="10"/>
    <n v="280.05"/>
    <x v="3"/>
    <x v="1"/>
    <x v="4"/>
    <s v="353"/>
    <x v="4"/>
  </r>
  <r>
    <x v="179"/>
    <n v="541"/>
    <n v="4"/>
    <n v="54.71"/>
    <x v="4"/>
    <x v="0"/>
    <x v="3"/>
    <s v="521"/>
    <x v="5"/>
  </r>
  <r>
    <x v="180"/>
    <n v="713"/>
    <n v="11"/>
    <n v="119.51"/>
    <x v="1"/>
    <x v="1"/>
    <x v="3"/>
    <s v="251"/>
    <x v="1"/>
  </r>
  <r>
    <x v="181"/>
    <n v="498"/>
    <n v="12"/>
    <n v="57.5"/>
    <x v="4"/>
    <x v="1"/>
    <x v="3"/>
    <s v="551"/>
    <x v="2"/>
  </r>
  <r>
    <x v="182"/>
    <n v="662"/>
    <n v="5"/>
    <n v="225.05"/>
    <x v="3"/>
    <x v="0"/>
    <x v="1"/>
    <s v="322"/>
    <x v="5"/>
  </r>
  <r>
    <x v="183"/>
    <n v="597"/>
    <n v="7"/>
    <n v="441.15"/>
    <x v="2"/>
    <x v="3"/>
    <x v="2"/>
    <s v="435"/>
    <x v="2"/>
  </r>
  <r>
    <x v="184"/>
    <n v="523"/>
    <n v="3"/>
    <n v="481.21"/>
    <x v="4"/>
    <x v="2"/>
    <x v="2"/>
    <s v="515"/>
    <x v="0"/>
  </r>
  <r>
    <x v="185"/>
    <n v="487"/>
    <n v="3"/>
    <n v="102.96"/>
    <x v="4"/>
    <x v="2"/>
    <x v="3"/>
    <s v="511"/>
    <x v="5"/>
  </r>
  <r>
    <x v="186"/>
    <n v="714"/>
    <n v="11"/>
    <n v="331.57"/>
    <x v="1"/>
    <x v="1"/>
    <x v="0"/>
    <s v="254"/>
    <x v="3"/>
  </r>
  <r>
    <x v="187"/>
    <n v="537"/>
    <n v="11"/>
    <n v="101.29"/>
    <x v="4"/>
    <x v="1"/>
    <x v="3"/>
    <s v="551"/>
    <x v="2"/>
  </r>
  <r>
    <x v="188"/>
    <n v="739"/>
    <n v="9"/>
    <n v="143.52000000000001"/>
    <x v="1"/>
    <x v="4"/>
    <x v="1"/>
    <s v="242"/>
    <x v="1"/>
  </r>
  <r>
    <x v="189"/>
    <n v="715"/>
    <n v="3"/>
    <n v="276.48"/>
    <x v="1"/>
    <x v="2"/>
    <x v="4"/>
    <s v="213"/>
    <x v="7"/>
  </r>
  <r>
    <x v="190"/>
    <n v="791"/>
    <n v="11"/>
    <n v="352.87"/>
    <x v="0"/>
    <x v="1"/>
    <x v="0"/>
    <s v="154"/>
    <x v="3"/>
  </r>
  <r>
    <x v="191"/>
    <n v="558"/>
    <n v="3"/>
    <n v="228.68"/>
    <x v="4"/>
    <x v="2"/>
    <x v="4"/>
    <s v="513"/>
    <x v="4"/>
  </r>
  <r>
    <x v="192"/>
    <n v="729"/>
    <n v="6"/>
    <n v="301.39"/>
    <x v="1"/>
    <x v="3"/>
    <x v="4"/>
    <s v="233"/>
    <x v="1"/>
  </r>
  <r>
    <x v="193"/>
    <n v="635"/>
    <n v="11"/>
    <n v="473.5"/>
    <x v="3"/>
    <x v="1"/>
    <x v="2"/>
    <s v="355"/>
    <x v="3"/>
  </r>
  <r>
    <x v="194"/>
    <n v="608"/>
    <n v="11"/>
    <n v="72.8"/>
    <x v="2"/>
    <x v="1"/>
    <x v="3"/>
    <s v="451"/>
    <x v="2"/>
  </r>
  <r>
    <x v="195"/>
    <n v="757"/>
    <n v="3"/>
    <n v="171.72"/>
    <x v="1"/>
    <x v="2"/>
    <x v="1"/>
    <s v="212"/>
    <x v="7"/>
  </r>
  <r>
    <x v="196"/>
    <n v="746"/>
    <n v="6"/>
    <n v="467.5"/>
    <x v="1"/>
    <x v="3"/>
    <x v="2"/>
    <s v="235"/>
    <x v="0"/>
  </r>
  <r>
    <x v="197"/>
    <n v="584"/>
    <n v="6"/>
    <n v="209.79"/>
    <x v="2"/>
    <x v="3"/>
    <x v="1"/>
    <s v="432"/>
    <x v="2"/>
  </r>
  <r>
    <x v="198"/>
    <n v="726"/>
    <n v="9"/>
    <n v="150.33000000000001"/>
    <x v="1"/>
    <x v="4"/>
    <x v="1"/>
    <s v="242"/>
    <x v="1"/>
  </r>
  <r>
    <x v="199"/>
    <n v="832"/>
    <n v="7"/>
    <n v="98.63"/>
    <x v="0"/>
    <x v="3"/>
    <x v="3"/>
    <s v="131"/>
    <x v="1"/>
  </r>
  <r>
    <x v="200"/>
    <n v="686"/>
    <n v="11"/>
    <n v="193.3"/>
    <x v="3"/>
    <x v="1"/>
    <x v="1"/>
    <s v="352"/>
    <x v="4"/>
  </r>
  <r>
    <x v="201"/>
    <n v="666"/>
    <n v="7"/>
    <n v="145.02000000000001"/>
    <x v="3"/>
    <x v="3"/>
    <x v="1"/>
    <s v="332"/>
    <x v="4"/>
  </r>
  <r>
    <x v="202"/>
    <n v="506"/>
    <n v="4"/>
    <n v="294.99"/>
    <x v="4"/>
    <x v="0"/>
    <x v="4"/>
    <s v="523"/>
    <x v="4"/>
  </r>
  <r>
    <x v="203"/>
    <n v="543"/>
    <n v="2"/>
    <n v="305.45"/>
    <x v="4"/>
    <x v="2"/>
    <x v="4"/>
    <s v="513"/>
    <x v="4"/>
  </r>
  <r>
    <x v="204"/>
    <n v="729"/>
    <n v="2"/>
    <n v="432.42"/>
    <x v="1"/>
    <x v="2"/>
    <x v="2"/>
    <s v="215"/>
    <x v="0"/>
  </r>
  <r>
    <x v="205"/>
    <n v="818"/>
    <n v="11"/>
    <n v="227.58"/>
    <x v="0"/>
    <x v="1"/>
    <x v="4"/>
    <s v="153"/>
    <x v="1"/>
  </r>
  <r>
    <x v="206"/>
    <n v="666"/>
    <n v="10"/>
    <n v="160.88999999999999"/>
    <x v="3"/>
    <x v="1"/>
    <x v="1"/>
    <s v="352"/>
    <x v="4"/>
  </r>
  <r>
    <x v="207"/>
    <n v="761"/>
    <n v="7"/>
    <n v="139.1"/>
    <x v="1"/>
    <x v="3"/>
    <x v="1"/>
    <s v="232"/>
    <x v="1"/>
  </r>
  <r>
    <x v="208"/>
    <n v="741"/>
    <n v="9"/>
    <n v="268.27999999999997"/>
    <x v="1"/>
    <x v="4"/>
    <x v="4"/>
    <s v="243"/>
    <x v="1"/>
  </r>
  <r>
    <x v="209"/>
    <n v="548"/>
    <n v="6"/>
    <n v="64.489999999999995"/>
    <x v="4"/>
    <x v="3"/>
    <x v="3"/>
    <s v="531"/>
    <x v="2"/>
  </r>
  <r>
    <x v="210"/>
    <n v="710"/>
    <n v="10"/>
    <n v="80.17"/>
    <x v="1"/>
    <x v="1"/>
    <x v="3"/>
    <s v="251"/>
    <x v="1"/>
  </r>
  <r>
    <x v="211"/>
    <n v="706"/>
    <n v="11"/>
    <n v="277.52"/>
    <x v="1"/>
    <x v="1"/>
    <x v="4"/>
    <s v="253"/>
    <x v="1"/>
  </r>
  <r>
    <x v="212"/>
    <n v="737"/>
    <n v="7"/>
    <n v="53.67"/>
    <x v="1"/>
    <x v="3"/>
    <x v="3"/>
    <s v="231"/>
    <x v="1"/>
  </r>
  <r>
    <x v="213"/>
    <n v="837"/>
    <n v="10"/>
    <n v="323.39"/>
    <x v="0"/>
    <x v="1"/>
    <x v="4"/>
    <s v="153"/>
    <x v="1"/>
  </r>
  <r>
    <x v="214"/>
    <n v="659"/>
    <n v="5"/>
    <n v="98.02"/>
    <x v="3"/>
    <x v="0"/>
    <x v="3"/>
    <s v="321"/>
    <x v="5"/>
  </r>
  <r>
    <x v="215"/>
    <n v="720"/>
    <n v="10"/>
    <n v="231.26"/>
    <x v="1"/>
    <x v="1"/>
    <x v="4"/>
    <s v="253"/>
    <x v="1"/>
  </r>
  <r>
    <x v="216"/>
    <n v="809"/>
    <n v="6"/>
    <n v="382.49"/>
    <x v="0"/>
    <x v="3"/>
    <x v="0"/>
    <s v="134"/>
    <x v="0"/>
  </r>
  <r>
    <x v="217"/>
    <n v="658"/>
    <n v="9"/>
    <n v="255.42"/>
    <x v="3"/>
    <x v="4"/>
    <x v="4"/>
    <s v="343"/>
    <x v="4"/>
  </r>
  <r>
    <x v="218"/>
    <n v="531"/>
    <n v="12"/>
    <n v="423.23"/>
    <x v="4"/>
    <x v="1"/>
    <x v="2"/>
    <s v="555"/>
    <x v="6"/>
  </r>
  <r>
    <x v="219"/>
    <n v="812"/>
    <n v="4"/>
    <n v="276.08"/>
    <x v="0"/>
    <x v="0"/>
    <x v="4"/>
    <s v="123"/>
    <x v="7"/>
  </r>
  <r>
    <x v="220"/>
    <n v="542"/>
    <n v="3"/>
    <n v="333.56"/>
    <x v="4"/>
    <x v="2"/>
    <x v="0"/>
    <s v="514"/>
    <x v="0"/>
  </r>
  <r>
    <x v="221"/>
    <n v="686"/>
    <n v="12"/>
    <n v="129.82"/>
    <x v="3"/>
    <x v="1"/>
    <x v="3"/>
    <s v="351"/>
    <x v="4"/>
  </r>
  <r>
    <x v="222"/>
    <n v="675"/>
    <n v="3"/>
    <n v="278.77999999999997"/>
    <x v="3"/>
    <x v="2"/>
    <x v="4"/>
    <s v="313"/>
    <x v="4"/>
  </r>
  <r>
    <x v="223"/>
    <n v="545"/>
    <n v="5"/>
    <n v="112.55"/>
    <x v="4"/>
    <x v="0"/>
    <x v="3"/>
    <s v="521"/>
    <x v="5"/>
  </r>
  <r>
    <x v="224"/>
    <n v="650"/>
    <n v="7"/>
    <n v="142.02000000000001"/>
    <x v="3"/>
    <x v="3"/>
    <x v="1"/>
    <s v="332"/>
    <x v="4"/>
  </r>
  <r>
    <x v="225"/>
    <n v="614"/>
    <n v="10"/>
    <n v="481.84"/>
    <x v="2"/>
    <x v="1"/>
    <x v="2"/>
    <s v="455"/>
    <x v="6"/>
  </r>
  <r>
    <x v="226"/>
    <n v="733"/>
    <n v="10"/>
    <n v="165.01"/>
    <x v="1"/>
    <x v="1"/>
    <x v="1"/>
    <s v="252"/>
    <x v="1"/>
  </r>
  <r>
    <x v="227"/>
    <n v="520"/>
    <n v="5"/>
    <n v="56.85"/>
    <x v="4"/>
    <x v="0"/>
    <x v="3"/>
    <s v="521"/>
    <x v="5"/>
  </r>
  <r>
    <x v="228"/>
    <n v="616"/>
    <n v="2"/>
    <n v="182.89"/>
    <x v="2"/>
    <x v="2"/>
    <x v="1"/>
    <s v="412"/>
    <x v="5"/>
  </r>
  <r>
    <x v="229"/>
    <n v="632"/>
    <n v="5"/>
    <n v="373.01"/>
    <x v="3"/>
    <x v="0"/>
    <x v="0"/>
    <s v="324"/>
    <x v="0"/>
  </r>
  <r>
    <x v="230"/>
    <n v="735"/>
    <n v="7"/>
    <n v="220.77"/>
    <x v="1"/>
    <x v="3"/>
    <x v="1"/>
    <s v="232"/>
    <x v="1"/>
  </r>
  <r>
    <x v="231"/>
    <n v="561"/>
    <n v="11"/>
    <n v="291.08999999999997"/>
    <x v="2"/>
    <x v="1"/>
    <x v="4"/>
    <s v="453"/>
    <x v="2"/>
  </r>
  <r>
    <x v="232"/>
    <n v="510"/>
    <n v="9"/>
    <n v="414.06"/>
    <x v="4"/>
    <x v="4"/>
    <x v="2"/>
    <s v="545"/>
    <x v="6"/>
  </r>
  <r>
    <x v="233"/>
    <n v="694"/>
    <n v="9"/>
    <n v="408.51"/>
    <x v="1"/>
    <x v="4"/>
    <x v="0"/>
    <s v="244"/>
    <x v="3"/>
  </r>
  <r>
    <x v="234"/>
    <n v="532"/>
    <n v="9"/>
    <n v="103.4"/>
    <x v="4"/>
    <x v="4"/>
    <x v="3"/>
    <s v="541"/>
    <x v="2"/>
  </r>
  <r>
    <x v="235"/>
    <n v="549"/>
    <n v="3"/>
    <n v="67.92"/>
    <x v="4"/>
    <x v="2"/>
    <x v="3"/>
    <s v="511"/>
    <x v="5"/>
  </r>
  <r>
    <x v="236"/>
    <n v="676"/>
    <n v="8"/>
    <n v="354.16"/>
    <x v="3"/>
    <x v="4"/>
    <x v="0"/>
    <s v="344"/>
    <x v="3"/>
  </r>
  <r>
    <x v="237"/>
    <n v="778"/>
    <n v="2"/>
    <n v="276.77"/>
    <x v="0"/>
    <x v="2"/>
    <x v="4"/>
    <s v="113"/>
    <x v="7"/>
  </r>
  <r>
    <x v="238"/>
    <n v="686"/>
    <n v="6"/>
    <n v="190.25"/>
    <x v="3"/>
    <x v="3"/>
    <x v="1"/>
    <s v="332"/>
    <x v="4"/>
  </r>
  <r>
    <x v="239"/>
    <n v="618"/>
    <n v="7"/>
    <n v="203.49"/>
    <x v="2"/>
    <x v="3"/>
    <x v="1"/>
    <s v="432"/>
    <x v="2"/>
  </r>
  <r>
    <x v="240"/>
    <n v="518"/>
    <n v="6"/>
    <n v="263.5"/>
    <x v="4"/>
    <x v="3"/>
    <x v="4"/>
    <s v="533"/>
    <x v="2"/>
  </r>
  <r>
    <x v="241"/>
    <n v="802"/>
    <n v="2"/>
    <n v="247.3"/>
    <x v="0"/>
    <x v="2"/>
    <x v="4"/>
    <s v="113"/>
    <x v="7"/>
  </r>
  <r>
    <x v="242"/>
    <n v="764"/>
    <n v="12"/>
    <n v="50.71"/>
    <x v="0"/>
    <x v="1"/>
    <x v="3"/>
    <s v="151"/>
    <x v="1"/>
  </r>
  <r>
    <x v="243"/>
    <n v="837"/>
    <n v="4"/>
    <n v="131.85"/>
    <x v="0"/>
    <x v="0"/>
    <x v="3"/>
    <s v="121"/>
    <x v="7"/>
  </r>
  <r>
    <x v="244"/>
    <n v="568"/>
    <n v="6"/>
    <n v="459.39"/>
    <x v="2"/>
    <x v="3"/>
    <x v="2"/>
    <s v="435"/>
    <x v="2"/>
  </r>
  <r>
    <x v="245"/>
    <n v="623"/>
    <n v="6"/>
    <n v="383.33"/>
    <x v="2"/>
    <x v="3"/>
    <x v="0"/>
    <s v="434"/>
    <x v="2"/>
  </r>
  <r>
    <x v="246"/>
    <n v="713"/>
    <n v="8"/>
    <n v="212.08"/>
    <x v="1"/>
    <x v="4"/>
    <x v="1"/>
    <s v="242"/>
    <x v="1"/>
  </r>
  <r>
    <x v="247"/>
    <n v="610"/>
    <n v="7"/>
    <n v="370.73"/>
    <x v="2"/>
    <x v="3"/>
    <x v="0"/>
    <s v="434"/>
    <x v="2"/>
  </r>
  <r>
    <x v="248"/>
    <n v="792"/>
    <n v="7"/>
    <n v="319.66000000000003"/>
    <x v="0"/>
    <x v="3"/>
    <x v="4"/>
    <s v="133"/>
    <x v="1"/>
  </r>
  <r>
    <x v="249"/>
    <n v="767"/>
    <n v="3"/>
    <n v="373.05"/>
    <x v="0"/>
    <x v="2"/>
    <x v="0"/>
    <s v="114"/>
    <x v="0"/>
  </r>
  <r>
    <x v="250"/>
    <n v="756"/>
    <n v="6"/>
    <n v="393.78"/>
    <x v="1"/>
    <x v="3"/>
    <x v="0"/>
    <s v="234"/>
    <x v="0"/>
  </r>
  <r>
    <x v="251"/>
    <n v="503"/>
    <n v="4"/>
    <n v="245.04"/>
    <x v="4"/>
    <x v="0"/>
    <x v="4"/>
    <s v="523"/>
    <x v="4"/>
  </r>
  <r>
    <x v="252"/>
    <n v="707"/>
    <n v="3"/>
    <n v="111.27"/>
    <x v="1"/>
    <x v="2"/>
    <x v="3"/>
    <s v="211"/>
    <x v="7"/>
  </r>
  <r>
    <x v="253"/>
    <n v="634"/>
    <n v="11"/>
    <n v="93.29"/>
    <x v="3"/>
    <x v="1"/>
    <x v="3"/>
    <s v="351"/>
    <x v="4"/>
  </r>
  <r>
    <x v="254"/>
    <n v="831"/>
    <n v="5"/>
    <n v="156.5"/>
    <x v="0"/>
    <x v="0"/>
    <x v="1"/>
    <s v="122"/>
    <x v="7"/>
  </r>
  <r>
    <x v="255"/>
    <n v="537"/>
    <n v="8"/>
    <n v="290.11"/>
    <x v="4"/>
    <x v="4"/>
    <x v="4"/>
    <s v="543"/>
    <x v="2"/>
  </r>
  <r>
    <x v="256"/>
    <n v="580"/>
    <n v="3"/>
    <n v="355.28"/>
    <x v="2"/>
    <x v="2"/>
    <x v="0"/>
    <s v="414"/>
    <x v="0"/>
  </r>
  <r>
    <x v="257"/>
    <n v="611"/>
    <n v="7"/>
    <n v="73.739999999999995"/>
    <x v="2"/>
    <x v="3"/>
    <x v="3"/>
    <s v="431"/>
    <x v="2"/>
  </r>
  <r>
    <x v="258"/>
    <n v="686"/>
    <n v="10"/>
    <n v="170.35"/>
    <x v="3"/>
    <x v="1"/>
    <x v="1"/>
    <s v="352"/>
    <x v="4"/>
  </r>
  <r>
    <x v="259"/>
    <n v="631"/>
    <n v="6"/>
    <n v="123.7"/>
    <x v="3"/>
    <x v="3"/>
    <x v="3"/>
    <s v="331"/>
    <x v="4"/>
  </r>
  <r>
    <x v="260"/>
    <n v="543"/>
    <n v="9"/>
    <n v="201.6"/>
    <x v="4"/>
    <x v="4"/>
    <x v="1"/>
    <s v="542"/>
    <x v="2"/>
  </r>
  <r>
    <x v="261"/>
    <n v="749"/>
    <n v="11"/>
    <n v="116.14"/>
    <x v="1"/>
    <x v="1"/>
    <x v="3"/>
    <s v="251"/>
    <x v="1"/>
  </r>
  <r>
    <x v="262"/>
    <n v="680"/>
    <n v="9"/>
    <n v="483.38"/>
    <x v="3"/>
    <x v="4"/>
    <x v="2"/>
    <s v="345"/>
    <x v="3"/>
  </r>
  <r>
    <x v="263"/>
    <n v="522"/>
    <n v="9"/>
    <n v="418.62"/>
    <x v="4"/>
    <x v="4"/>
    <x v="2"/>
    <s v="545"/>
    <x v="6"/>
  </r>
  <r>
    <x v="264"/>
    <n v="559"/>
    <n v="12"/>
    <n v="139.83000000000001"/>
    <x v="2"/>
    <x v="1"/>
    <x v="1"/>
    <s v="452"/>
    <x v="2"/>
  </r>
  <r>
    <x v="265"/>
    <n v="830"/>
    <n v="4"/>
    <n v="54.17"/>
    <x v="0"/>
    <x v="0"/>
    <x v="3"/>
    <s v="121"/>
    <x v="7"/>
  </r>
  <r>
    <x v="266"/>
    <n v="784"/>
    <n v="10"/>
    <n v="437.59"/>
    <x v="0"/>
    <x v="1"/>
    <x v="2"/>
    <s v="155"/>
    <x v="3"/>
  </r>
  <r>
    <x v="267"/>
    <n v="535"/>
    <n v="5"/>
    <n v="113.57"/>
    <x v="4"/>
    <x v="0"/>
    <x v="3"/>
    <s v="521"/>
    <x v="5"/>
  </r>
  <r>
    <x v="268"/>
    <n v="753"/>
    <n v="6"/>
    <n v="305.54000000000002"/>
    <x v="1"/>
    <x v="3"/>
    <x v="4"/>
    <s v="233"/>
    <x v="1"/>
  </r>
  <r>
    <x v="269"/>
    <n v="833"/>
    <n v="2"/>
    <n v="339.12"/>
    <x v="0"/>
    <x v="2"/>
    <x v="0"/>
    <s v="114"/>
    <x v="0"/>
  </r>
  <r>
    <x v="270"/>
    <n v="782"/>
    <n v="11"/>
    <n v="323.39999999999998"/>
    <x v="0"/>
    <x v="1"/>
    <x v="4"/>
    <s v="153"/>
    <x v="1"/>
  </r>
  <r>
    <x v="271"/>
    <n v="582"/>
    <n v="9"/>
    <n v="472.61"/>
    <x v="2"/>
    <x v="4"/>
    <x v="2"/>
    <s v="445"/>
    <x v="6"/>
  </r>
  <r>
    <x v="272"/>
    <n v="535"/>
    <n v="10"/>
    <n v="68.02"/>
    <x v="4"/>
    <x v="1"/>
    <x v="3"/>
    <s v="551"/>
    <x v="2"/>
  </r>
  <r>
    <x v="273"/>
    <n v="645"/>
    <n v="7"/>
    <n v="199.44"/>
    <x v="3"/>
    <x v="3"/>
    <x v="1"/>
    <s v="332"/>
    <x v="4"/>
  </r>
  <r>
    <x v="274"/>
    <n v="726"/>
    <n v="4"/>
    <n v="250.73"/>
    <x v="1"/>
    <x v="0"/>
    <x v="4"/>
    <s v="223"/>
    <x v="7"/>
  </r>
  <r>
    <x v="275"/>
    <n v="606"/>
    <n v="12"/>
    <n v="372.49"/>
    <x v="2"/>
    <x v="1"/>
    <x v="0"/>
    <s v="454"/>
    <x v="6"/>
  </r>
  <r>
    <x v="276"/>
    <n v="790"/>
    <n v="2"/>
    <n v="186.85"/>
    <x v="0"/>
    <x v="2"/>
    <x v="1"/>
    <s v="112"/>
    <x v="7"/>
  </r>
  <r>
    <x v="277"/>
    <n v="814"/>
    <n v="10"/>
    <n v="73.319999999999993"/>
    <x v="0"/>
    <x v="1"/>
    <x v="3"/>
    <s v="151"/>
    <x v="1"/>
  </r>
  <r>
    <x v="278"/>
    <n v="801"/>
    <n v="6"/>
    <n v="214.59"/>
    <x v="0"/>
    <x v="3"/>
    <x v="1"/>
    <s v="132"/>
    <x v="1"/>
  </r>
  <r>
    <x v="279"/>
    <n v="813"/>
    <n v="12"/>
    <n v="467.32"/>
    <x v="0"/>
    <x v="1"/>
    <x v="2"/>
    <s v="155"/>
    <x v="3"/>
  </r>
  <r>
    <x v="280"/>
    <n v="666"/>
    <n v="4"/>
    <n v="475.65"/>
    <x v="3"/>
    <x v="0"/>
    <x v="2"/>
    <s v="325"/>
    <x v="0"/>
  </r>
  <r>
    <x v="281"/>
    <n v="608"/>
    <n v="11"/>
    <n v="161.38"/>
    <x v="2"/>
    <x v="1"/>
    <x v="1"/>
    <s v="452"/>
    <x v="2"/>
  </r>
  <r>
    <x v="282"/>
    <n v="512"/>
    <n v="4"/>
    <n v="249.78"/>
    <x v="4"/>
    <x v="0"/>
    <x v="4"/>
    <s v="523"/>
    <x v="4"/>
  </r>
  <r>
    <x v="283"/>
    <n v="731"/>
    <n v="9"/>
    <n v="149.88"/>
    <x v="1"/>
    <x v="4"/>
    <x v="1"/>
    <s v="242"/>
    <x v="1"/>
  </r>
  <r>
    <x v="284"/>
    <n v="815"/>
    <n v="5"/>
    <n v="347.09"/>
    <x v="0"/>
    <x v="0"/>
    <x v="0"/>
    <s v="124"/>
    <x v="0"/>
  </r>
  <r>
    <x v="285"/>
    <n v="591"/>
    <n v="9"/>
    <n v="345.49"/>
    <x v="2"/>
    <x v="4"/>
    <x v="0"/>
    <s v="444"/>
    <x v="6"/>
  </r>
  <r>
    <x v="286"/>
    <n v="660"/>
    <n v="2"/>
    <n v="297.24"/>
    <x v="3"/>
    <x v="2"/>
    <x v="4"/>
    <s v="313"/>
    <x v="4"/>
  </r>
  <r>
    <x v="287"/>
    <n v="778"/>
    <n v="12"/>
    <n v="494.34"/>
    <x v="0"/>
    <x v="1"/>
    <x v="2"/>
    <s v="155"/>
    <x v="3"/>
  </r>
  <r>
    <x v="288"/>
    <n v="710"/>
    <n v="5"/>
    <n v="443.52"/>
    <x v="1"/>
    <x v="0"/>
    <x v="2"/>
    <s v="225"/>
    <x v="0"/>
  </r>
  <r>
    <x v="289"/>
    <n v="608"/>
    <n v="7"/>
    <n v="457.18"/>
    <x v="2"/>
    <x v="3"/>
    <x v="2"/>
    <s v="435"/>
    <x v="2"/>
  </r>
  <r>
    <x v="290"/>
    <n v="525"/>
    <n v="4"/>
    <n v="407.88"/>
    <x v="4"/>
    <x v="0"/>
    <x v="0"/>
    <s v="524"/>
    <x v="0"/>
  </r>
  <r>
    <x v="291"/>
    <n v="695"/>
    <n v="8"/>
    <n v="448.68"/>
    <x v="1"/>
    <x v="4"/>
    <x v="2"/>
    <s v="245"/>
    <x v="3"/>
  </r>
  <r>
    <x v="292"/>
    <n v="483"/>
    <n v="7"/>
    <n v="255.96"/>
    <x v="4"/>
    <x v="3"/>
    <x v="4"/>
    <s v="533"/>
    <x v="2"/>
  </r>
  <r>
    <x v="293"/>
    <n v="652"/>
    <n v="7"/>
    <n v="146.07"/>
    <x v="3"/>
    <x v="3"/>
    <x v="1"/>
    <s v="332"/>
    <x v="4"/>
  </r>
  <r>
    <x v="294"/>
    <n v="476"/>
    <n v="4"/>
    <n v="311.89999999999998"/>
    <x v="4"/>
    <x v="0"/>
    <x v="4"/>
    <s v="523"/>
    <x v="4"/>
  </r>
  <r>
    <x v="295"/>
    <n v="770"/>
    <n v="4"/>
    <n v="301.60000000000002"/>
    <x v="0"/>
    <x v="0"/>
    <x v="4"/>
    <s v="123"/>
    <x v="7"/>
  </r>
  <r>
    <x v="296"/>
    <n v="652"/>
    <n v="3"/>
    <n v="297.45"/>
    <x v="3"/>
    <x v="2"/>
    <x v="4"/>
    <s v="313"/>
    <x v="4"/>
  </r>
  <r>
    <x v="297"/>
    <n v="635"/>
    <n v="3"/>
    <n v="157.26"/>
    <x v="3"/>
    <x v="2"/>
    <x v="1"/>
    <s v="312"/>
    <x v="5"/>
  </r>
  <r>
    <x v="298"/>
    <n v="624"/>
    <n v="3"/>
    <n v="239.46"/>
    <x v="2"/>
    <x v="2"/>
    <x v="4"/>
    <s v="413"/>
    <x v="4"/>
  </r>
  <r>
    <x v="299"/>
    <n v="839"/>
    <n v="10"/>
    <n v="240.82"/>
    <x v="0"/>
    <x v="1"/>
    <x v="4"/>
    <s v="153"/>
    <x v="1"/>
  </r>
  <r>
    <x v="300"/>
    <n v="741"/>
    <n v="6"/>
    <n v="302.07"/>
    <x v="1"/>
    <x v="3"/>
    <x v="4"/>
    <s v="233"/>
    <x v="1"/>
  </r>
  <r>
    <x v="301"/>
    <n v="552"/>
    <n v="2"/>
    <n v="367.99"/>
    <x v="4"/>
    <x v="2"/>
    <x v="0"/>
    <s v="514"/>
    <x v="0"/>
  </r>
  <r>
    <x v="302"/>
    <n v="818"/>
    <n v="7"/>
    <n v="359.75"/>
    <x v="0"/>
    <x v="3"/>
    <x v="0"/>
    <s v="134"/>
    <x v="0"/>
  </r>
  <r>
    <x v="303"/>
    <n v="505"/>
    <n v="2"/>
    <n v="204.44"/>
    <x v="4"/>
    <x v="2"/>
    <x v="1"/>
    <s v="512"/>
    <x v="5"/>
  </r>
  <r>
    <x v="304"/>
    <n v="791"/>
    <n v="7"/>
    <n v="228.93"/>
    <x v="0"/>
    <x v="3"/>
    <x v="4"/>
    <s v="133"/>
    <x v="1"/>
  </r>
  <r>
    <x v="305"/>
    <n v="609"/>
    <n v="11"/>
    <n v="355.31"/>
    <x v="2"/>
    <x v="1"/>
    <x v="0"/>
    <s v="454"/>
    <x v="6"/>
  </r>
  <r>
    <x v="306"/>
    <n v="518"/>
    <n v="12"/>
    <n v="334.67"/>
    <x v="4"/>
    <x v="1"/>
    <x v="0"/>
    <s v="554"/>
    <x v="6"/>
  </r>
  <r>
    <x v="307"/>
    <n v="685"/>
    <n v="5"/>
    <n v="182.72"/>
    <x v="3"/>
    <x v="0"/>
    <x v="1"/>
    <s v="322"/>
    <x v="5"/>
  </r>
  <r>
    <x v="308"/>
    <n v="516"/>
    <n v="11"/>
    <n v="260.22000000000003"/>
    <x v="4"/>
    <x v="1"/>
    <x v="4"/>
    <s v="553"/>
    <x v="2"/>
  </r>
  <r>
    <x v="309"/>
    <n v="729"/>
    <n v="8"/>
    <n v="454.93"/>
    <x v="1"/>
    <x v="4"/>
    <x v="2"/>
    <s v="245"/>
    <x v="3"/>
  </r>
  <r>
    <x v="310"/>
    <n v="547"/>
    <n v="11"/>
    <n v="325.42"/>
    <x v="4"/>
    <x v="1"/>
    <x v="0"/>
    <s v="554"/>
    <x v="6"/>
  </r>
  <r>
    <x v="311"/>
    <n v="801"/>
    <n v="2"/>
    <n v="351.36"/>
    <x v="0"/>
    <x v="2"/>
    <x v="0"/>
    <s v="114"/>
    <x v="0"/>
  </r>
  <r>
    <x v="312"/>
    <n v="501"/>
    <n v="8"/>
    <n v="333.63"/>
    <x v="4"/>
    <x v="4"/>
    <x v="0"/>
    <s v="544"/>
    <x v="6"/>
  </r>
  <r>
    <x v="313"/>
    <n v="661"/>
    <n v="4"/>
    <n v="469.9"/>
    <x v="3"/>
    <x v="0"/>
    <x v="2"/>
    <s v="325"/>
    <x v="0"/>
  </r>
  <r>
    <x v="314"/>
    <n v="622"/>
    <n v="4"/>
    <n v="207.52"/>
    <x v="2"/>
    <x v="0"/>
    <x v="1"/>
    <s v="422"/>
    <x v="5"/>
  </r>
  <r>
    <x v="315"/>
    <n v="514"/>
    <n v="7"/>
    <n v="125.89"/>
    <x v="4"/>
    <x v="3"/>
    <x v="3"/>
    <s v="531"/>
    <x v="2"/>
  </r>
  <r>
    <x v="316"/>
    <n v="624"/>
    <n v="9"/>
    <n v="170.77"/>
    <x v="2"/>
    <x v="4"/>
    <x v="1"/>
    <s v="442"/>
    <x v="2"/>
  </r>
  <r>
    <x v="317"/>
    <n v="829"/>
    <n v="2"/>
    <n v="63.91"/>
    <x v="0"/>
    <x v="2"/>
    <x v="3"/>
    <s v="111"/>
    <x v="7"/>
  </r>
  <r>
    <x v="318"/>
    <n v="517"/>
    <n v="7"/>
    <n v="340.55"/>
    <x v="4"/>
    <x v="3"/>
    <x v="0"/>
    <s v="534"/>
    <x v="2"/>
  </r>
  <r>
    <x v="319"/>
    <n v="593"/>
    <n v="6"/>
    <n v="378.14"/>
    <x v="2"/>
    <x v="3"/>
    <x v="0"/>
    <s v="434"/>
    <x v="2"/>
  </r>
  <r>
    <x v="320"/>
    <n v="625"/>
    <n v="9"/>
    <n v="235.84"/>
    <x v="2"/>
    <x v="4"/>
    <x v="4"/>
    <s v="443"/>
    <x v="2"/>
  </r>
  <r>
    <x v="321"/>
    <n v="742"/>
    <n v="5"/>
    <n v="164.44"/>
    <x v="1"/>
    <x v="0"/>
    <x v="1"/>
    <s v="222"/>
    <x v="7"/>
  </r>
  <r>
    <x v="322"/>
    <n v="729"/>
    <n v="3"/>
    <n v="455.81"/>
    <x v="1"/>
    <x v="2"/>
    <x v="2"/>
    <s v="215"/>
    <x v="0"/>
  </r>
  <r>
    <x v="323"/>
    <n v="672"/>
    <n v="7"/>
    <n v="298.32"/>
    <x v="3"/>
    <x v="3"/>
    <x v="4"/>
    <s v="333"/>
    <x v="4"/>
  </r>
  <r>
    <x v="324"/>
    <n v="762"/>
    <n v="7"/>
    <n v="351.71"/>
    <x v="0"/>
    <x v="3"/>
    <x v="0"/>
    <s v="134"/>
    <x v="0"/>
  </r>
  <r>
    <x v="325"/>
    <n v="615"/>
    <n v="11"/>
    <n v="393.48"/>
    <x v="2"/>
    <x v="1"/>
    <x v="0"/>
    <s v="454"/>
    <x v="6"/>
  </r>
  <r>
    <x v="326"/>
    <n v="691"/>
    <n v="6"/>
    <n v="241.72"/>
    <x v="3"/>
    <x v="3"/>
    <x v="4"/>
    <s v="333"/>
    <x v="4"/>
  </r>
  <r>
    <x v="327"/>
    <n v="503"/>
    <n v="3"/>
    <n v="280.2"/>
    <x v="4"/>
    <x v="2"/>
    <x v="4"/>
    <s v="513"/>
    <x v="4"/>
  </r>
  <r>
    <x v="328"/>
    <n v="578"/>
    <n v="5"/>
    <n v="178.04"/>
    <x v="2"/>
    <x v="0"/>
    <x v="1"/>
    <s v="422"/>
    <x v="5"/>
  </r>
  <r>
    <x v="329"/>
    <n v="759"/>
    <n v="5"/>
    <n v="347.99"/>
    <x v="1"/>
    <x v="0"/>
    <x v="0"/>
    <s v="224"/>
    <x v="0"/>
  </r>
  <r>
    <x v="330"/>
    <n v="788"/>
    <n v="3"/>
    <n v="343.81"/>
    <x v="0"/>
    <x v="2"/>
    <x v="0"/>
    <s v="114"/>
    <x v="0"/>
  </r>
  <r>
    <x v="331"/>
    <n v="481"/>
    <n v="7"/>
    <n v="105.29"/>
    <x v="4"/>
    <x v="3"/>
    <x v="3"/>
    <s v="531"/>
    <x v="2"/>
  </r>
  <r>
    <x v="332"/>
    <n v="601"/>
    <n v="3"/>
    <n v="483.66"/>
    <x v="2"/>
    <x v="2"/>
    <x v="2"/>
    <s v="415"/>
    <x v="0"/>
  </r>
  <r>
    <x v="333"/>
    <n v="813"/>
    <n v="8"/>
    <n v="69.41"/>
    <x v="0"/>
    <x v="4"/>
    <x v="3"/>
    <s v="141"/>
    <x v="1"/>
  </r>
  <r>
    <x v="334"/>
    <n v="520"/>
    <n v="11"/>
    <n v="207.18"/>
    <x v="4"/>
    <x v="1"/>
    <x v="1"/>
    <s v="552"/>
    <x v="2"/>
  </r>
  <r>
    <x v="335"/>
    <n v="498"/>
    <n v="11"/>
    <n v="454.15"/>
    <x v="4"/>
    <x v="1"/>
    <x v="2"/>
    <s v="555"/>
    <x v="6"/>
  </r>
  <r>
    <x v="336"/>
    <n v="705"/>
    <n v="11"/>
    <n v="113.01"/>
    <x v="1"/>
    <x v="1"/>
    <x v="3"/>
    <s v="251"/>
    <x v="1"/>
  </r>
  <r>
    <x v="337"/>
    <n v="625"/>
    <n v="4"/>
    <n v="419.13"/>
    <x v="2"/>
    <x v="0"/>
    <x v="2"/>
    <s v="425"/>
    <x v="0"/>
  </r>
  <r>
    <x v="338"/>
    <n v="560"/>
    <n v="5"/>
    <n v="183.86"/>
    <x v="2"/>
    <x v="0"/>
    <x v="1"/>
    <s v="422"/>
    <x v="5"/>
  </r>
  <r>
    <x v="339"/>
    <n v="664"/>
    <n v="10"/>
    <n v="53.87"/>
    <x v="3"/>
    <x v="1"/>
    <x v="3"/>
    <s v="351"/>
    <x v="4"/>
  </r>
  <r>
    <x v="340"/>
    <n v="746"/>
    <n v="9"/>
    <n v="427.82"/>
    <x v="1"/>
    <x v="4"/>
    <x v="2"/>
    <s v="245"/>
    <x v="3"/>
  </r>
  <r>
    <x v="341"/>
    <n v="781"/>
    <n v="6"/>
    <n v="282.82"/>
    <x v="0"/>
    <x v="3"/>
    <x v="4"/>
    <s v="133"/>
    <x v="1"/>
  </r>
  <r>
    <x v="342"/>
    <n v="741"/>
    <n v="7"/>
    <n v="215.31"/>
    <x v="1"/>
    <x v="3"/>
    <x v="1"/>
    <s v="232"/>
    <x v="1"/>
  </r>
  <r>
    <x v="343"/>
    <n v="732"/>
    <n v="11"/>
    <n v="183.66"/>
    <x v="1"/>
    <x v="1"/>
    <x v="1"/>
    <s v="252"/>
    <x v="1"/>
  </r>
  <r>
    <x v="344"/>
    <n v="808"/>
    <n v="10"/>
    <n v="198.73"/>
    <x v="0"/>
    <x v="1"/>
    <x v="1"/>
    <s v="152"/>
    <x v="1"/>
  </r>
  <r>
    <x v="345"/>
    <n v="728"/>
    <n v="5"/>
    <n v="265.72000000000003"/>
    <x v="1"/>
    <x v="0"/>
    <x v="4"/>
    <s v="223"/>
    <x v="7"/>
  </r>
  <r>
    <x v="346"/>
    <n v="645"/>
    <n v="2"/>
    <n v="138.35"/>
    <x v="3"/>
    <x v="2"/>
    <x v="3"/>
    <s v="311"/>
    <x v="5"/>
  </r>
  <r>
    <x v="347"/>
    <n v="587"/>
    <n v="3"/>
    <n v="441.87"/>
    <x v="2"/>
    <x v="2"/>
    <x v="2"/>
    <s v="415"/>
    <x v="0"/>
  </r>
  <r>
    <x v="348"/>
    <n v="630"/>
    <n v="4"/>
    <n v="178.29"/>
    <x v="3"/>
    <x v="0"/>
    <x v="1"/>
    <s v="322"/>
    <x v="5"/>
  </r>
  <r>
    <x v="349"/>
    <n v="552"/>
    <n v="10"/>
    <n v="77.08"/>
    <x v="4"/>
    <x v="1"/>
    <x v="3"/>
    <s v="551"/>
    <x v="2"/>
  </r>
  <r>
    <x v="350"/>
    <n v="658"/>
    <n v="11"/>
    <n v="266.89999999999998"/>
    <x v="3"/>
    <x v="1"/>
    <x v="4"/>
    <s v="353"/>
    <x v="4"/>
  </r>
  <r>
    <x v="351"/>
    <n v="716"/>
    <n v="4"/>
    <n v="269.83999999999997"/>
    <x v="1"/>
    <x v="0"/>
    <x v="4"/>
    <s v="223"/>
    <x v="7"/>
  </r>
  <r>
    <x v="352"/>
    <n v="779"/>
    <n v="8"/>
    <n v="334.22"/>
    <x v="0"/>
    <x v="4"/>
    <x v="0"/>
    <s v="144"/>
    <x v="3"/>
  </r>
  <r>
    <x v="353"/>
    <n v="733"/>
    <n v="8"/>
    <n v="474.56"/>
    <x v="1"/>
    <x v="4"/>
    <x v="2"/>
    <s v="245"/>
    <x v="3"/>
  </r>
  <r>
    <x v="354"/>
    <n v="598"/>
    <n v="4"/>
    <n v="360.91"/>
    <x v="2"/>
    <x v="0"/>
    <x v="0"/>
    <s v="424"/>
    <x v="0"/>
  </r>
  <r>
    <x v="355"/>
    <n v="727"/>
    <n v="6"/>
    <n v="373.49"/>
    <x v="1"/>
    <x v="3"/>
    <x v="0"/>
    <s v="234"/>
    <x v="0"/>
  </r>
  <r>
    <x v="356"/>
    <n v="511"/>
    <n v="5"/>
    <n v="462.3"/>
    <x v="4"/>
    <x v="0"/>
    <x v="2"/>
    <s v="525"/>
    <x v="0"/>
  </r>
  <r>
    <x v="357"/>
    <n v="495"/>
    <n v="8"/>
    <n v="332.67"/>
    <x v="4"/>
    <x v="4"/>
    <x v="0"/>
    <s v="544"/>
    <x v="6"/>
  </r>
  <r>
    <x v="358"/>
    <n v="695"/>
    <n v="9"/>
    <n v="235.39"/>
    <x v="1"/>
    <x v="4"/>
    <x v="4"/>
    <s v="243"/>
    <x v="1"/>
  </r>
  <r>
    <x v="359"/>
    <n v="634"/>
    <n v="7"/>
    <n v="269.77999999999997"/>
    <x v="3"/>
    <x v="3"/>
    <x v="4"/>
    <s v="333"/>
    <x v="4"/>
  </r>
  <r>
    <x v="360"/>
    <n v="712"/>
    <n v="2"/>
    <n v="498.33"/>
    <x v="1"/>
    <x v="2"/>
    <x v="2"/>
    <s v="215"/>
    <x v="0"/>
  </r>
  <r>
    <x v="361"/>
    <n v="692"/>
    <n v="7"/>
    <n v="182.94"/>
    <x v="3"/>
    <x v="3"/>
    <x v="1"/>
    <s v="332"/>
    <x v="4"/>
  </r>
  <r>
    <x v="362"/>
    <n v="665"/>
    <n v="7"/>
    <n v="121.7"/>
    <x v="3"/>
    <x v="3"/>
    <x v="3"/>
    <s v="331"/>
    <x v="4"/>
  </r>
  <r>
    <x v="363"/>
    <n v="828"/>
    <n v="4"/>
    <n v="489.27"/>
    <x v="0"/>
    <x v="0"/>
    <x v="2"/>
    <s v="125"/>
    <x v="0"/>
  </r>
  <r>
    <x v="364"/>
    <n v="768"/>
    <n v="6"/>
    <n v="303.93"/>
    <x v="0"/>
    <x v="3"/>
    <x v="4"/>
    <s v="133"/>
    <x v="1"/>
  </r>
  <r>
    <x v="365"/>
    <n v="661"/>
    <n v="11"/>
    <n v="302.74"/>
    <x v="3"/>
    <x v="1"/>
    <x v="4"/>
    <s v="353"/>
    <x v="4"/>
  </r>
  <r>
    <x v="366"/>
    <n v="720"/>
    <n v="11"/>
    <n v="157.21"/>
    <x v="1"/>
    <x v="1"/>
    <x v="1"/>
    <s v="252"/>
    <x v="1"/>
  </r>
  <r>
    <x v="367"/>
    <n v="675"/>
    <n v="2"/>
    <n v="159.44999999999999"/>
    <x v="3"/>
    <x v="2"/>
    <x v="1"/>
    <s v="312"/>
    <x v="5"/>
  </r>
  <r>
    <x v="368"/>
    <n v="624"/>
    <n v="2"/>
    <n v="312.93"/>
    <x v="2"/>
    <x v="2"/>
    <x v="4"/>
    <s v="413"/>
    <x v="4"/>
  </r>
  <r>
    <x v="369"/>
    <n v="713"/>
    <n v="4"/>
    <n v="65.680000000000007"/>
    <x v="1"/>
    <x v="0"/>
    <x v="3"/>
    <s v="221"/>
    <x v="7"/>
  </r>
  <r>
    <x v="370"/>
    <n v="521"/>
    <n v="5"/>
    <n v="61.86"/>
    <x v="4"/>
    <x v="0"/>
    <x v="3"/>
    <s v="521"/>
    <x v="5"/>
  </r>
  <r>
    <x v="371"/>
    <n v="794"/>
    <n v="6"/>
    <n v="343.77"/>
    <x v="0"/>
    <x v="3"/>
    <x v="0"/>
    <s v="134"/>
    <x v="0"/>
  </r>
  <r>
    <x v="372"/>
    <n v="623"/>
    <n v="2"/>
    <n v="107.21"/>
    <x v="2"/>
    <x v="2"/>
    <x v="3"/>
    <s v="411"/>
    <x v="5"/>
  </r>
  <r>
    <x v="373"/>
    <n v="617"/>
    <n v="12"/>
    <n v="148.97999999999999"/>
    <x v="2"/>
    <x v="1"/>
    <x v="1"/>
    <s v="452"/>
    <x v="2"/>
  </r>
  <r>
    <x v="374"/>
    <n v="491"/>
    <n v="4"/>
    <n v="490.41"/>
    <x v="4"/>
    <x v="0"/>
    <x v="2"/>
    <s v="525"/>
    <x v="0"/>
  </r>
  <r>
    <x v="375"/>
    <n v="775"/>
    <n v="4"/>
    <n v="461.34"/>
    <x v="0"/>
    <x v="0"/>
    <x v="2"/>
    <s v="125"/>
    <x v="0"/>
  </r>
  <r>
    <x v="376"/>
    <n v="699"/>
    <n v="7"/>
    <n v="338.89"/>
    <x v="1"/>
    <x v="3"/>
    <x v="0"/>
    <s v="234"/>
    <x v="0"/>
  </r>
  <r>
    <x v="377"/>
    <n v="758"/>
    <n v="3"/>
    <n v="222.63"/>
    <x v="1"/>
    <x v="2"/>
    <x v="1"/>
    <s v="212"/>
    <x v="7"/>
  </r>
  <r>
    <x v="378"/>
    <n v="575"/>
    <n v="2"/>
    <n v="71.95"/>
    <x v="2"/>
    <x v="2"/>
    <x v="3"/>
    <s v="411"/>
    <x v="5"/>
  </r>
  <r>
    <x v="379"/>
    <n v="748"/>
    <n v="9"/>
    <n v="264.52"/>
    <x v="1"/>
    <x v="4"/>
    <x v="4"/>
    <s v="243"/>
    <x v="1"/>
  </r>
  <r>
    <x v="380"/>
    <n v="811"/>
    <n v="9"/>
    <n v="414.8"/>
    <x v="0"/>
    <x v="4"/>
    <x v="2"/>
    <s v="145"/>
    <x v="3"/>
  </r>
  <r>
    <x v="381"/>
    <n v="692"/>
    <n v="12"/>
    <n v="50.79"/>
    <x v="3"/>
    <x v="1"/>
    <x v="3"/>
    <s v="351"/>
    <x v="4"/>
  </r>
  <r>
    <x v="382"/>
    <n v="608"/>
    <n v="10"/>
    <n v="264.3"/>
    <x v="2"/>
    <x v="1"/>
    <x v="4"/>
    <s v="453"/>
    <x v="2"/>
  </r>
  <r>
    <x v="383"/>
    <n v="795"/>
    <n v="12"/>
    <n v="122.46"/>
    <x v="0"/>
    <x v="1"/>
    <x v="3"/>
    <s v="151"/>
    <x v="1"/>
  </r>
  <r>
    <x v="384"/>
    <n v="646"/>
    <n v="8"/>
    <n v="238.01"/>
    <x v="3"/>
    <x v="4"/>
    <x v="4"/>
    <s v="343"/>
    <x v="4"/>
  </r>
  <r>
    <x v="385"/>
    <n v="733"/>
    <n v="4"/>
    <n v="490.34"/>
    <x v="1"/>
    <x v="0"/>
    <x v="2"/>
    <s v="225"/>
    <x v="0"/>
  </r>
  <r>
    <x v="386"/>
    <n v="507"/>
    <n v="4"/>
    <n v="245.98"/>
    <x v="4"/>
    <x v="0"/>
    <x v="4"/>
    <s v="523"/>
    <x v="4"/>
  </r>
  <r>
    <x v="387"/>
    <n v="539"/>
    <n v="9"/>
    <n v="390.83"/>
    <x v="4"/>
    <x v="4"/>
    <x v="0"/>
    <s v="544"/>
    <x v="6"/>
  </r>
  <r>
    <x v="388"/>
    <n v="647"/>
    <n v="6"/>
    <n v="158.84"/>
    <x v="3"/>
    <x v="3"/>
    <x v="1"/>
    <s v="332"/>
    <x v="4"/>
  </r>
  <r>
    <x v="389"/>
    <n v="633"/>
    <n v="8"/>
    <n v="439.24"/>
    <x v="3"/>
    <x v="4"/>
    <x v="2"/>
    <s v="345"/>
    <x v="3"/>
  </r>
  <r>
    <x v="390"/>
    <n v="501"/>
    <n v="12"/>
    <n v="92.43"/>
    <x v="4"/>
    <x v="1"/>
    <x v="3"/>
    <s v="551"/>
    <x v="2"/>
  </r>
  <r>
    <x v="391"/>
    <n v="616"/>
    <n v="9"/>
    <n v="333.15"/>
    <x v="2"/>
    <x v="4"/>
    <x v="0"/>
    <s v="444"/>
    <x v="6"/>
  </r>
  <r>
    <x v="392"/>
    <n v="839"/>
    <n v="9"/>
    <n v="64.22"/>
    <x v="0"/>
    <x v="4"/>
    <x v="3"/>
    <s v="141"/>
    <x v="1"/>
  </r>
  <r>
    <x v="393"/>
    <n v="532"/>
    <n v="3"/>
    <n v="290.52999999999997"/>
    <x v="4"/>
    <x v="2"/>
    <x v="4"/>
    <s v="513"/>
    <x v="4"/>
  </r>
  <r>
    <x v="394"/>
    <n v="654"/>
    <n v="6"/>
    <n v="251.8"/>
    <x v="3"/>
    <x v="3"/>
    <x v="4"/>
    <s v="333"/>
    <x v="4"/>
  </r>
  <r>
    <x v="395"/>
    <n v="720"/>
    <n v="3"/>
    <n v="480.52"/>
    <x v="1"/>
    <x v="2"/>
    <x v="2"/>
    <s v="215"/>
    <x v="0"/>
  </r>
  <r>
    <x v="396"/>
    <n v="794"/>
    <n v="10"/>
    <n v="461.71"/>
    <x v="0"/>
    <x v="1"/>
    <x v="2"/>
    <s v="155"/>
    <x v="3"/>
  </r>
  <r>
    <x v="397"/>
    <n v="761"/>
    <n v="12"/>
    <n v="288.33999999999997"/>
    <x v="1"/>
    <x v="1"/>
    <x v="4"/>
    <s v="253"/>
    <x v="1"/>
  </r>
  <r>
    <x v="398"/>
    <n v="540"/>
    <n v="3"/>
    <n v="194.08"/>
    <x v="4"/>
    <x v="2"/>
    <x v="1"/>
    <s v="512"/>
    <x v="5"/>
  </r>
  <r>
    <x v="399"/>
    <n v="716"/>
    <n v="11"/>
    <n v="198.45"/>
    <x v="1"/>
    <x v="1"/>
    <x v="1"/>
    <s v="252"/>
    <x v="1"/>
  </r>
  <r>
    <x v="400"/>
    <n v="536"/>
    <n v="5"/>
    <n v="216.45"/>
    <x v="4"/>
    <x v="0"/>
    <x v="1"/>
    <s v="522"/>
    <x v="5"/>
  </r>
  <r>
    <x v="401"/>
    <n v="804"/>
    <n v="5"/>
    <n v="358.72"/>
    <x v="0"/>
    <x v="0"/>
    <x v="0"/>
    <s v="124"/>
    <x v="0"/>
  </r>
  <r>
    <x v="402"/>
    <n v="641"/>
    <n v="9"/>
    <n v="367.56"/>
    <x v="3"/>
    <x v="4"/>
    <x v="0"/>
    <s v="344"/>
    <x v="3"/>
  </r>
  <r>
    <x v="403"/>
    <n v="835"/>
    <n v="10"/>
    <n v="88.78"/>
    <x v="0"/>
    <x v="1"/>
    <x v="3"/>
    <s v="151"/>
    <x v="1"/>
  </r>
  <r>
    <x v="404"/>
    <n v="746"/>
    <n v="10"/>
    <n v="465.85"/>
    <x v="1"/>
    <x v="1"/>
    <x v="2"/>
    <s v="255"/>
    <x v="3"/>
  </r>
  <r>
    <x v="405"/>
    <n v="782"/>
    <n v="3"/>
    <n v="262.61"/>
    <x v="0"/>
    <x v="2"/>
    <x v="4"/>
    <s v="113"/>
    <x v="7"/>
  </r>
  <r>
    <x v="406"/>
    <n v="539"/>
    <n v="8"/>
    <n v="91.24"/>
    <x v="4"/>
    <x v="4"/>
    <x v="3"/>
    <s v="541"/>
    <x v="2"/>
  </r>
  <r>
    <x v="407"/>
    <n v="668"/>
    <n v="5"/>
    <n v="425.69"/>
    <x v="3"/>
    <x v="0"/>
    <x v="2"/>
    <s v="325"/>
    <x v="0"/>
  </r>
  <r>
    <x v="408"/>
    <n v="683"/>
    <n v="9"/>
    <n v="446.11"/>
    <x v="3"/>
    <x v="4"/>
    <x v="2"/>
    <s v="345"/>
    <x v="3"/>
  </r>
  <r>
    <x v="409"/>
    <n v="482"/>
    <n v="8"/>
    <n v="490.11"/>
    <x v="4"/>
    <x v="4"/>
    <x v="2"/>
    <s v="545"/>
    <x v="6"/>
  </r>
  <r>
    <x v="410"/>
    <n v="522"/>
    <n v="6"/>
    <n v="403.57"/>
    <x v="4"/>
    <x v="3"/>
    <x v="0"/>
    <s v="534"/>
    <x v="2"/>
  </r>
  <r>
    <x v="411"/>
    <n v="488"/>
    <n v="10"/>
    <n v="442.15"/>
    <x v="4"/>
    <x v="1"/>
    <x v="2"/>
    <s v="555"/>
    <x v="6"/>
  </r>
  <r>
    <x v="412"/>
    <n v="740"/>
    <n v="5"/>
    <n v="78.709999999999994"/>
    <x v="1"/>
    <x v="0"/>
    <x v="3"/>
    <s v="221"/>
    <x v="7"/>
  </r>
  <r>
    <x v="413"/>
    <n v="500"/>
    <n v="2"/>
    <n v="491.51"/>
    <x v="4"/>
    <x v="2"/>
    <x v="2"/>
    <s v="515"/>
    <x v="0"/>
  </r>
  <r>
    <x v="414"/>
    <n v="538"/>
    <n v="12"/>
    <n v="457.39"/>
    <x v="4"/>
    <x v="1"/>
    <x v="2"/>
    <s v="555"/>
    <x v="6"/>
  </r>
  <r>
    <x v="415"/>
    <n v="649"/>
    <n v="12"/>
    <n v="178.61"/>
    <x v="3"/>
    <x v="1"/>
    <x v="1"/>
    <s v="352"/>
    <x v="4"/>
  </r>
  <r>
    <x v="416"/>
    <n v="811"/>
    <n v="7"/>
    <n v="492.51"/>
    <x v="0"/>
    <x v="3"/>
    <x v="2"/>
    <s v="135"/>
    <x v="0"/>
  </r>
  <r>
    <x v="417"/>
    <n v="616"/>
    <n v="3"/>
    <n v="411.4"/>
    <x v="2"/>
    <x v="2"/>
    <x v="0"/>
    <s v="414"/>
    <x v="0"/>
  </r>
  <r>
    <x v="418"/>
    <n v="764"/>
    <n v="11"/>
    <n v="96.52"/>
    <x v="0"/>
    <x v="1"/>
    <x v="3"/>
    <s v="151"/>
    <x v="1"/>
  </r>
  <r>
    <x v="419"/>
    <n v="576"/>
    <n v="6"/>
    <n v="65.45"/>
    <x v="2"/>
    <x v="3"/>
    <x v="3"/>
    <s v="431"/>
    <x v="2"/>
  </r>
  <r>
    <x v="420"/>
    <n v="756"/>
    <n v="3"/>
    <n v="255.86"/>
    <x v="1"/>
    <x v="2"/>
    <x v="4"/>
    <s v="213"/>
    <x v="7"/>
  </r>
  <r>
    <x v="421"/>
    <n v="524"/>
    <n v="10"/>
    <n v="74.69"/>
    <x v="4"/>
    <x v="1"/>
    <x v="3"/>
    <s v="551"/>
    <x v="2"/>
  </r>
  <r>
    <x v="422"/>
    <n v="744"/>
    <n v="8"/>
    <n v="430.75"/>
    <x v="1"/>
    <x v="4"/>
    <x v="2"/>
    <s v="245"/>
    <x v="3"/>
  </r>
  <r>
    <x v="423"/>
    <n v="513"/>
    <n v="2"/>
    <n v="370.17"/>
    <x v="4"/>
    <x v="2"/>
    <x v="0"/>
    <s v="514"/>
    <x v="0"/>
  </r>
  <r>
    <x v="424"/>
    <n v="648"/>
    <n v="6"/>
    <n v="384.26"/>
    <x v="3"/>
    <x v="3"/>
    <x v="0"/>
    <s v="334"/>
    <x v="0"/>
  </r>
  <r>
    <x v="425"/>
    <n v="733"/>
    <n v="2"/>
    <n v="128.01"/>
    <x v="1"/>
    <x v="2"/>
    <x v="3"/>
    <s v="211"/>
    <x v="7"/>
  </r>
  <r>
    <x v="426"/>
    <n v="583"/>
    <n v="4"/>
    <n v="301.39999999999998"/>
    <x v="2"/>
    <x v="0"/>
    <x v="4"/>
    <s v="423"/>
    <x v="4"/>
  </r>
  <r>
    <x v="427"/>
    <n v="620"/>
    <n v="6"/>
    <n v="397.25"/>
    <x v="2"/>
    <x v="3"/>
    <x v="0"/>
    <s v="434"/>
    <x v="2"/>
  </r>
  <r>
    <x v="428"/>
    <n v="715"/>
    <n v="3"/>
    <n v="96.18"/>
    <x v="1"/>
    <x v="2"/>
    <x v="3"/>
    <s v="211"/>
    <x v="7"/>
  </r>
  <r>
    <x v="429"/>
    <n v="795"/>
    <n v="4"/>
    <n v="390.44"/>
    <x v="0"/>
    <x v="0"/>
    <x v="0"/>
    <s v="124"/>
    <x v="0"/>
  </r>
  <r>
    <x v="430"/>
    <n v="815"/>
    <n v="11"/>
    <n v="61.5"/>
    <x v="0"/>
    <x v="1"/>
    <x v="3"/>
    <s v="151"/>
    <x v="1"/>
  </r>
  <r>
    <x v="431"/>
    <n v="697"/>
    <n v="6"/>
    <n v="234.44"/>
    <x v="1"/>
    <x v="3"/>
    <x v="4"/>
    <s v="233"/>
    <x v="1"/>
  </r>
  <r>
    <x v="432"/>
    <n v="730"/>
    <n v="6"/>
    <n v="318.83999999999997"/>
    <x v="1"/>
    <x v="3"/>
    <x v="4"/>
    <s v="233"/>
    <x v="1"/>
  </r>
  <r>
    <x v="433"/>
    <n v="680"/>
    <n v="6"/>
    <n v="327.32"/>
    <x v="3"/>
    <x v="3"/>
    <x v="0"/>
    <s v="334"/>
    <x v="0"/>
  </r>
  <r>
    <x v="434"/>
    <n v="795"/>
    <n v="3"/>
    <n v="475.64"/>
    <x v="0"/>
    <x v="2"/>
    <x v="2"/>
    <s v="115"/>
    <x v="0"/>
  </r>
  <r>
    <x v="435"/>
    <n v="732"/>
    <n v="9"/>
    <n v="68.59"/>
    <x v="1"/>
    <x v="4"/>
    <x v="3"/>
    <s v="241"/>
    <x v="1"/>
  </r>
  <r>
    <x v="436"/>
    <n v="652"/>
    <n v="12"/>
    <n v="133.04"/>
    <x v="3"/>
    <x v="1"/>
    <x v="3"/>
    <s v="351"/>
    <x v="4"/>
  </r>
  <r>
    <x v="437"/>
    <n v="491"/>
    <n v="9"/>
    <n v="196.63"/>
    <x v="4"/>
    <x v="4"/>
    <x v="1"/>
    <s v="542"/>
    <x v="2"/>
  </r>
  <r>
    <x v="438"/>
    <n v="631"/>
    <n v="12"/>
    <n v="473.96"/>
    <x v="3"/>
    <x v="1"/>
    <x v="2"/>
    <s v="355"/>
    <x v="3"/>
  </r>
  <r>
    <x v="439"/>
    <n v="817"/>
    <n v="8"/>
    <n v="472.52"/>
    <x v="0"/>
    <x v="4"/>
    <x v="2"/>
    <s v="145"/>
    <x v="3"/>
  </r>
  <r>
    <x v="440"/>
    <n v="800"/>
    <n v="9"/>
    <n v="335.8"/>
    <x v="0"/>
    <x v="4"/>
    <x v="0"/>
    <s v="144"/>
    <x v="3"/>
  </r>
  <r>
    <x v="441"/>
    <n v="597"/>
    <n v="12"/>
    <n v="85.57"/>
    <x v="2"/>
    <x v="1"/>
    <x v="3"/>
    <s v="451"/>
    <x v="2"/>
  </r>
  <r>
    <x v="442"/>
    <n v="643"/>
    <n v="11"/>
    <n v="108.5"/>
    <x v="3"/>
    <x v="1"/>
    <x v="3"/>
    <s v="351"/>
    <x v="4"/>
  </r>
  <r>
    <x v="443"/>
    <n v="640"/>
    <n v="8"/>
    <n v="172.5"/>
    <x v="3"/>
    <x v="4"/>
    <x v="1"/>
    <s v="342"/>
    <x v="4"/>
  </r>
  <r>
    <x v="444"/>
    <n v="703"/>
    <n v="6"/>
    <n v="212.8"/>
    <x v="1"/>
    <x v="3"/>
    <x v="1"/>
    <s v="232"/>
    <x v="1"/>
  </r>
  <r>
    <x v="445"/>
    <n v="721"/>
    <n v="7"/>
    <n v="324.41000000000003"/>
    <x v="1"/>
    <x v="3"/>
    <x v="0"/>
    <s v="234"/>
    <x v="0"/>
  </r>
  <r>
    <x v="446"/>
    <n v="837"/>
    <n v="8"/>
    <n v="342.39"/>
    <x v="0"/>
    <x v="4"/>
    <x v="0"/>
    <s v="144"/>
    <x v="3"/>
  </r>
  <r>
    <x v="447"/>
    <n v="529"/>
    <n v="9"/>
    <n v="446.86"/>
    <x v="4"/>
    <x v="4"/>
    <x v="2"/>
    <s v="545"/>
    <x v="6"/>
  </r>
  <r>
    <x v="448"/>
    <n v="725"/>
    <n v="3"/>
    <n v="463.15"/>
    <x v="1"/>
    <x v="2"/>
    <x v="2"/>
    <s v="215"/>
    <x v="0"/>
  </r>
  <r>
    <x v="449"/>
    <n v="564"/>
    <n v="12"/>
    <n v="122.99"/>
    <x v="2"/>
    <x v="1"/>
    <x v="3"/>
    <s v="451"/>
    <x v="2"/>
  </r>
  <r>
    <x v="450"/>
    <n v="621"/>
    <n v="7"/>
    <n v="322.39999999999998"/>
    <x v="2"/>
    <x v="3"/>
    <x v="4"/>
    <s v="433"/>
    <x v="2"/>
  </r>
  <r>
    <x v="451"/>
    <n v="739"/>
    <n v="5"/>
    <n v="73.19"/>
    <x v="1"/>
    <x v="0"/>
    <x v="3"/>
    <s v="221"/>
    <x v="7"/>
  </r>
  <r>
    <x v="452"/>
    <n v="725"/>
    <n v="10"/>
    <n v="279.08"/>
    <x v="1"/>
    <x v="1"/>
    <x v="4"/>
    <s v="253"/>
    <x v="1"/>
  </r>
  <r>
    <x v="453"/>
    <n v="722"/>
    <n v="10"/>
    <n v="478.85"/>
    <x v="1"/>
    <x v="1"/>
    <x v="2"/>
    <s v="255"/>
    <x v="3"/>
  </r>
  <r>
    <x v="454"/>
    <n v="588"/>
    <n v="5"/>
    <n v="86.39"/>
    <x v="2"/>
    <x v="0"/>
    <x v="3"/>
    <s v="421"/>
    <x v="5"/>
  </r>
  <r>
    <x v="455"/>
    <n v="712"/>
    <n v="11"/>
    <n v="192.35"/>
    <x v="1"/>
    <x v="1"/>
    <x v="1"/>
    <s v="252"/>
    <x v="1"/>
  </r>
  <r>
    <x v="456"/>
    <n v="680"/>
    <n v="7"/>
    <n v="235.32"/>
    <x v="3"/>
    <x v="3"/>
    <x v="4"/>
    <s v="333"/>
    <x v="4"/>
  </r>
  <r>
    <x v="457"/>
    <n v="601"/>
    <n v="8"/>
    <n v="212.63"/>
    <x v="2"/>
    <x v="4"/>
    <x v="1"/>
    <s v="442"/>
    <x v="2"/>
  </r>
  <r>
    <x v="458"/>
    <n v="749"/>
    <n v="8"/>
    <n v="246.63"/>
    <x v="1"/>
    <x v="4"/>
    <x v="4"/>
    <s v="243"/>
    <x v="1"/>
  </r>
  <r>
    <x v="459"/>
    <n v="599"/>
    <n v="9"/>
    <n v="228.47"/>
    <x v="2"/>
    <x v="4"/>
    <x v="4"/>
    <s v="443"/>
    <x v="2"/>
  </r>
  <r>
    <x v="460"/>
    <n v="579"/>
    <n v="6"/>
    <n v="343.77"/>
    <x v="2"/>
    <x v="3"/>
    <x v="0"/>
    <s v="434"/>
    <x v="2"/>
  </r>
  <r>
    <x v="461"/>
    <n v="592"/>
    <n v="9"/>
    <n v="339.32"/>
    <x v="2"/>
    <x v="4"/>
    <x v="0"/>
    <s v="444"/>
    <x v="6"/>
  </r>
  <r>
    <x v="462"/>
    <n v="622"/>
    <n v="9"/>
    <n v="327.05"/>
    <x v="2"/>
    <x v="4"/>
    <x v="0"/>
    <s v="444"/>
    <x v="6"/>
  </r>
  <r>
    <x v="463"/>
    <n v="671"/>
    <n v="2"/>
    <n v="334.45"/>
    <x v="3"/>
    <x v="2"/>
    <x v="0"/>
    <s v="314"/>
    <x v="0"/>
  </r>
  <r>
    <x v="464"/>
    <n v="602"/>
    <n v="12"/>
    <n v="366.16"/>
    <x v="2"/>
    <x v="1"/>
    <x v="0"/>
    <s v="454"/>
    <x v="6"/>
  </r>
  <r>
    <x v="465"/>
    <n v="726"/>
    <n v="8"/>
    <n v="481.78"/>
    <x v="1"/>
    <x v="4"/>
    <x v="2"/>
    <s v="245"/>
    <x v="3"/>
  </r>
  <r>
    <x v="466"/>
    <n v="620"/>
    <n v="8"/>
    <n v="131.47999999999999"/>
    <x v="2"/>
    <x v="4"/>
    <x v="3"/>
    <s v="441"/>
    <x v="2"/>
  </r>
  <r>
    <x v="467"/>
    <n v="592"/>
    <n v="11"/>
    <n v="402.86"/>
    <x v="2"/>
    <x v="1"/>
    <x v="0"/>
    <s v="454"/>
    <x v="6"/>
  </r>
  <r>
    <x v="468"/>
    <n v="734"/>
    <n v="6"/>
    <n v="333.18"/>
    <x v="1"/>
    <x v="3"/>
    <x v="0"/>
    <s v="234"/>
    <x v="0"/>
  </r>
  <r>
    <x v="469"/>
    <n v="642"/>
    <n v="8"/>
    <n v="73.23"/>
    <x v="3"/>
    <x v="4"/>
    <x v="3"/>
    <s v="341"/>
    <x v="4"/>
  </r>
  <r>
    <x v="470"/>
    <n v="763"/>
    <n v="11"/>
    <n v="450.47"/>
    <x v="0"/>
    <x v="1"/>
    <x v="2"/>
    <s v="155"/>
    <x v="3"/>
  </r>
  <r>
    <x v="471"/>
    <n v="641"/>
    <n v="5"/>
    <n v="175.74"/>
    <x v="3"/>
    <x v="0"/>
    <x v="1"/>
    <s v="322"/>
    <x v="5"/>
  </r>
  <r>
    <x v="472"/>
    <n v="689"/>
    <n v="4"/>
    <n v="182.6"/>
    <x v="3"/>
    <x v="0"/>
    <x v="1"/>
    <s v="322"/>
    <x v="5"/>
  </r>
  <r>
    <x v="473"/>
    <n v="820"/>
    <n v="2"/>
    <n v="497.8"/>
    <x v="0"/>
    <x v="2"/>
    <x v="2"/>
    <s v="115"/>
    <x v="0"/>
  </r>
  <r>
    <x v="474"/>
    <n v="674"/>
    <n v="4"/>
    <n v="171.17"/>
    <x v="3"/>
    <x v="0"/>
    <x v="1"/>
    <s v="322"/>
    <x v="5"/>
  </r>
  <r>
    <x v="475"/>
    <n v="731"/>
    <n v="3"/>
    <n v="425.82"/>
    <x v="1"/>
    <x v="2"/>
    <x v="2"/>
    <s v="215"/>
    <x v="0"/>
  </r>
  <r>
    <x v="476"/>
    <n v="585"/>
    <n v="10"/>
    <n v="210.58"/>
    <x v="2"/>
    <x v="1"/>
    <x v="1"/>
    <s v="452"/>
    <x v="2"/>
  </r>
  <r>
    <x v="477"/>
    <n v="593"/>
    <n v="11"/>
    <n v="199.64"/>
    <x v="2"/>
    <x v="1"/>
    <x v="1"/>
    <s v="452"/>
    <x v="2"/>
  </r>
  <r>
    <x v="478"/>
    <n v="722"/>
    <n v="10"/>
    <n v="162.22"/>
    <x v="1"/>
    <x v="1"/>
    <x v="1"/>
    <s v="252"/>
    <x v="1"/>
  </r>
  <r>
    <x v="479"/>
    <n v="498"/>
    <n v="8"/>
    <n v="401.75"/>
    <x v="4"/>
    <x v="4"/>
    <x v="0"/>
    <s v="544"/>
    <x v="6"/>
  </r>
  <r>
    <x v="480"/>
    <n v="531"/>
    <n v="12"/>
    <n v="365.88"/>
    <x v="4"/>
    <x v="1"/>
    <x v="0"/>
    <s v="554"/>
    <x v="6"/>
  </r>
  <r>
    <x v="481"/>
    <n v="797"/>
    <n v="6"/>
    <n v="58.29"/>
    <x v="0"/>
    <x v="3"/>
    <x v="3"/>
    <s v="131"/>
    <x v="1"/>
  </r>
  <r>
    <x v="482"/>
    <n v="816"/>
    <n v="3"/>
    <n v="66.86"/>
    <x v="0"/>
    <x v="2"/>
    <x v="3"/>
    <s v="111"/>
    <x v="7"/>
  </r>
  <r>
    <x v="483"/>
    <n v="606"/>
    <n v="5"/>
    <n v="279.33999999999997"/>
    <x v="2"/>
    <x v="0"/>
    <x v="4"/>
    <s v="423"/>
    <x v="4"/>
  </r>
  <r>
    <x v="484"/>
    <n v="522"/>
    <n v="3"/>
    <n v="358.5"/>
    <x v="4"/>
    <x v="2"/>
    <x v="0"/>
    <s v="514"/>
    <x v="0"/>
  </r>
  <r>
    <x v="485"/>
    <n v="526"/>
    <n v="7"/>
    <n v="360.92"/>
    <x v="4"/>
    <x v="3"/>
    <x v="0"/>
    <s v="534"/>
    <x v="2"/>
  </r>
  <r>
    <x v="486"/>
    <n v="564"/>
    <n v="4"/>
    <n v="374.36"/>
    <x v="2"/>
    <x v="0"/>
    <x v="0"/>
    <s v="424"/>
    <x v="0"/>
  </r>
  <r>
    <x v="487"/>
    <n v="598"/>
    <n v="11"/>
    <n v="435.37"/>
    <x v="2"/>
    <x v="1"/>
    <x v="2"/>
    <s v="455"/>
    <x v="6"/>
  </r>
  <r>
    <x v="488"/>
    <n v="558"/>
    <n v="9"/>
    <n v="459.3"/>
    <x v="4"/>
    <x v="4"/>
    <x v="2"/>
    <s v="545"/>
    <x v="6"/>
  </r>
  <r>
    <x v="489"/>
    <n v="534"/>
    <n v="2"/>
    <n v="426.89"/>
    <x v="4"/>
    <x v="2"/>
    <x v="2"/>
    <s v="515"/>
    <x v="0"/>
  </r>
  <r>
    <x v="490"/>
    <n v="657"/>
    <n v="6"/>
    <n v="365.37"/>
    <x v="3"/>
    <x v="3"/>
    <x v="0"/>
    <s v="334"/>
    <x v="0"/>
  </r>
  <r>
    <x v="491"/>
    <n v="559"/>
    <n v="4"/>
    <n v="487.25"/>
    <x v="2"/>
    <x v="0"/>
    <x v="2"/>
    <s v="425"/>
    <x v="0"/>
  </r>
  <r>
    <x v="492"/>
    <n v="685"/>
    <n v="10"/>
    <n v="187.22"/>
    <x v="3"/>
    <x v="1"/>
    <x v="1"/>
    <s v="352"/>
    <x v="4"/>
  </r>
  <r>
    <x v="493"/>
    <n v="615"/>
    <n v="7"/>
    <n v="396.82"/>
    <x v="2"/>
    <x v="3"/>
    <x v="0"/>
    <s v="434"/>
    <x v="2"/>
  </r>
  <r>
    <x v="494"/>
    <n v="754"/>
    <n v="10"/>
    <n v="246.74"/>
    <x v="1"/>
    <x v="1"/>
    <x v="4"/>
    <s v="253"/>
    <x v="1"/>
  </r>
  <r>
    <x v="495"/>
    <n v="835"/>
    <n v="12"/>
    <n v="128.74"/>
    <x v="0"/>
    <x v="1"/>
    <x v="3"/>
    <s v="151"/>
    <x v="1"/>
  </r>
  <r>
    <x v="496"/>
    <n v="602"/>
    <n v="2"/>
    <n v="339.63"/>
    <x v="2"/>
    <x v="2"/>
    <x v="0"/>
    <s v="414"/>
    <x v="0"/>
  </r>
  <r>
    <x v="497"/>
    <n v="700"/>
    <n v="11"/>
    <n v="223.58"/>
    <x v="1"/>
    <x v="1"/>
    <x v="1"/>
    <s v="252"/>
    <x v="1"/>
  </r>
  <r>
    <x v="498"/>
    <n v="640"/>
    <n v="5"/>
    <n v="446.92"/>
    <x v="3"/>
    <x v="0"/>
    <x v="2"/>
    <s v="325"/>
    <x v="0"/>
  </r>
  <r>
    <x v="499"/>
    <n v="498"/>
    <n v="11"/>
    <n v="175.65"/>
    <x v="4"/>
    <x v="1"/>
    <x v="1"/>
    <s v="552"/>
    <x v="2"/>
  </r>
  <r>
    <x v="500"/>
    <n v="692"/>
    <n v="10"/>
    <n v="491.49"/>
    <x v="3"/>
    <x v="1"/>
    <x v="2"/>
    <s v="355"/>
    <x v="3"/>
  </r>
  <r>
    <x v="501"/>
    <n v="694"/>
    <n v="5"/>
    <n v="88.4"/>
    <x v="1"/>
    <x v="0"/>
    <x v="3"/>
    <s v="221"/>
    <x v="7"/>
  </r>
  <r>
    <x v="502"/>
    <n v="683"/>
    <n v="8"/>
    <n v="430.9"/>
    <x v="3"/>
    <x v="4"/>
    <x v="2"/>
    <s v="345"/>
    <x v="3"/>
  </r>
  <r>
    <x v="503"/>
    <n v="783"/>
    <n v="2"/>
    <n v="435.23"/>
    <x v="0"/>
    <x v="2"/>
    <x v="2"/>
    <s v="115"/>
    <x v="0"/>
  </r>
  <r>
    <x v="504"/>
    <n v="642"/>
    <n v="3"/>
    <n v="218.65"/>
    <x v="3"/>
    <x v="2"/>
    <x v="1"/>
    <s v="312"/>
    <x v="5"/>
  </r>
  <r>
    <x v="505"/>
    <n v="651"/>
    <n v="10"/>
    <n v="207.66"/>
    <x v="3"/>
    <x v="1"/>
    <x v="1"/>
    <s v="352"/>
    <x v="4"/>
  </r>
  <r>
    <x v="506"/>
    <n v="670"/>
    <n v="7"/>
    <n v="141.09"/>
    <x v="3"/>
    <x v="3"/>
    <x v="1"/>
    <s v="332"/>
    <x v="4"/>
  </r>
  <r>
    <x v="507"/>
    <n v="703"/>
    <n v="6"/>
    <n v="142.69999999999999"/>
    <x v="1"/>
    <x v="3"/>
    <x v="1"/>
    <s v="232"/>
    <x v="1"/>
  </r>
  <r>
    <x v="508"/>
    <n v="547"/>
    <n v="10"/>
    <n v="64.09"/>
    <x v="4"/>
    <x v="1"/>
    <x v="3"/>
    <s v="551"/>
    <x v="2"/>
  </r>
  <r>
    <x v="509"/>
    <n v="578"/>
    <n v="2"/>
    <n v="126.26"/>
    <x v="2"/>
    <x v="2"/>
    <x v="3"/>
    <s v="411"/>
    <x v="5"/>
  </r>
  <r>
    <x v="510"/>
    <n v="699"/>
    <n v="5"/>
    <n v="195.05"/>
    <x v="1"/>
    <x v="0"/>
    <x v="1"/>
    <s v="222"/>
    <x v="7"/>
  </r>
  <r>
    <x v="511"/>
    <n v="805"/>
    <n v="7"/>
    <n v="432.84"/>
    <x v="0"/>
    <x v="3"/>
    <x v="2"/>
    <s v="135"/>
    <x v="0"/>
  </r>
  <r>
    <x v="512"/>
    <n v="781"/>
    <n v="6"/>
    <n v="404.12"/>
    <x v="0"/>
    <x v="3"/>
    <x v="0"/>
    <s v="134"/>
    <x v="0"/>
  </r>
  <r>
    <x v="513"/>
    <n v="655"/>
    <n v="10"/>
    <n v="438.26"/>
    <x v="3"/>
    <x v="1"/>
    <x v="2"/>
    <s v="355"/>
    <x v="3"/>
  </r>
  <r>
    <x v="514"/>
    <n v="538"/>
    <n v="4"/>
    <n v="233.02"/>
    <x v="4"/>
    <x v="0"/>
    <x v="4"/>
    <s v="523"/>
    <x v="4"/>
  </r>
  <r>
    <x v="515"/>
    <n v="550"/>
    <n v="7"/>
    <n v="273.41000000000003"/>
    <x v="4"/>
    <x v="3"/>
    <x v="4"/>
    <s v="533"/>
    <x v="2"/>
  </r>
  <r>
    <x v="516"/>
    <n v="532"/>
    <n v="10"/>
    <n v="338.96"/>
    <x v="4"/>
    <x v="1"/>
    <x v="0"/>
    <s v="554"/>
    <x v="6"/>
  </r>
  <r>
    <x v="517"/>
    <n v="515"/>
    <n v="12"/>
    <n v="75.91"/>
    <x v="4"/>
    <x v="1"/>
    <x v="3"/>
    <s v="551"/>
    <x v="2"/>
  </r>
  <r>
    <x v="518"/>
    <n v="756"/>
    <n v="12"/>
    <n v="425.21"/>
    <x v="1"/>
    <x v="1"/>
    <x v="2"/>
    <s v="255"/>
    <x v="3"/>
  </r>
  <r>
    <x v="519"/>
    <n v="730"/>
    <n v="2"/>
    <n v="268.8"/>
    <x v="1"/>
    <x v="2"/>
    <x v="4"/>
    <s v="213"/>
    <x v="7"/>
  </r>
  <r>
    <x v="520"/>
    <n v="736"/>
    <n v="10"/>
    <n v="170.71"/>
    <x v="1"/>
    <x v="1"/>
    <x v="1"/>
    <s v="252"/>
    <x v="1"/>
  </r>
  <r>
    <x v="521"/>
    <n v="685"/>
    <n v="10"/>
    <n v="444.05"/>
    <x v="3"/>
    <x v="1"/>
    <x v="2"/>
    <s v="355"/>
    <x v="3"/>
  </r>
  <r>
    <x v="522"/>
    <n v="813"/>
    <n v="5"/>
    <n v="255.1"/>
    <x v="0"/>
    <x v="0"/>
    <x v="4"/>
    <s v="123"/>
    <x v="7"/>
  </r>
  <r>
    <x v="523"/>
    <n v="705"/>
    <n v="6"/>
    <n v="236.44"/>
    <x v="1"/>
    <x v="3"/>
    <x v="4"/>
    <s v="233"/>
    <x v="1"/>
  </r>
  <r>
    <x v="524"/>
    <n v="640"/>
    <n v="11"/>
    <n v="201.69"/>
    <x v="3"/>
    <x v="1"/>
    <x v="1"/>
    <s v="352"/>
    <x v="4"/>
  </r>
  <r>
    <x v="525"/>
    <n v="735"/>
    <n v="6"/>
    <n v="390.51"/>
    <x v="1"/>
    <x v="3"/>
    <x v="0"/>
    <s v="234"/>
    <x v="0"/>
  </r>
  <r>
    <x v="526"/>
    <n v="586"/>
    <n v="9"/>
    <n v="442.29"/>
    <x v="2"/>
    <x v="4"/>
    <x v="2"/>
    <s v="445"/>
    <x v="6"/>
  </r>
  <r>
    <x v="527"/>
    <n v="771"/>
    <n v="7"/>
    <n v="89.6"/>
    <x v="0"/>
    <x v="3"/>
    <x v="3"/>
    <s v="131"/>
    <x v="1"/>
  </r>
  <r>
    <x v="528"/>
    <n v="827"/>
    <n v="6"/>
    <n v="166.74"/>
    <x v="0"/>
    <x v="3"/>
    <x v="1"/>
    <s v="132"/>
    <x v="1"/>
  </r>
  <r>
    <x v="529"/>
    <n v="691"/>
    <n v="12"/>
    <n v="299.27999999999997"/>
    <x v="3"/>
    <x v="1"/>
    <x v="4"/>
    <s v="353"/>
    <x v="4"/>
  </r>
  <r>
    <x v="530"/>
    <n v="597"/>
    <n v="5"/>
    <n v="404.57"/>
    <x v="2"/>
    <x v="0"/>
    <x v="0"/>
    <s v="424"/>
    <x v="0"/>
  </r>
  <r>
    <x v="531"/>
    <n v="483"/>
    <n v="10"/>
    <n v="344.81"/>
    <x v="4"/>
    <x v="1"/>
    <x v="0"/>
    <s v="554"/>
    <x v="6"/>
  </r>
  <r>
    <x v="532"/>
    <n v="825"/>
    <n v="10"/>
    <n v="217.84"/>
    <x v="0"/>
    <x v="1"/>
    <x v="1"/>
    <s v="152"/>
    <x v="1"/>
  </r>
  <r>
    <x v="533"/>
    <n v="777"/>
    <n v="9"/>
    <n v="445.34"/>
    <x v="0"/>
    <x v="4"/>
    <x v="2"/>
    <s v="145"/>
    <x v="3"/>
  </r>
  <r>
    <x v="534"/>
    <n v="573"/>
    <n v="3"/>
    <n v="151.72999999999999"/>
    <x v="2"/>
    <x v="2"/>
    <x v="1"/>
    <s v="412"/>
    <x v="5"/>
  </r>
  <r>
    <x v="535"/>
    <n v="560"/>
    <n v="9"/>
    <n v="123.73"/>
    <x v="2"/>
    <x v="4"/>
    <x v="3"/>
    <s v="441"/>
    <x v="2"/>
  </r>
  <r>
    <x v="536"/>
    <n v="756"/>
    <n v="2"/>
    <n v="370.54"/>
    <x v="1"/>
    <x v="2"/>
    <x v="0"/>
    <s v="214"/>
    <x v="0"/>
  </r>
  <r>
    <x v="537"/>
    <n v="608"/>
    <n v="3"/>
    <n v="152.87"/>
    <x v="2"/>
    <x v="2"/>
    <x v="1"/>
    <s v="412"/>
    <x v="5"/>
  </r>
  <r>
    <x v="538"/>
    <n v="499"/>
    <n v="4"/>
    <n v="295.75"/>
    <x v="4"/>
    <x v="0"/>
    <x v="4"/>
    <s v="523"/>
    <x v="4"/>
  </r>
  <r>
    <x v="539"/>
    <n v="594"/>
    <n v="11"/>
    <n v="358.11"/>
    <x v="2"/>
    <x v="1"/>
    <x v="0"/>
    <s v="454"/>
    <x v="6"/>
  </r>
  <r>
    <x v="540"/>
    <n v="801"/>
    <n v="12"/>
    <n v="63.6"/>
    <x v="0"/>
    <x v="1"/>
    <x v="3"/>
    <s v="151"/>
    <x v="1"/>
  </r>
  <r>
    <x v="541"/>
    <n v="754"/>
    <n v="3"/>
    <n v="419.53"/>
    <x v="1"/>
    <x v="2"/>
    <x v="2"/>
    <s v="215"/>
    <x v="0"/>
  </r>
  <r>
    <x v="542"/>
    <n v="477"/>
    <n v="10"/>
    <n v="491.92"/>
    <x v="4"/>
    <x v="1"/>
    <x v="2"/>
    <s v="555"/>
    <x v="6"/>
  </r>
  <r>
    <x v="543"/>
    <n v="547"/>
    <n v="4"/>
    <n v="114.44"/>
    <x v="4"/>
    <x v="0"/>
    <x v="3"/>
    <s v="521"/>
    <x v="5"/>
  </r>
  <r>
    <x v="544"/>
    <n v="594"/>
    <n v="10"/>
    <n v="388.82"/>
    <x v="2"/>
    <x v="1"/>
    <x v="0"/>
    <s v="454"/>
    <x v="6"/>
  </r>
  <r>
    <x v="545"/>
    <n v="768"/>
    <n v="7"/>
    <n v="58.32"/>
    <x v="0"/>
    <x v="3"/>
    <x v="3"/>
    <s v="131"/>
    <x v="1"/>
  </r>
  <r>
    <x v="546"/>
    <n v="806"/>
    <n v="2"/>
    <n v="464.76"/>
    <x v="0"/>
    <x v="2"/>
    <x v="2"/>
    <s v="115"/>
    <x v="0"/>
  </r>
  <r>
    <x v="547"/>
    <n v="750"/>
    <n v="7"/>
    <n v="116.92"/>
    <x v="1"/>
    <x v="3"/>
    <x v="3"/>
    <s v="231"/>
    <x v="1"/>
  </r>
  <r>
    <x v="548"/>
    <n v="642"/>
    <n v="8"/>
    <n v="396.76"/>
    <x v="3"/>
    <x v="4"/>
    <x v="0"/>
    <s v="344"/>
    <x v="3"/>
  </r>
  <r>
    <x v="549"/>
    <n v="673"/>
    <n v="7"/>
    <n v="393.35"/>
    <x v="3"/>
    <x v="3"/>
    <x v="0"/>
    <s v="334"/>
    <x v="0"/>
  </r>
  <r>
    <x v="550"/>
    <n v="737"/>
    <n v="7"/>
    <n v="114.03"/>
    <x v="1"/>
    <x v="3"/>
    <x v="3"/>
    <s v="231"/>
    <x v="1"/>
  </r>
  <r>
    <x v="551"/>
    <n v="616"/>
    <n v="4"/>
    <n v="109.97"/>
    <x v="2"/>
    <x v="0"/>
    <x v="3"/>
    <s v="421"/>
    <x v="5"/>
  </r>
  <r>
    <x v="552"/>
    <n v="489"/>
    <n v="12"/>
    <n v="310.23"/>
    <x v="4"/>
    <x v="1"/>
    <x v="4"/>
    <s v="553"/>
    <x v="2"/>
  </r>
  <r>
    <x v="553"/>
    <n v="572"/>
    <n v="3"/>
    <n v="383.13"/>
    <x v="2"/>
    <x v="2"/>
    <x v="0"/>
    <s v="414"/>
    <x v="0"/>
  </r>
  <r>
    <x v="554"/>
    <n v="665"/>
    <n v="11"/>
    <n v="434.86"/>
    <x v="3"/>
    <x v="1"/>
    <x v="2"/>
    <s v="355"/>
    <x v="3"/>
  </r>
  <r>
    <x v="555"/>
    <n v="518"/>
    <n v="9"/>
    <n v="489.1"/>
    <x v="4"/>
    <x v="4"/>
    <x v="2"/>
    <s v="545"/>
    <x v="6"/>
  </r>
  <r>
    <x v="556"/>
    <n v="622"/>
    <n v="3"/>
    <n v="288.14999999999998"/>
    <x v="2"/>
    <x v="2"/>
    <x v="4"/>
    <s v="413"/>
    <x v="4"/>
  </r>
  <r>
    <x v="557"/>
    <n v="582"/>
    <n v="12"/>
    <n v="105.87"/>
    <x v="2"/>
    <x v="1"/>
    <x v="3"/>
    <s v="451"/>
    <x v="2"/>
  </r>
  <r>
    <x v="558"/>
    <n v="651"/>
    <n v="3"/>
    <n v="163.4"/>
    <x v="3"/>
    <x v="2"/>
    <x v="1"/>
    <s v="312"/>
    <x v="5"/>
  </r>
  <r>
    <x v="559"/>
    <n v="550"/>
    <n v="6"/>
    <n v="422.92"/>
    <x v="4"/>
    <x v="3"/>
    <x v="2"/>
    <s v="535"/>
    <x v="2"/>
  </r>
  <r>
    <x v="560"/>
    <n v="673"/>
    <n v="10"/>
    <n v="361.48"/>
    <x v="3"/>
    <x v="1"/>
    <x v="0"/>
    <s v="354"/>
    <x v="3"/>
  </r>
  <r>
    <x v="561"/>
    <n v="537"/>
    <n v="2"/>
    <n v="270.82"/>
    <x v="4"/>
    <x v="2"/>
    <x v="4"/>
    <s v="513"/>
    <x v="4"/>
  </r>
  <r>
    <x v="562"/>
    <n v="615"/>
    <n v="11"/>
    <n v="372.26"/>
    <x v="2"/>
    <x v="1"/>
    <x v="0"/>
    <s v="454"/>
    <x v="6"/>
  </r>
  <r>
    <x v="563"/>
    <n v="594"/>
    <n v="3"/>
    <n v="208.59"/>
    <x v="2"/>
    <x v="2"/>
    <x v="1"/>
    <s v="412"/>
    <x v="5"/>
  </r>
  <r>
    <x v="564"/>
    <n v="658"/>
    <n v="8"/>
    <n v="163.22"/>
    <x v="3"/>
    <x v="4"/>
    <x v="1"/>
    <s v="342"/>
    <x v="4"/>
  </r>
  <r>
    <x v="565"/>
    <n v="709"/>
    <n v="7"/>
    <n v="364.98"/>
    <x v="1"/>
    <x v="3"/>
    <x v="0"/>
    <s v="234"/>
    <x v="0"/>
  </r>
  <r>
    <x v="566"/>
    <n v="569"/>
    <n v="3"/>
    <n v="142.43"/>
    <x v="2"/>
    <x v="2"/>
    <x v="1"/>
    <s v="412"/>
    <x v="5"/>
  </r>
  <r>
    <x v="567"/>
    <n v="792"/>
    <n v="3"/>
    <n v="449.72"/>
    <x v="0"/>
    <x v="2"/>
    <x v="2"/>
    <s v="115"/>
    <x v="0"/>
  </r>
  <r>
    <x v="568"/>
    <n v="508"/>
    <n v="12"/>
    <n v="241.56"/>
    <x v="4"/>
    <x v="1"/>
    <x v="4"/>
    <s v="553"/>
    <x v="2"/>
  </r>
  <r>
    <x v="569"/>
    <n v="521"/>
    <n v="5"/>
    <n v="249.73"/>
    <x v="4"/>
    <x v="0"/>
    <x v="4"/>
    <s v="523"/>
    <x v="4"/>
  </r>
  <r>
    <x v="570"/>
    <n v="635"/>
    <n v="7"/>
    <n v="437.3"/>
    <x v="3"/>
    <x v="3"/>
    <x v="2"/>
    <s v="335"/>
    <x v="0"/>
  </r>
  <r>
    <x v="571"/>
    <n v="814"/>
    <n v="4"/>
    <n v="277.29000000000002"/>
    <x v="0"/>
    <x v="0"/>
    <x v="4"/>
    <s v="123"/>
    <x v="7"/>
  </r>
  <r>
    <x v="572"/>
    <n v="705"/>
    <n v="6"/>
    <n v="445.93"/>
    <x v="1"/>
    <x v="3"/>
    <x v="2"/>
    <s v="235"/>
    <x v="0"/>
  </r>
  <r>
    <x v="573"/>
    <n v="821"/>
    <n v="6"/>
    <n v="242.79"/>
    <x v="0"/>
    <x v="3"/>
    <x v="4"/>
    <s v="133"/>
    <x v="1"/>
  </r>
  <r>
    <x v="574"/>
    <n v="739"/>
    <n v="8"/>
    <n v="393.09"/>
    <x v="1"/>
    <x v="4"/>
    <x v="0"/>
    <s v="244"/>
    <x v="3"/>
  </r>
  <r>
    <x v="575"/>
    <n v="526"/>
    <n v="2"/>
    <n v="167.61"/>
    <x v="4"/>
    <x v="2"/>
    <x v="1"/>
    <s v="512"/>
    <x v="5"/>
  </r>
  <r>
    <x v="576"/>
    <n v="732"/>
    <n v="2"/>
    <n v="324.22000000000003"/>
    <x v="1"/>
    <x v="2"/>
    <x v="0"/>
    <s v="214"/>
    <x v="0"/>
  </r>
  <r>
    <x v="577"/>
    <n v="726"/>
    <n v="11"/>
    <n v="159.30000000000001"/>
    <x v="1"/>
    <x v="1"/>
    <x v="1"/>
    <s v="252"/>
    <x v="1"/>
  </r>
  <r>
    <x v="578"/>
    <n v="517"/>
    <n v="5"/>
    <n v="324.39"/>
    <x v="4"/>
    <x v="0"/>
    <x v="0"/>
    <s v="524"/>
    <x v="0"/>
  </r>
  <r>
    <x v="579"/>
    <n v="829"/>
    <n v="2"/>
    <n v="198.89"/>
    <x v="0"/>
    <x v="2"/>
    <x v="1"/>
    <s v="112"/>
    <x v="7"/>
  </r>
  <r>
    <x v="580"/>
    <n v="770"/>
    <n v="7"/>
    <n v="287.18"/>
    <x v="0"/>
    <x v="3"/>
    <x v="4"/>
    <s v="133"/>
    <x v="1"/>
  </r>
  <r>
    <x v="581"/>
    <n v="556"/>
    <n v="7"/>
    <n v="162.24"/>
    <x v="4"/>
    <x v="3"/>
    <x v="1"/>
    <s v="532"/>
    <x v="2"/>
  </r>
  <r>
    <x v="582"/>
    <n v="491"/>
    <n v="6"/>
    <n v="92.97"/>
    <x v="4"/>
    <x v="3"/>
    <x v="3"/>
    <s v="531"/>
    <x v="2"/>
  </r>
  <r>
    <x v="583"/>
    <n v="678"/>
    <n v="12"/>
    <n v="144.38999999999999"/>
    <x v="3"/>
    <x v="1"/>
    <x v="1"/>
    <s v="352"/>
    <x v="4"/>
  </r>
  <r>
    <x v="584"/>
    <n v="712"/>
    <n v="12"/>
    <n v="253.37"/>
    <x v="1"/>
    <x v="1"/>
    <x v="4"/>
    <s v="253"/>
    <x v="1"/>
  </r>
  <r>
    <x v="585"/>
    <n v="555"/>
    <n v="12"/>
    <n v="209.62"/>
    <x v="4"/>
    <x v="1"/>
    <x v="1"/>
    <s v="552"/>
    <x v="2"/>
  </r>
  <r>
    <x v="586"/>
    <n v="562"/>
    <n v="6"/>
    <n v="411.62"/>
    <x v="2"/>
    <x v="3"/>
    <x v="0"/>
    <s v="434"/>
    <x v="2"/>
  </r>
  <r>
    <x v="587"/>
    <n v="517"/>
    <n v="2"/>
    <n v="388.01"/>
    <x v="4"/>
    <x v="2"/>
    <x v="0"/>
    <s v="514"/>
    <x v="0"/>
  </r>
  <r>
    <x v="588"/>
    <n v="829"/>
    <n v="6"/>
    <n v="50.78"/>
    <x v="0"/>
    <x v="3"/>
    <x v="3"/>
    <s v="131"/>
    <x v="1"/>
  </r>
  <r>
    <x v="589"/>
    <n v="497"/>
    <n v="2"/>
    <n v="159.82"/>
    <x v="4"/>
    <x v="2"/>
    <x v="1"/>
    <s v="512"/>
    <x v="5"/>
  </r>
  <r>
    <x v="590"/>
    <n v="826"/>
    <n v="3"/>
    <n v="79.430000000000007"/>
    <x v="0"/>
    <x v="2"/>
    <x v="3"/>
    <s v="111"/>
    <x v="7"/>
  </r>
  <r>
    <x v="591"/>
    <n v="515"/>
    <n v="4"/>
    <n v="131.36000000000001"/>
    <x v="4"/>
    <x v="0"/>
    <x v="3"/>
    <s v="521"/>
    <x v="5"/>
  </r>
  <r>
    <x v="592"/>
    <n v="654"/>
    <n v="12"/>
    <n v="299.75"/>
    <x v="3"/>
    <x v="1"/>
    <x v="4"/>
    <s v="353"/>
    <x v="4"/>
  </r>
  <r>
    <x v="593"/>
    <n v="521"/>
    <n v="9"/>
    <n v="319.38"/>
    <x v="4"/>
    <x v="4"/>
    <x v="4"/>
    <s v="543"/>
    <x v="2"/>
  </r>
  <r>
    <x v="594"/>
    <n v="653"/>
    <n v="8"/>
    <n v="476.48"/>
    <x v="3"/>
    <x v="4"/>
    <x v="2"/>
    <s v="345"/>
    <x v="3"/>
  </r>
  <r>
    <x v="595"/>
    <n v="605"/>
    <n v="9"/>
    <n v="301.01"/>
    <x v="2"/>
    <x v="4"/>
    <x v="4"/>
    <s v="443"/>
    <x v="2"/>
  </r>
  <r>
    <x v="596"/>
    <n v="598"/>
    <n v="5"/>
    <n v="378.71"/>
    <x v="2"/>
    <x v="0"/>
    <x v="0"/>
    <s v="424"/>
    <x v="0"/>
  </r>
  <r>
    <x v="597"/>
    <n v="765"/>
    <n v="6"/>
    <n v="314.32"/>
    <x v="0"/>
    <x v="3"/>
    <x v="4"/>
    <s v="133"/>
    <x v="1"/>
  </r>
  <r>
    <x v="598"/>
    <n v="611"/>
    <n v="12"/>
    <n v="210.9"/>
    <x v="2"/>
    <x v="1"/>
    <x v="1"/>
    <s v="452"/>
    <x v="2"/>
  </r>
  <r>
    <x v="599"/>
    <n v="783"/>
    <n v="4"/>
    <n v="218.26"/>
    <x v="0"/>
    <x v="0"/>
    <x v="1"/>
    <s v="122"/>
    <x v="7"/>
  </r>
  <r>
    <x v="600"/>
    <n v="796"/>
    <n v="5"/>
    <n v="424.18"/>
    <x v="0"/>
    <x v="0"/>
    <x v="2"/>
    <s v="125"/>
    <x v="0"/>
  </r>
  <r>
    <x v="601"/>
    <n v="665"/>
    <n v="11"/>
    <n v="430.75"/>
    <x v="3"/>
    <x v="1"/>
    <x v="2"/>
    <s v="355"/>
    <x v="3"/>
  </r>
  <r>
    <x v="602"/>
    <n v="638"/>
    <n v="11"/>
    <n v="162.94999999999999"/>
    <x v="3"/>
    <x v="1"/>
    <x v="1"/>
    <s v="352"/>
    <x v="4"/>
  </r>
  <r>
    <x v="603"/>
    <n v="659"/>
    <n v="2"/>
    <n v="209.68"/>
    <x v="3"/>
    <x v="2"/>
    <x v="1"/>
    <s v="312"/>
    <x v="5"/>
  </r>
  <r>
    <x v="604"/>
    <n v="564"/>
    <n v="2"/>
    <n v="97.97"/>
    <x v="2"/>
    <x v="2"/>
    <x v="3"/>
    <s v="411"/>
    <x v="5"/>
  </r>
  <r>
    <x v="605"/>
    <n v="605"/>
    <n v="9"/>
    <n v="192.51"/>
    <x v="2"/>
    <x v="4"/>
    <x v="1"/>
    <s v="442"/>
    <x v="2"/>
  </r>
  <r>
    <x v="606"/>
    <n v="828"/>
    <n v="8"/>
    <n v="151.81"/>
    <x v="0"/>
    <x v="4"/>
    <x v="1"/>
    <s v="142"/>
    <x v="1"/>
  </r>
  <r>
    <x v="607"/>
    <n v="528"/>
    <n v="8"/>
    <n v="239.28"/>
    <x v="4"/>
    <x v="4"/>
    <x v="4"/>
    <s v="543"/>
    <x v="2"/>
  </r>
  <r>
    <x v="608"/>
    <n v="812"/>
    <n v="4"/>
    <n v="306.17"/>
    <x v="0"/>
    <x v="0"/>
    <x v="4"/>
    <s v="123"/>
    <x v="7"/>
  </r>
  <r>
    <x v="609"/>
    <n v="777"/>
    <n v="11"/>
    <n v="370.38"/>
    <x v="0"/>
    <x v="1"/>
    <x v="0"/>
    <s v="154"/>
    <x v="3"/>
  </r>
  <r>
    <x v="610"/>
    <n v="686"/>
    <n v="6"/>
    <n v="346.58"/>
    <x v="3"/>
    <x v="3"/>
    <x v="0"/>
    <s v="334"/>
    <x v="0"/>
  </r>
  <r>
    <x v="611"/>
    <n v="500"/>
    <n v="5"/>
    <n v="292.64"/>
    <x v="4"/>
    <x v="0"/>
    <x v="4"/>
    <s v="523"/>
    <x v="4"/>
  </r>
  <r>
    <x v="612"/>
    <n v="755"/>
    <n v="12"/>
    <n v="102.91"/>
    <x v="1"/>
    <x v="1"/>
    <x v="3"/>
    <s v="251"/>
    <x v="1"/>
  </r>
  <r>
    <x v="613"/>
    <n v="619"/>
    <n v="4"/>
    <n v="283.77999999999997"/>
    <x v="2"/>
    <x v="0"/>
    <x v="4"/>
    <s v="423"/>
    <x v="4"/>
  </r>
  <r>
    <x v="614"/>
    <n v="703"/>
    <n v="2"/>
    <n v="51.44"/>
    <x v="1"/>
    <x v="2"/>
    <x v="3"/>
    <s v="211"/>
    <x v="7"/>
  </r>
  <r>
    <x v="615"/>
    <n v="793"/>
    <n v="12"/>
    <n v="405.7"/>
    <x v="0"/>
    <x v="1"/>
    <x v="0"/>
    <s v="154"/>
    <x v="3"/>
  </r>
  <r>
    <x v="616"/>
    <n v="824"/>
    <n v="11"/>
    <n v="311.74"/>
    <x v="0"/>
    <x v="1"/>
    <x v="4"/>
    <s v="153"/>
    <x v="1"/>
  </r>
  <r>
    <x v="617"/>
    <n v="654"/>
    <n v="9"/>
    <n v="293.43"/>
    <x v="3"/>
    <x v="4"/>
    <x v="4"/>
    <s v="343"/>
    <x v="4"/>
  </r>
  <r>
    <x v="618"/>
    <n v="719"/>
    <n v="6"/>
    <n v="418.51"/>
    <x v="1"/>
    <x v="3"/>
    <x v="2"/>
    <s v="235"/>
    <x v="0"/>
  </r>
  <r>
    <x v="619"/>
    <n v="561"/>
    <n v="9"/>
    <n v="85.03"/>
    <x v="2"/>
    <x v="4"/>
    <x v="3"/>
    <s v="441"/>
    <x v="2"/>
  </r>
  <r>
    <x v="620"/>
    <n v="641"/>
    <n v="4"/>
    <n v="164.94"/>
    <x v="3"/>
    <x v="0"/>
    <x v="1"/>
    <s v="322"/>
    <x v="5"/>
  </r>
  <r>
    <x v="621"/>
    <n v="727"/>
    <n v="11"/>
    <n v="89.32"/>
    <x v="1"/>
    <x v="1"/>
    <x v="3"/>
    <s v="251"/>
    <x v="1"/>
  </r>
  <r>
    <x v="622"/>
    <n v="748"/>
    <n v="2"/>
    <n v="388.26"/>
    <x v="1"/>
    <x v="2"/>
    <x v="0"/>
    <s v="214"/>
    <x v="0"/>
  </r>
  <r>
    <x v="623"/>
    <n v="577"/>
    <n v="5"/>
    <n v="106.69"/>
    <x v="2"/>
    <x v="0"/>
    <x v="3"/>
    <s v="421"/>
    <x v="5"/>
  </r>
  <r>
    <x v="624"/>
    <n v="633"/>
    <n v="10"/>
    <n v="301.16000000000003"/>
    <x v="3"/>
    <x v="1"/>
    <x v="4"/>
    <s v="353"/>
    <x v="4"/>
  </r>
  <r>
    <x v="625"/>
    <n v="564"/>
    <n v="6"/>
    <n v="61.71"/>
    <x v="2"/>
    <x v="3"/>
    <x v="3"/>
    <s v="431"/>
    <x v="2"/>
  </r>
  <r>
    <x v="626"/>
    <n v="783"/>
    <n v="11"/>
    <n v="83.33"/>
    <x v="0"/>
    <x v="1"/>
    <x v="3"/>
    <s v="151"/>
    <x v="1"/>
  </r>
  <r>
    <x v="627"/>
    <n v="742"/>
    <n v="4"/>
    <n v="411.81"/>
    <x v="1"/>
    <x v="0"/>
    <x v="0"/>
    <s v="224"/>
    <x v="0"/>
  </r>
  <r>
    <x v="628"/>
    <n v="605"/>
    <n v="3"/>
    <n v="114.93"/>
    <x v="2"/>
    <x v="2"/>
    <x v="3"/>
    <s v="411"/>
    <x v="5"/>
  </r>
  <r>
    <x v="629"/>
    <n v="587"/>
    <n v="11"/>
    <n v="438.42"/>
    <x v="2"/>
    <x v="1"/>
    <x v="2"/>
    <s v="455"/>
    <x v="6"/>
  </r>
  <r>
    <x v="630"/>
    <n v="775"/>
    <n v="2"/>
    <n v="189.97"/>
    <x v="0"/>
    <x v="2"/>
    <x v="1"/>
    <s v="112"/>
    <x v="7"/>
  </r>
  <r>
    <x v="631"/>
    <n v="652"/>
    <n v="12"/>
    <n v="227.03"/>
    <x v="3"/>
    <x v="1"/>
    <x v="1"/>
    <s v="352"/>
    <x v="4"/>
  </r>
  <r>
    <x v="632"/>
    <n v="589"/>
    <n v="4"/>
    <n v="278.49"/>
    <x v="2"/>
    <x v="0"/>
    <x v="4"/>
    <s v="423"/>
    <x v="4"/>
  </r>
  <r>
    <x v="633"/>
    <n v="686"/>
    <n v="5"/>
    <n v="120.56"/>
    <x v="3"/>
    <x v="0"/>
    <x v="3"/>
    <s v="321"/>
    <x v="5"/>
  </r>
  <r>
    <x v="634"/>
    <n v="528"/>
    <n v="11"/>
    <n v="320.94"/>
    <x v="4"/>
    <x v="1"/>
    <x v="4"/>
    <s v="553"/>
    <x v="2"/>
  </r>
  <r>
    <x v="635"/>
    <n v="551"/>
    <n v="3"/>
    <n v="217.72"/>
    <x v="4"/>
    <x v="2"/>
    <x v="1"/>
    <s v="512"/>
    <x v="5"/>
  </r>
  <r>
    <x v="636"/>
    <n v="656"/>
    <n v="3"/>
    <n v="222.61"/>
    <x v="3"/>
    <x v="2"/>
    <x v="1"/>
    <s v="312"/>
    <x v="5"/>
  </r>
  <r>
    <x v="637"/>
    <n v="641"/>
    <n v="3"/>
    <n v="102.73"/>
    <x v="3"/>
    <x v="2"/>
    <x v="3"/>
    <s v="311"/>
    <x v="5"/>
  </r>
  <r>
    <x v="638"/>
    <n v="767"/>
    <n v="2"/>
    <n v="426.87"/>
    <x v="0"/>
    <x v="2"/>
    <x v="2"/>
    <s v="115"/>
    <x v="0"/>
  </r>
  <r>
    <x v="639"/>
    <n v="497"/>
    <n v="5"/>
    <n v="473.28"/>
    <x v="4"/>
    <x v="0"/>
    <x v="2"/>
    <s v="525"/>
    <x v="0"/>
  </r>
  <r>
    <x v="640"/>
    <n v="663"/>
    <n v="9"/>
    <n v="446.03"/>
    <x v="3"/>
    <x v="4"/>
    <x v="2"/>
    <s v="345"/>
    <x v="3"/>
  </r>
  <r>
    <x v="641"/>
    <n v="524"/>
    <n v="3"/>
    <n v="287.95"/>
    <x v="4"/>
    <x v="2"/>
    <x v="4"/>
    <s v="513"/>
    <x v="4"/>
  </r>
  <r>
    <x v="642"/>
    <n v="486"/>
    <n v="6"/>
    <n v="132.52000000000001"/>
    <x v="4"/>
    <x v="3"/>
    <x v="3"/>
    <s v="531"/>
    <x v="2"/>
  </r>
  <r>
    <x v="643"/>
    <n v="692"/>
    <n v="7"/>
    <n v="379.2"/>
    <x v="3"/>
    <x v="3"/>
    <x v="0"/>
    <s v="334"/>
    <x v="0"/>
  </r>
  <r>
    <x v="644"/>
    <n v="554"/>
    <n v="4"/>
    <n v="447.53"/>
    <x v="4"/>
    <x v="0"/>
    <x v="2"/>
    <s v="525"/>
    <x v="0"/>
  </r>
  <r>
    <x v="645"/>
    <n v="788"/>
    <n v="4"/>
    <n v="138.44"/>
    <x v="0"/>
    <x v="0"/>
    <x v="1"/>
    <s v="122"/>
    <x v="7"/>
  </r>
  <r>
    <x v="646"/>
    <n v="809"/>
    <n v="8"/>
    <n v="440.62"/>
    <x v="0"/>
    <x v="4"/>
    <x v="2"/>
    <s v="145"/>
    <x v="3"/>
  </r>
  <r>
    <x v="647"/>
    <n v="581"/>
    <n v="4"/>
    <n v="145.97999999999999"/>
    <x v="2"/>
    <x v="0"/>
    <x v="1"/>
    <s v="422"/>
    <x v="5"/>
  </r>
  <r>
    <x v="648"/>
    <n v="723"/>
    <n v="11"/>
    <n v="405.66"/>
    <x v="1"/>
    <x v="1"/>
    <x v="0"/>
    <s v="254"/>
    <x v="3"/>
  </r>
  <r>
    <x v="649"/>
    <n v="722"/>
    <n v="7"/>
    <n v="419.98"/>
    <x v="1"/>
    <x v="3"/>
    <x v="2"/>
    <s v="235"/>
    <x v="0"/>
  </r>
  <r>
    <x v="650"/>
    <n v="596"/>
    <n v="5"/>
    <n v="260.14"/>
    <x v="2"/>
    <x v="0"/>
    <x v="4"/>
    <s v="423"/>
    <x v="4"/>
  </r>
  <r>
    <x v="651"/>
    <n v="760"/>
    <n v="10"/>
    <n v="368.91"/>
    <x v="1"/>
    <x v="1"/>
    <x v="0"/>
    <s v="254"/>
    <x v="3"/>
  </r>
  <r>
    <x v="652"/>
    <n v="495"/>
    <n v="2"/>
    <n v="100.32"/>
    <x v="4"/>
    <x v="2"/>
    <x v="3"/>
    <s v="511"/>
    <x v="5"/>
  </r>
  <r>
    <x v="653"/>
    <n v="502"/>
    <n v="7"/>
    <n v="107.82"/>
    <x v="4"/>
    <x v="3"/>
    <x v="3"/>
    <s v="531"/>
    <x v="2"/>
  </r>
  <r>
    <x v="654"/>
    <n v="786"/>
    <n v="11"/>
    <n v="83.88"/>
    <x v="0"/>
    <x v="1"/>
    <x v="3"/>
    <s v="151"/>
    <x v="1"/>
  </r>
  <r>
    <x v="655"/>
    <n v="696"/>
    <n v="9"/>
    <n v="81.25"/>
    <x v="1"/>
    <x v="4"/>
    <x v="3"/>
    <s v="241"/>
    <x v="1"/>
  </r>
  <r>
    <x v="656"/>
    <n v="702"/>
    <n v="12"/>
    <n v="125.8"/>
    <x v="1"/>
    <x v="1"/>
    <x v="3"/>
    <s v="251"/>
    <x v="1"/>
  </r>
  <r>
    <x v="657"/>
    <n v="748"/>
    <n v="11"/>
    <n v="197.9"/>
    <x v="1"/>
    <x v="1"/>
    <x v="1"/>
    <s v="252"/>
    <x v="1"/>
  </r>
  <r>
    <x v="658"/>
    <n v="665"/>
    <n v="8"/>
    <n v="299.08999999999997"/>
    <x v="3"/>
    <x v="4"/>
    <x v="4"/>
    <s v="343"/>
    <x v="4"/>
  </r>
  <r>
    <x v="659"/>
    <n v="594"/>
    <n v="10"/>
    <n v="79.3"/>
    <x v="2"/>
    <x v="1"/>
    <x v="3"/>
    <s v="451"/>
    <x v="2"/>
  </r>
  <r>
    <x v="660"/>
    <n v="701"/>
    <n v="12"/>
    <n v="55.73"/>
    <x v="1"/>
    <x v="1"/>
    <x v="3"/>
    <s v="251"/>
    <x v="1"/>
  </r>
  <r>
    <x v="661"/>
    <n v="624"/>
    <n v="8"/>
    <n v="256.44"/>
    <x v="2"/>
    <x v="4"/>
    <x v="4"/>
    <s v="443"/>
    <x v="2"/>
  </r>
  <r>
    <x v="662"/>
    <n v="543"/>
    <n v="12"/>
    <n v="337.21"/>
    <x v="4"/>
    <x v="1"/>
    <x v="0"/>
    <s v="554"/>
    <x v="6"/>
  </r>
  <r>
    <x v="663"/>
    <n v="612"/>
    <n v="12"/>
    <n v="494.97"/>
    <x v="2"/>
    <x v="1"/>
    <x v="2"/>
    <s v="455"/>
    <x v="6"/>
  </r>
  <r>
    <x v="664"/>
    <n v="678"/>
    <n v="6"/>
    <n v="238.58"/>
    <x v="3"/>
    <x v="3"/>
    <x v="4"/>
    <s v="333"/>
    <x v="4"/>
  </r>
  <r>
    <x v="665"/>
    <n v="535"/>
    <n v="8"/>
    <n v="131.9"/>
    <x v="4"/>
    <x v="4"/>
    <x v="3"/>
    <s v="541"/>
    <x v="2"/>
  </r>
  <r>
    <x v="666"/>
    <n v="606"/>
    <n v="12"/>
    <n v="403.03"/>
    <x v="2"/>
    <x v="1"/>
    <x v="0"/>
    <s v="454"/>
    <x v="6"/>
  </r>
  <r>
    <x v="667"/>
    <n v="604"/>
    <n v="10"/>
    <n v="338.6"/>
    <x v="2"/>
    <x v="1"/>
    <x v="0"/>
    <s v="454"/>
    <x v="6"/>
  </r>
  <r>
    <x v="668"/>
    <n v="627"/>
    <n v="11"/>
    <n v="365.38"/>
    <x v="3"/>
    <x v="1"/>
    <x v="0"/>
    <s v="354"/>
    <x v="3"/>
  </r>
  <r>
    <x v="669"/>
    <n v="801"/>
    <n v="11"/>
    <n v="433.99"/>
    <x v="0"/>
    <x v="1"/>
    <x v="2"/>
    <s v="155"/>
    <x v="3"/>
  </r>
  <r>
    <x v="670"/>
    <n v="740"/>
    <n v="5"/>
    <n v="495.95"/>
    <x v="1"/>
    <x v="0"/>
    <x v="2"/>
    <s v="225"/>
    <x v="0"/>
  </r>
  <r>
    <x v="671"/>
    <n v="679"/>
    <n v="7"/>
    <n v="356.22"/>
    <x v="3"/>
    <x v="3"/>
    <x v="0"/>
    <s v="334"/>
    <x v="0"/>
  </r>
  <r>
    <x v="672"/>
    <n v="529"/>
    <n v="7"/>
    <n v="156.4"/>
    <x v="4"/>
    <x v="3"/>
    <x v="1"/>
    <s v="532"/>
    <x v="2"/>
  </r>
  <r>
    <x v="673"/>
    <n v="581"/>
    <n v="3"/>
    <n v="454.36"/>
    <x v="2"/>
    <x v="2"/>
    <x v="2"/>
    <s v="415"/>
    <x v="0"/>
  </r>
  <r>
    <x v="674"/>
    <n v="825"/>
    <n v="11"/>
    <n v="486.07"/>
    <x v="0"/>
    <x v="1"/>
    <x v="2"/>
    <s v="155"/>
    <x v="3"/>
  </r>
  <r>
    <x v="675"/>
    <n v="778"/>
    <n v="11"/>
    <n v="427.86"/>
    <x v="0"/>
    <x v="1"/>
    <x v="2"/>
    <s v="155"/>
    <x v="3"/>
  </r>
  <r>
    <x v="676"/>
    <n v="752"/>
    <n v="10"/>
    <n v="235.13"/>
    <x v="1"/>
    <x v="1"/>
    <x v="4"/>
    <s v="253"/>
    <x v="1"/>
  </r>
  <r>
    <x v="677"/>
    <n v="582"/>
    <n v="4"/>
    <n v="361.27"/>
    <x v="2"/>
    <x v="0"/>
    <x v="0"/>
    <s v="424"/>
    <x v="0"/>
  </r>
  <r>
    <x v="678"/>
    <n v="816"/>
    <n v="10"/>
    <n v="195.83"/>
    <x v="0"/>
    <x v="1"/>
    <x v="1"/>
    <s v="152"/>
    <x v="1"/>
  </r>
  <r>
    <x v="679"/>
    <n v="579"/>
    <n v="10"/>
    <n v="340.31"/>
    <x v="2"/>
    <x v="1"/>
    <x v="0"/>
    <s v="454"/>
    <x v="6"/>
  </r>
  <r>
    <x v="680"/>
    <n v="485"/>
    <n v="5"/>
    <n v="489.67"/>
    <x v="4"/>
    <x v="0"/>
    <x v="2"/>
    <s v="525"/>
    <x v="0"/>
  </r>
  <r>
    <x v="681"/>
    <n v="569"/>
    <n v="11"/>
    <n v="482.5"/>
    <x v="2"/>
    <x v="1"/>
    <x v="2"/>
    <s v="455"/>
    <x v="6"/>
  </r>
  <r>
    <x v="682"/>
    <n v="650"/>
    <n v="10"/>
    <n v="433.14"/>
    <x v="3"/>
    <x v="1"/>
    <x v="2"/>
    <s v="355"/>
    <x v="3"/>
  </r>
  <r>
    <x v="683"/>
    <n v="570"/>
    <n v="6"/>
    <n v="375.7"/>
    <x v="2"/>
    <x v="3"/>
    <x v="0"/>
    <s v="434"/>
    <x v="2"/>
  </r>
  <r>
    <x v="684"/>
    <n v="832"/>
    <n v="12"/>
    <n v="381.3"/>
    <x v="0"/>
    <x v="1"/>
    <x v="0"/>
    <s v="154"/>
    <x v="3"/>
  </r>
  <r>
    <x v="685"/>
    <n v="654"/>
    <n v="4"/>
    <n v="210.21"/>
    <x v="3"/>
    <x v="0"/>
    <x v="1"/>
    <s v="322"/>
    <x v="5"/>
  </r>
  <r>
    <x v="686"/>
    <n v="643"/>
    <n v="8"/>
    <n v="408.81"/>
    <x v="3"/>
    <x v="4"/>
    <x v="0"/>
    <s v="344"/>
    <x v="3"/>
  </r>
  <r>
    <x v="687"/>
    <n v="832"/>
    <n v="10"/>
    <n v="118.65"/>
    <x v="0"/>
    <x v="1"/>
    <x v="3"/>
    <s v="151"/>
    <x v="1"/>
  </r>
  <r>
    <x v="688"/>
    <n v="615"/>
    <n v="7"/>
    <n v="166.45"/>
    <x v="2"/>
    <x v="3"/>
    <x v="1"/>
    <s v="432"/>
    <x v="2"/>
  </r>
  <r>
    <x v="689"/>
    <n v="592"/>
    <n v="10"/>
    <n v="385.32"/>
    <x v="2"/>
    <x v="1"/>
    <x v="0"/>
    <s v="454"/>
    <x v="6"/>
  </r>
  <r>
    <x v="690"/>
    <n v="568"/>
    <n v="10"/>
    <n v="293.99"/>
    <x v="2"/>
    <x v="1"/>
    <x v="4"/>
    <s v="453"/>
    <x v="2"/>
  </r>
  <r>
    <x v="691"/>
    <n v="743"/>
    <n v="9"/>
    <n v="161.41"/>
    <x v="1"/>
    <x v="4"/>
    <x v="1"/>
    <s v="242"/>
    <x v="1"/>
  </r>
  <r>
    <x v="692"/>
    <n v="488"/>
    <n v="2"/>
    <n v="130.91999999999999"/>
    <x v="4"/>
    <x v="2"/>
    <x v="3"/>
    <s v="511"/>
    <x v="5"/>
  </r>
  <r>
    <x v="693"/>
    <n v="675"/>
    <n v="4"/>
    <n v="468.6"/>
    <x v="3"/>
    <x v="0"/>
    <x v="2"/>
    <s v="325"/>
    <x v="0"/>
  </r>
  <r>
    <x v="694"/>
    <n v="725"/>
    <n v="5"/>
    <n v="237.57"/>
    <x v="1"/>
    <x v="0"/>
    <x v="4"/>
    <s v="223"/>
    <x v="7"/>
  </r>
  <r>
    <x v="695"/>
    <n v="639"/>
    <n v="5"/>
    <n v="395.18"/>
    <x v="3"/>
    <x v="0"/>
    <x v="0"/>
    <s v="324"/>
    <x v="0"/>
  </r>
  <r>
    <x v="696"/>
    <n v="752"/>
    <n v="12"/>
    <n v="427.94"/>
    <x v="1"/>
    <x v="1"/>
    <x v="2"/>
    <s v="255"/>
    <x v="3"/>
  </r>
  <r>
    <x v="697"/>
    <n v="755"/>
    <n v="9"/>
    <n v="81.23"/>
    <x v="1"/>
    <x v="4"/>
    <x v="3"/>
    <s v="241"/>
    <x v="1"/>
  </r>
  <r>
    <x v="698"/>
    <n v="736"/>
    <n v="5"/>
    <n v="257.43"/>
    <x v="1"/>
    <x v="0"/>
    <x v="4"/>
    <s v="223"/>
    <x v="7"/>
  </r>
  <r>
    <x v="699"/>
    <n v="492"/>
    <n v="7"/>
    <n v="305.73"/>
    <x v="4"/>
    <x v="3"/>
    <x v="4"/>
    <s v="533"/>
    <x v="2"/>
  </r>
  <r>
    <x v="700"/>
    <n v="616"/>
    <n v="10"/>
    <n v="249.82"/>
    <x v="2"/>
    <x v="1"/>
    <x v="4"/>
    <s v="453"/>
    <x v="2"/>
  </r>
  <r>
    <x v="701"/>
    <n v="599"/>
    <n v="11"/>
    <n v="332.79"/>
    <x v="2"/>
    <x v="1"/>
    <x v="0"/>
    <s v="454"/>
    <x v="6"/>
  </r>
  <r>
    <x v="702"/>
    <n v="590"/>
    <n v="3"/>
    <n v="78.900000000000006"/>
    <x v="2"/>
    <x v="2"/>
    <x v="3"/>
    <s v="411"/>
    <x v="5"/>
  </r>
  <r>
    <x v="703"/>
    <n v="661"/>
    <n v="9"/>
    <n v="122.55"/>
    <x v="3"/>
    <x v="4"/>
    <x v="3"/>
    <s v="341"/>
    <x v="4"/>
  </r>
  <r>
    <x v="704"/>
    <n v="585"/>
    <n v="6"/>
    <n v="307.61"/>
    <x v="2"/>
    <x v="3"/>
    <x v="4"/>
    <s v="433"/>
    <x v="2"/>
  </r>
  <r>
    <x v="705"/>
    <n v="822"/>
    <n v="2"/>
    <n v="152.33000000000001"/>
    <x v="0"/>
    <x v="2"/>
    <x v="1"/>
    <s v="112"/>
    <x v="7"/>
  </r>
  <r>
    <x v="706"/>
    <n v="779"/>
    <n v="8"/>
    <n v="465.07"/>
    <x v="0"/>
    <x v="4"/>
    <x v="2"/>
    <s v="145"/>
    <x v="3"/>
  </r>
  <r>
    <x v="707"/>
    <n v="833"/>
    <n v="10"/>
    <n v="498.23"/>
    <x v="0"/>
    <x v="1"/>
    <x v="2"/>
    <s v="155"/>
    <x v="3"/>
  </r>
  <r>
    <x v="708"/>
    <n v="601"/>
    <n v="3"/>
    <n v="491.18"/>
    <x v="2"/>
    <x v="2"/>
    <x v="2"/>
    <s v="415"/>
    <x v="0"/>
  </r>
  <r>
    <x v="709"/>
    <n v="838"/>
    <n v="3"/>
    <n v="149.41999999999999"/>
    <x v="0"/>
    <x v="2"/>
    <x v="1"/>
    <s v="112"/>
    <x v="7"/>
  </r>
  <r>
    <x v="710"/>
    <n v="741"/>
    <n v="9"/>
    <n v="82.13"/>
    <x v="1"/>
    <x v="4"/>
    <x v="3"/>
    <s v="241"/>
    <x v="1"/>
  </r>
  <r>
    <x v="711"/>
    <n v="762"/>
    <n v="4"/>
    <n v="425.18"/>
    <x v="0"/>
    <x v="0"/>
    <x v="2"/>
    <s v="125"/>
    <x v="0"/>
  </r>
  <r>
    <x v="712"/>
    <n v="674"/>
    <n v="8"/>
    <n v="176.12"/>
    <x v="3"/>
    <x v="4"/>
    <x v="1"/>
    <s v="342"/>
    <x v="4"/>
  </r>
  <r>
    <x v="713"/>
    <n v="778"/>
    <n v="6"/>
    <n v="70.3"/>
    <x v="0"/>
    <x v="3"/>
    <x v="3"/>
    <s v="131"/>
    <x v="1"/>
  </r>
  <r>
    <x v="714"/>
    <n v="519"/>
    <n v="7"/>
    <n v="319.39"/>
    <x v="4"/>
    <x v="3"/>
    <x v="4"/>
    <s v="533"/>
    <x v="2"/>
  </r>
  <r>
    <x v="715"/>
    <n v="796"/>
    <n v="11"/>
    <n v="113.51"/>
    <x v="0"/>
    <x v="1"/>
    <x v="3"/>
    <s v="151"/>
    <x v="1"/>
  </r>
  <r>
    <x v="716"/>
    <n v="781"/>
    <n v="2"/>
    <n v="492.74"/>
    <x v="0"/>
    <x v="2"/>
    <x v="2"/>
    <s v="115"/>
    <x v="0"/>
  </r>
  <r>
    <x v="717"/>
    <n v="788"/>
    <n v="9"/>
    <n v="143.80000000000001"/>
    <x v="0"/>
    <x v="4"/>
    <x v="1"/>
    <s v="142"/>
    <x v="1"/>
  </r>
  <r>
    <x v="718"/>
    <n v="750"/>
    <n v="5"/>
    <n v="158.54"/>
    <x v="1"/>
    <x v="0"/>
    <x v="1"/>
    <s v="222"/>
    <x v="7"/>
  </r>
  <r>
    <x v="719"/>
    <n v="540"/>
    <n v="6"/>
    <n v="213.39"/>
    <x v="4"/>
    <x v="3"/>
    <x v="1"/>
    <s v="532"/>
    <x v="2"/>
  </r>
  <r>
    <x v="720"/>
    <n v="485"/>
    <n v="2"/>
    <n v="127.18"/>
    <x v="4"/>
    <x v="2"/>
    <x v="3"/>
    <s v="511"/>
    <x v="5"/>
  </r>
  <r>
    <x v="721"/>
    <n v="517"/>
    <n v="9"/>
    <n v="476.63"/>
    <x v="4"/>
    <x v="4"/>
    <x v="2"/>
    <s v="545"/>
    <x v="6"/>
  </r>
  <r>
    <x v="722"/>
    <n v="584"/>
    <n v="3"/>
    <n v="56.02"/>
    <x v="2"/>
    <x v="2"/>
    <x v="3"/>
    <s v="411"/>
    <x v="5"/>
  </r>
  <r>
    <x v="723"/>
    <n v="571"/>
    <n v="3"/>
    <n v="398.97"/>
    <x v="2"/>
    <x v="2"/>
    <x v="0"/>
    <s v="414"/>
    <x v="0"/>
  </r>
  <r>
    <x v="724"/>
    <n v="645"/>
    <n v="6"/>
    <n v="53.45"/>
    <x v="3"/>
    <x v="3"/>
    <x v="3"/>
    <s v="331"/>
    <x v="4"/>
  </r>
  <r>
    <x v="725"/>
    <n v="616"/>
    <n v="2"/>
    <n v="61.19"/>
    <x v="2"/>
    <x v="2"/>
    <x v="3"/>
    <s v="411"/>
    <x v="5"/>
  </r>
  <r>
    <x v="726"/>
    <n v="489"/>
    <n v="4"/>
    <n v="471.31"/>
    <x v="4"/>
    <x v="0"/>
    <x v="2"/>
    <s v="525"/>
    <x v="0"/>
  </r>
  <r>
    <x v="727"/>
    <n v="760"/>
    <n v="10"/>
    <n v="179.19"/>
    <x v="1"/>
    <x v="1"/>
    <x v="1"/>
    <s v="252"/>
    <x v="1"/>
  </r>
  <r>
    <x v="728"/>
    <n v="564"/>
    <n v="6"/>
    <n v="294.61"/>
    <x v="2"/>
    <x v="3"/>
    <x v="4"/>
    <s v="433"/>
    <x v="2"/>
  </r>
  <r>
    <x v="729"/>
    <n v="736"/>
    <n v="6"/>
    <n v="375.45"/>
    <x v="1"/>
    <x v="3"/>
    <x v="0"/>
    <s v="234"/>
    <x v="0"/>
  </r>
  <r>
    <x v="730"/>
    <n v="816"/>
    <n v="12"/>
    <n v="83.5"/>
    <x v="0"/>
    <x v="1"/>
    <x v="3"/>
    <s v="151"/>
    <x v="1"/>
  </r>
  <r>
    <x v="731"/>
    <n v="836"/>
    <n v="7"/>
    <n v="109.88"/>
    <x v="0"/>
    <x v="3"/>
    <x v="3"/>
    <s v="131"/>
    <x v="1"/>
  </r>
  <r>
    <x v="732"/>
    <n v="607"/>
    <n v="11"/>
    <n v="182.54"/>
    <x v="2"/>
    <x v="1"/>
    <x v="1"/>
    <s v="452"/>
    <x v="2"/>
  </r>
  <r>
    <x v="733"/>
    <n v="668"/>
    <n v="3"/>
    <n v="465.48"/>
    <x v="3"/>
    <x v="2"/>
    <x v="2"/>
    <s v="315"/>
    <x v="0"/>
  </r>
  <r>
    <x v="734"/>
    <n v="507"/>
    <n v="8"/>
    <n v="224.52"/>
    <x v="4"/>
    <x v="4"/>
    <x v="1"/>
    <s v="542"/>
    <x v="2"/>
  </r>
  <r>
    <x v="735"/>
    <n v="839"/>
    <n v="12"/>
    <n v="281.37"/>
    <x v="0"/>
    <x v="1"/>
    <x v="4"/>
    <s v="153"/>
    <x v="1"/>
  </r>
  <r>
    <x v="736"/>
    <n v="668"/>
    <n v="2"/>
    <n v="125.68"/>
    <x v="3"/>
    <x v="2"/>
    <x v="3"/>
    <s v="311"/>
    <x v="5"/>
  </r>
  <r>
    <x v="737"/>
    <n v="696"/>
    <n v="7"/>
    <n v="178.21"/>
    <x v="1"/>
    <x v="3"/>
    <x v="1"/>
    <s v="232"/>
    <x v="1"/>
  </r>
  <r>
    <x v="738"/>
    <n v="487"/>
    <n v="7"/>
    <n v="483.23"/>
    <x v="4"/>
    <x v="3"/>
    <x v="2"/>
    <s v="535"/>
    <x v="2"/>
  </r>
  <r>
    <x v="739"/>
    <n v="572"/>
    <n v="11"/>
    <n v="415.3"/>
    <x v="2"/>
    <x v="1"/>
    <x v="2"/>
    <s v="455"/>
    <x v="6"/>
  </r>
  <r>
    <x v="740"/>
    <n v="536"/>
    <n v="7"/>
    <n v="85.52"/>
    <x v="4"/>
    <x v="3"/>
    <x v="3"/>
    <s v="531"/>
    <x v="2"/>
  </r>
  <r>
    <x v="741"/>
    <n v="619"/>
    <n v="2"/>
    <n v="422.31"/>
    <x v="2"/>
    <x v="2"/>
    <x v="2"/>
    <s v="415"/>
    <x v="0"/>
  </r>
  <r>
    <x v="742"/>
    <n v="566"/>
    <n v="11"/>
    <n v="70.42"/>
    <x v="2"/>
    <x v="1"/>
    <x v="3"/>
    <s v="451"/>
    <x v="2"/>
  </r>
  <r>
    <x v="743"/>
    <n v="673"/>
    <n v="6"/>
    <n v="437.4"/>
    <x v="3"/>
    <x v="3"/>
    <x v="2"/>
    <s v="335"/>
    <x v="0"/>
  </r>
  <r>
    <x v="744"/>
    <n v="753"/>
    <n v="4"/>
    <n v="207.11"/>
    <x v="1"/>
    <x v="0"/>
    <x v="1"/>
    <s v="222"/>
    <x v="7"/>
  </r>
  <r>
    <x v="745"/>
    <n v="673"/>
    <n v="2"/>
    <n v="378.87"/>
    <x v="3"/>
    <x v="2"/>
    <x v="0"/>
    <s v="314"/>
    <x v="0"/>
  </r>
  <r>
    <x v="746"/>
    <n v="826"/>
    <n v="10"/>
    <n v="349"/>
    <x v="0"/>
    <x v="1"/>
    <x v="0"/>
    <s v="154"/>
    <x v="3"/>
  </r>
  <r>
    <x v="747"/>
    <n v="800"/>
    <n v="3"/>
    <n v="330.27"/>
    <x v="0"/>
    <x v="2"/>
    <x v="0"/>
    <s v="114"/>
    <x v="0"/>
  </r>
  <r>
    <x v="748"/>
    <n v="595"/>
    <n v="10"/>
    <n v="410.29"/>
    <x v="2"/>
    <x v="1"/>
    <x v="0"/>
    <s v="454"/>
    <x v="6"/>
  </r>
  <r>
    <x v="749"/>
    <n v="585"/>
    <n v="7"/>
    <n v="400.86"/>
    <x v="2"/>
    <x v="3"/>
    <x v="0"/>
    <s v="434"/>
    <x v="2"/>
  </r>
  <r>
    <x v="750"/>
    <n v="597"/>
    <n v="11"/>
    <n v="225.12"/>
    <x v="2"/>
    <x v="1"/>
    <x v="1"/>
    <s v="452"/>
    <x v="2"/>
  </r>
  <r>
    <x v="751"/>
    <n v="819"/>
    <n v="12"/>
    <n v="273.48"/>
    <x v="0"/>
    <x v="1"/>
    <x v="4"/>
    <s v="153"/>
    <x v="1"/>
  </r>
  <r>
    <x v="752"/>
    <n v="598"/>
    <n v="11"/>
    <n v="363.84"/>
    <x v="2"/>
    <x v="1"/>
    <x v="0"/>
    <s v="454"/>
    <x v="6"/>
  </r>
  <r>
    <x v="753"/>
    <n v="636"/>
    <n v="9"/>
    <n v="302.60000000000002"/>
    <x v="3"/>
    <x v="4"/>
    <x v="4"/>
    <s v="343"/>
    <x v="4"/>
  </r>
  <r>
    <x v="754"/>
    <n v="739"/>
    <n v="6"/>
    <n v="317.08999999999997"/>
    <x v="1"/>
    <x v="3"/>
    <x v="4"/>
    <s v="233"/>
    <x v="1"/>
  </r>
  <r>
    <x v="755"/>
    <n v="648"/>
    <n v="9"/>
    <n v="193.32"/>
    <x v="3"/>
    <x v="4"/>
    <x v="1"/>
    <s v="342"/>
    <x v="4"/>
  </r>
  <r>
    <x v="756"/>
    <n v="581"/>
    <n v="6"/>
    <n v="282.24"/>
    <x v="2"/>
    <x v="3"/>
    <x v="4"/>
    <s v="433"/>
    <x v="2"/>
  </r>
  <r>
    <x v="757"/>
    <n v="575"/>
    <n v="6"/>
    <n v="154.19"/>
    <x v="2"/>
    <x v="3"/>
    <x v="1"/>
    <s v="432"/>
    <x v="2"/>
  </r>
  <r>
    <x v="758"/>
    <n v="533"/>
    <n v="10"/>
    <n v="84.15"/>
    <x v="4"/>
    <x v="1"/>
    <x v="3"/>
    <s v="551"/>
    <x v="2"/>
  </r>
  <r>
    <x v="759"/>
    <n v="705"/>
    <n v="7"/>
    <n v="214.69"/>
    <x v="1"/>
    <x v="3"/>
    <x v="1"/>
    <s v="232"/>
    <x v="1"/>
  </r>
  <r>
    <x v="760"/>
    <n v="512"/>
    <n v="12"/>
    <n v="61.21"/>
    <x v="4"/>
    <x v="1"/>
    <x v="3"/>
    <s v="551"/>
    <x v="2"/>
  </r>
  <r>
    <x v="761"/>
    <n v="750"/>
    <n v="11"/>
    <n v="462.48"/>
    <x v="1"/>
    <x v="1"/>
    <x v="2"/>
    <s v="255"/>
    <x v="3"/>
  </r>
  <r>
    <x v="762"/>
    <n v="760"/>
    <n v="3"/>
    <n v="449.18"/>
    <x v="1"/>
    <x v="2"/>
    <x v="2"/>
    <s v="215"/>
    <x v="0"/>
  </r>
  <r>
    <x v="763"/>
    <n v="656"/>
    <n v="7"/>
    <n v="314.36"/>
    <x v="3"/>
    <x v="3"/>
    <x v="4"/>
    <s v="333"/>
    <x v="4"/>
  </r>
  <r>
    <x v="764"/>
    <n v="764"/>
    <n v="3"/>
    <n v="367.7"/>
    <x v="0"/>
    <x v="2"/>
    <x v="0"/>
    <s v="114"/>
    <x v="0"/>
  </r>
  <r>
    <x v="765"/>
    <n v="515"/>
    <n v="7"/>
    <n v="229.97"/>
    <x v="4"/>
    <x v="3"/>
    <x v="4"/>
    <s v="533"/>
    <x v="2"/>
  </r>
  <r>
    <x v="766"/>
    <n v="626"/>
    <n v="3"/>
    <n v="226.53"/>
    <x v="3"/>
    <x v="2"/>
    <x v="1"/>
    <s v="312"/>
    <x v="5"/>
  </r>
  <r>
    <x v="767"/>
    <n v="573"/>
    <n v="2"/>
    <n v="218.32"/>
    <x v="2"/>
    <x v="2"/>
    <x v="1"/>
    <s v="412"/>
    <x v="5"/>
  </r>
  <r>
    <x v="768"/>
    <n v="488"/>
    <n v="7"/>
    <n v="132.66999999999999"/>
    <x v="4"/>
    <x v="3"/>
    <x v="3"/>
    <s v="531"/>
    <x v="2"/>
  </r>
  <r>
    <x v="769"/>
    <n v="695"/>
    <n v="7"/>
    <n v="416.96"/>
    <x v="1"/>
    <x v="3"/>
    <x v="2"/>
    <s v="235"/>
    <x v="0"/>
  </r>
  <r>
    <x v="770"/>
    <n v="836"/>
    <n v="7"/>
    <n v="459.51"/>
    <x v="0"/>
    <x v="3"/>
    <x v="2"/>
    <s v="135"/>
    <x v="0"/>
  </r>
  <r>
    <x v="771"/>
    <n v="766"/>
    <n v="2"/>
    <n v="487.96"/>
    <x v="0"/>
    <x v="2"/>
    <x v="2"/>
    <s v="115"/>
    <x v="0"/>
  </r>
  <r>
    <x v="772"/>
    <n v="636"/>
    <n v="7"/>
    <n v="150.11000000000001"/>
    <x v="3"/>
    <x v="3"/>
    <x v="1"/>
    <s v="332"/>
    <x v="4"/>
  </r>
  <r>
    <x v="773"/>
    <n v="579"/>
    <n v="5"/>
    <n v="218.87"/>
    <x v="2"/>
    <x v="0"/>
    <x v="1"/>
    <s v="422"/>
    <x v="5"/>
  </r>
  <r>
    <x v="774"/>
    <n v="772"/>
    <n v="7"/>
    <n v="437.06"/>
    <x v="0"/>
    <x v="3"/>
    <x v="2"/>
    <s v="135"/>
    <x v="0"/>
  </r>
  <r>
    <x v="775"/>
    <n v="812"/>
    <n v="2"/>
    <n v="122.58"/>
    <x v="0"/>
    <x v="2"/>
    <x v="3"/>
    <s v="111"/>
    <x v="7"/>
  </r>
  <r>
    <x v="776"/>
    <n v="637"/>
    <n v="8"/>
    <n v="195.07"/>
    <x v="3"/>
    <x v="4"/>
    <x v="1"/>
    <s v="342"/>
    <x v="4"/>
  </r>
  <r>
    <x v="777"/>
    <n v="807"/>
    <n v="9"/>
    <n v="190.06"/>
    <x v="0"/>
    <x v="4"/>
    <x v="1"/>
    <s v="142"/>
    <x v="1"/>
  </r>
  <r>
    <x v="778"/>
    <n v="686"/>
    <n v="10"/>
    <n v="485.76"/>
    <x v="3"/>
    <x v="1"/>
    <x v="2"/>
    <s v="355"/>
    <x v="3"/>
  </r>
  <r>
    <x v="779"/>
    <n v="562"/>
    <n v="7"/>
    <n v="242.57"/>
    <x v="2"/>
    <x v="3"/>
    <x v="4"/>
    <s v="433"/>
    <x v="2"/>
  </r>
  <r>
    <x v="780"/>
    <n v="837"/>
    <n v="2"/>
    <n v="303.13"/>
    <x v="0"/>
    <x v="2"/>
    <x v="4"/>
    <s v="113"/>
    <x v="7"/>
  </r>
  <r>
    <x v="781"/>
    <n v="783"/>
    <n v="5"/>
    <n v="136.1"/>
    <x v="0"/>
    <x v="0"/>
    <x v="3"/>
    <s v="121"/>
    <x v="7"/>
  </r>
  <r>
    <x v="782"/>
    <n v="566"/>
    <n v="11"/>
    <n v="249.02"/>
    <x v="2"/>
    <x v="1"/>
    <x v="4"/>
    <s v="453"/>
    <x v="2"/>
  </r>
  <r>
    <x v="783"/>
    <n v="495"/>
    <n v="7"/>
    <n v="466.74"/>
    <x v="4"/>
    <x v="3"/>
    <x v="2"/>
    <s v="535"/>
    <x v="2"/>
  </r>
  <r>
    <x v="784"/>
    <n v="511"/>
    <n v="6"/>
    <n v="229.3"/>
    <x v="4"/>
    <x v="3"/>
    <x v="4"/>
    <s v="533"/>
    <x v="2"/>
  </r>
  <r>
    <x v="785"/>
    <n v="828"/>
    <n v="8"/>
    <n v="450.52"/>
    <x v="0"/>
    <x v="4"/>
    <x v="2"/>
    <s v="145"/>
    <x v="3"/>
  </r>
  <r>
    <x v="786"/>
    <n v="580"/>
    <n v="4"/>
    <n v="246.44"/>
    <x v="2"/>
    <x v="0"/>
    <x v="4"/>
    <s v="423"/>
    <x v="4"/>
  </r>
  <r>
    <x v="787"/>
    <n v="616"/>
    <n v="2"/>
    <n v="93.52"/>
    <x v="2"/>
    <x v="2"/>
    <x v="3"/>
    <s v="411"/>
    <x v="5"/>
  </r>
  <r>
    <x v="788"/>
    <n v="588"/>
    <n v="6"/>
    <n v="137.75"/>
    <x v="2"/>
    <x v="3"/>
    <x v="3"/>
    <s v="431"/>
    <x v="2"/>
  </r>
  <r>
    <x v="789"/>
    <n v="694"/>
    <n v="5"/>
    <n v="78.64"/>
    <x v="1"/>
    <x v="0"/>
    <x v="3"/>
    <s v="221"/>
    <x v="7"/>
  </r>
  <r>
    <x v="790"/>
    <n v="527"/>
    <n v="9"/>
    <n v="214.82"/>
    <x v="4"/>
    <x v="4"/>
    <x v="1"/>
    <s v="542"/>
    <x v="2"/>
  </r>
  <r>
    <x v="791"/>
    <n v="640"/>
    <n v="3"/>
    <n v="57.39"/>
    <x v="3"/>
    <x v="2"/>
    <x v="3"/>
    <s v="311"/>
    <x v="5"/>
  </r>
  <r>
    <x v="792"/>
    <n v="834"/>
    <n v="10"/>
    <n v="363.91"/>
    <x v="0"/>
    <x v="1"/>
    <x v="0"/>
    <s v="154"/>
    <x v="3"/>
  </r>
  <r>
    <x v="793"/>
    <n v="834"/>
    <n v="12"/>
    <n v="304.79000000000002"/>
    <x v="0"/>
    <x v="1"/>
    <x v="4"/>
    <s v="153"/>
    <x v="1"/>
  </r>
  <r>
    <x v="794"/>
    <n v="693"/>
    <n v="4"/>
    <n v="363.98"/>
    <x v="3"/>
    <x v="0"/>
    <x v="0"/>
    <s v="324"/>
    <x v="0"/>
  </r>
  <r>
    <x v="795"/>
    <n v="709"/>
    <n v="7"/>
    <n v="249.6"/>
    <x v="1"/>
    <x v="3"/>
    <x v="4"/>
    <s v="233"/>
    <x v="1"/>
  </r>
  <r>
    <x v="796"/>
    <n v="551"/>
    <n v="12"/>
    <n v="345.04"/>
    <x v="4"/>
    <x v="1"/>
    <x v="0"/>
    <s v="554"/>
    <x v="6"/>
  </r>
  <r>
    <x v="797"/>
    <n v="731"/>
    <n v="3"/>
    <n v="59.15"/>
    <x v="1"/>
    <x v="2"/>
    <x v="3"/>
    <s v="211"/>
    <x v="7"/>
  </r>
  <r>
    <x v="798"/>
    <n v="682"/>
    <n v="12"/>
    <n v="461.81"/>
    <x v="3"/>
    <x v="1"/>
    <x v="2"/>
    <s v="355"/>
    <x v="3"/>
  </r>
  <r>
    <x v="799"/>
    <n v="715"/>
    <n v="4"/>
    <n v="280.88"/>
    <x v="1"/>
    <x v="0"/>
    <x v="4"/>
    <s v="223"/>
    <x v="7"/>
  </r>
  <r>
    <x v="800"/>
    <n v="781"/>
    <n v="8"/>
    <n v="283.7"/>
    <x v="0"/>
    <x v="4"/>
    <x v="4"/>
    <s v="143"/>
    <x v="1"/>
  </r>
  <r>
    <x v="801"/>
    <n v="488"/>
    <n v="10"/>
    <n v="411.95"/>
    <x v="4"/>
    <x v="1"/>
    <x v="0"/>
    <s v="554"/>
    <x v="6"/>
  </r>
  <r>
    <x v="802"/>
    <n v="538"/>
    <n v="5"/>
    <n v="476.11"/>
    <x v="4"/>
    <x v="0"/>
    <x v="2"/>
    <s v="525"/>
    <x v="0"/>
  </r>
  <r>
    <x v="803"/>
    <n v="668"/>
    <n v="7"/>
    <n v="399.24"/>
    <x v="3"/>
    <x v="3"/>
    <x v="0"/>
    <s v="334"/>
    <x v="0"/>
  </r>
  <r>
    <x v="804"/>
    <n v="581"/>
    <n v="12"/>
    <n v="90.79"/>
    <x v="2"/>
    <x v="1"/>
    <x v="3"/>
    <s v="451"/>
    <x v="2"/>
  </r>
  <r>
    <x v="805"/>
    <n v="827"/>
    <n v="9"/>
    <n v="229.56"/>
    <x v="0"/>
    <x v="4"/>
    <x v="4"/>
    <s v="143"/>
    <x v="1"/>
  </r>
  <r>
    <x v="806"/>
    <n v="764"/>
    <n v="7"/>
    <n v="160.47"/>
    <x v="0"/>
    <x v="3"/>
    <x v="1"/>
    <s v="132"/>
    <x v="1"/>
  </r>
  <r>
    <x v="807"/>
    <n v="575"/>
    <n v="6"/>
    <n v="104.74"/>
    <x v="2"/>
    <x v="3"/>
    <x v="3"/>
    <s v="431"/>
    <x v="2"/>
  </r>
  <r>
    <x v="808"/>
    <n v="774"/>
    <n v="10"/>
    <n v="399.95"/>
    <x v="0"/>
    <x v="1"/>
    <x v="0"/>
    <s v="154"/>
    <x v="3"/>
  </r>
  <r>
    <x v="809"/>
    <n v="511"/>
    <n v="8"/>
    <n v="337.33"/>
    <x v="4"/>
    <x v="4"/>
    <x v="0"/>
    <s v="544"/>
    <x v="6"/>
  </r>
  <r>
    <x v="810"/>
    <n v="728"/>
    <n v="6"/>
    <n v="204.83"/>
    <x v="1"/>
    <x v="3"/>
    <x v="1"/>
    <s v="232"/>
    <x v="1"/>
  </r>
  <r>
    <x v="811"/>
    <n v="619"/>
    <n v="11"/>
    <n v="193.94"/>
    <x v="2"/>
    <x v="1"/>
    <x v="1"/>
    <s v="452"/>
    <x v="2"/>
  </r>
  <r>
    <x v="812"/>
    <n v="646"/>
    <n v="10"/>
    <n v="460.37"/>
    <x v="3"/>
    <x v="1"/>
    <x v="2"/>
    <s v="355"/>
    <x v="3"/>
  </r>
  <r>
    <x v="813"/>
    <n v="840"/>
    <n v="9"/>
    <n v="297.29000000000002"/>
    <x v="0"/>
    <x v="4"/>
    <x v="4"/>
    <s v="143"/>
    <x v="1"/>
  </r>
  <r>
    <x v="814"/>
    <n v="799"/>
    <n v="4"/>
    <n v="389.47"/>
    <x v="0"/>
    <x v="0"/>
    <x v="0"/>
    <s v="124"/>
    <x v="0"/>
  </r>
  <r>
    <x v="815"/>
    <n v="537"/>
    <n v="11"/>
    <n v="370.05"/>
    <x v="4"/>
    <x v="1"/>
    <x v="0"/>
    <s v="554"/>
    <x v="6"/>
  </r>
  <r>
    <x v="816"/>
    <n v="762"/>
    <n v="2"/>
    <n v="462.24"/>
    <x v="0"/>
    <x v="2"/>
    <x v="2"/>
    <s v="115"/>
    <x v="0"/>
  </r>
  <r>
    <x v="817"/>
    <n v="720"/>
    <n v="11"/>
    <n v="472.53"/>
    <x v="1"/>
    <x v="1"/>
    <x v="2"/>
    <s v="255"/>
    <x v="3"/>
  </r>
  <r>
    <x v="818"/>
    <n v="511"/>
    <n v="3"/>
    <n v="407.29"/>
    <x v="4"/>
    <x v="2"/>
    <x v="0"/>
    <s v="514"/>
    <x v="0"/>
  </r>
  <r>
    <x v="819"/>
    <n v="794"/>
    <n v="8"/>
    <n v="135.65"/>
    <x v="0"/>
    <x v="4"/>
    <x v="3"/>
    <s v="141"/>
    <x v="1"/>
  </r>
  <r>
    <x v="820"/>
    <n v="669"/>
    <n v="4"/>
    <n v="352.35"/>
    <x v="3"/>
    <x v="0"/>
    <x v="0"/>
    <s v="324"/>
    <x v="0"/>
  </r>
  <r>
    <x v="821"/>
    <n v="806"/>
    <n v="12"/>
    <n v="441.73"/>
    <x v="0"/>
    <x v="1"/>
    <x v="2"/>
    <s v="155"/>
    <x v="3"/>
  </r>
  <r>
    <x v="822"/>
    <n v="624"/>
    <n v="12"/>
    <n v="105.95"/>
    <x v="2"/>
    <x v="1"/>
    <x v="3"/>
    <s v="451"/>
    <x v="2"/>
  </r>
  <r>
    <x v="823"/>
    <n v="760"/>
    <n v="11"/>
    <n v="351.54"/>
    <x v="1"/>
    <x v="1"/>
    <x v="0"/>
    <s v="254"/>
    <x v="3"/>
  </r>
  <r>
    <x v="824"/>
    <n v="676"/>
    <n v="12"/>
    <n v="321.26"/>
    <x v="3"/>
    <x v="1"/>
    <x v="4"/>
    <s v="353"/>
    <x v="4"/>
  </r>
  <r>
    <x v="825"/>
    <n v="746"/>
    <n v="11"/>
    <n v="421.5"/>
    <x v="1"/>
    <x v="1"/>
    <x v="2"/>
    <s v="255"/>
    <x v="3"/>
  </r>
  <r>
    <x v="826"/>
    <n v="718"/>
    <n v="6"/>
    <n v="253.29"/>
    <x v="1"/>
    <x v="3"/>
    <x v="4"/>
    <s v="233"/>
    <x v="1"/>
  </r>
  <r>
    <x v="827"/>
    <n v="796"/>
    <n v="3"/>
    <n v="217.62"/>
    <x v="0"/>
    <x v="2"/>
    <x v="1"/>
    <s v="112"/>
    <x v="7"/>
  </r>
  <r>
    <x v="828"/>
    <n v="706"/>
    <n v="11"/>
    <n v="226.04"/>
    <x v="1"/>
    <x v="1"/>
    <x v="1"/>
    <s v="252"/>
    <x v="1"/>
  </r>
  <r>
    <x v="829"/>
    <n v="804"/>
    <n v="4"/>
    <n v="52.79"/>
    <x v="0"/>
    <x v="0"/>
    <x v="3"/>
    <s v="121"/>
    <x v="7"/>
  </r>
  <r>
    <x v="830"/>
    <n v="524"/>
    <n v="7"/>
    <n v="385.08"/>
    <x v="4"/>
    <x v="3"/>
    <x v="0"/>
    <s v="534"/>
    <x v="2"/>
  </r>
  <r>
    <x v="831"/>
    <n v="480"/>
    <n v="2"/>
    <n v="181.1"/>
    <x v="4"/>
    <x v="2"/>
    <x v="1"/>
    <s v="512"/>
    <x v="5"/>
  </r>
  <r>
    <x v="832"/>
    <n v="566"/>
    <n v="7"/>
    <n v="246.41"/>
    <x v="2"/>
    <x v="3"/>
    <x v="4"/>
    <s v="433"/>
    <x v="2"/>
  </r>
  <r>
    <x v="833"/>
    <n v="778"/>
    <n v="8"/>
    <n v="140.87"/>
    <x v="0"/>
    <x v="4"/>
    <x v="1"/>
    <s v="142"/>
    <x v="1"/>
  </r>
  <r>
    <x v="834"/>
    <n v="730"/>
    <n v="2"/>
    <n v="151.25"/>
    <x v="1"/>
    <x v="2"/>
    <x v="1"/>
    <s v="212"/>
    <x v="7"/>
  </r>
  <r>
    <x v="835"/>
    <n v="607"/>
    <n v="3"/>
    <n v="171.52"/>
    <x v="2"/>
    <x v="2"/>
    <x v="1"/>
    <s v="412"/>
    <x v="5"/>
  </r>
  <r>
    <x v="836"/>
    <n v="546"/>
    <n v="10"/>
    <n v="399.56"/>
    <x v="4"/>
    <x v="1"/>
    <x v="0"/>
    <s v="554"/>
    <x v="6"/>
  </r>
  <r>
    <x v="837"/>
    <n v="739"/>
    <n v="4"/>
    <n v="173.46"/>
    <x v="1"/>
    <x v="0"/>
    <x v="1"/>
    <s v="222"/>
    <x v="7"/>
  </r>
  <r>
    <x v="838"/>
    <n v="801"/>
    <n v="10"/>
    <n v="332.14"/>
    <x v="0"/>
    <x v="1"/>
    <x v="0"/>
    <s v="154"/>
    <x v="3"/>
  </r>
  <r>
    <x v="839"/>
    <n v="695"/>
    <n v="8"/>
    <n v="247.05"/>
    <x v="1"/>
    <x v="4"/>
    <x v="4"/>
    <s v="243"/>
    <x v="1"/>
  </r>
  <r>
    <x v="840"/>
    <n v="734"/>
    <n v="10"/>
    <n v="365.88"/>
    <x v="1"/>
    <x v="1"/>
    <x v="0"/>
    <s v="254"/>
    <x v="3"/>
  </r>
  <r>
    <x v="841"/>
    <n v="793"/>
    <n v="8"/>
    <n v="354.92"/>
    <x v="0"/>
    <x v="4"/>
    <x v="0"/>
    <s v="144"/>
    <x v="3"/>
  </r>
  <r>
    <x v="842"/>
    <n v="652"/>
    <n v="10"/>
    <n v="195.46"/>
    <x v="3"/>
    <x v="1"/>
    <x v="1"/>
    <s v="352"/>
    <x v="4"/>
  </r>
  <r>
    <x v="843"/>
    <n v="625"/>
    <n v="7"/>
    <n v="474.03"/>
    <x v="2"/>
    <x v="3"/>
    <x v="2"/>
    <s v="435"/>
    <x v="2"/>
  </r>
  <r>
    <x v="844"/>
    <n v="772"/>
    <n v="6"/>
    <n v="106.96"/>
    <x v="0"/>
    <x v="3"/>
    <x v="3"/>
    <s v="131"/>
    <x v="1"/>
  </r>
  <r>
    <x v="845"/>
    <n v="631"/>
    <n v="9"/>
    <n v="371.84"/>
    <x v="3"/>
    <x v="4"/>
    <x v="0"/>
    <s v="344"/>
    <x v="3"/>
  </r>
  <r>
    <x v="846"/>
    <n v="781"/>
    <n v="8"/>
    <n v="461.16"/>
    <x v="0"/>
    <x v="4"/>
    <x v="2"/>
    <s v="145"/>
    <x v="3"/>
  </r>
  <r>
    <x v="847"/>
    <n v="656"/>
    <n v="11"/>
    <n v="497.75"/>
    <x v="3"/>
    <x v="1"/>
    <x v="2"/>
    <s v="355"/>
    <x v="3"/>
  </r>
  <r>
    <x v="848"/>
    <n v="779"/>
    <n v="5"/>
    <n v="492.83"/>
    <x v="0"/>
    <x v="0"/>
    <x v="2"/>
    <s v="125"/>
    <x v="0"/>
  </r>
  <r>
    <x v="849"/>
    <n v="632"/>
    <n v="8"/>
    <n v="295.54000000000002"/>
    <x v="3"/>
    <x v="4"/>
    <x v="4"/>
    <s v="343"/>
    <x v="4"/>
  </r>
  <r>
    <x v="850"/>
    <n v="694"/>
    <n v="9"/>
    <n v="494.81"/>
    <x v="1"/>
    <x v="4"/>
    <x v="2"/>
    <s v="245"/>
    <x v="3"/>
  </r>
  <r>
    <x v="851"/>
    <n v="777"/>
    <n v="7"/>
    <n v="160.25"/>
    <x v="0"/>
    <x v="3"/>
    <x v="1"/>
    <s v="132"/>
    <x v="1"/>
  </r>
  <r>
    <x v="852"/>
    <n v="493"/>
    <n v="4"/>
    <n v="198.36"/>
    <x v="4"/>
    <x v="0"/>
    <x v="1"/>
    <s v="522"/>
    <x v="5"/>
  </r>
  <r>
    <x v="853"/>
    <n v="786"/>
    <n v="12"/>
    <n v="82.39"/>
    <x v="0"/>
    <x v="1"/>
    <x v="3"/>
    <s v="151"/>
    <x v="1"/>
  </r>
  <r>
    <x v="854"/>
    <n v="769"/>
    <n v="3"/>
    <n v="290.56"/>
    <x v="0"/>
    <x v="2"/>
    <x v="4"/>
    <s v="113"/>
    <x v="7"/>
  </r>
  <r>
    <x v="855"/>
    <n v="607"/>
    <n v="5"/>
    <n v="206.79"/>
    <x v="2"/>
    <x v="0"/>
    <x v="1"/>
    <s v="422"/>
    <x v="5"/>
  </r>
  <r>
    <x v="856"/>
    <n v="697"/>
    <n v="8"/>
    <n v="401.43"/>
    <x v="1"/>
    <x v="4"/>
    <x v="0"/>
    <s v="244"/>
    <x v="3"/>
  </r>
  <r>
    <x v="857"/>
    <n v="694"/>
    <n v="9"/>
    <n v="188.17"/>
    <x v="1"/>
    <x v="4"/>
    <x v="1"/>
    <s v="242"/>
    <x v="1"/>
  </r>
  <r>
    <x v="858"/>
    <n v="761"/>
    <n v="10"/>
    <n v="83.21"/>
    <x v="1"/>
    <x v="1"/>
    <x v="3"/>
    <s v="251"/>
    <x v="1"/>
  </r>
  <r>
    <x v="859"/>
    <n v="564"/>
    <n v="4"/>
    <n v="54.74"/>
    <x v="2"/>
    <x v="0"/>
    <x v="3"/>
    <s v="421"/>
    <x v="5"/>
  </r>
  <r>
    <x v="860"/>
    <n v="605"/>
    <n v="8"/>
    <n v="371.12"/>
    <x v="2"/>
    <x v="4"/>
    <x v="0"/>
    <s v="444"/>
    <x v="6"/>
  </r>
  <r>
    <x v="861"/>
    <n v="580"/>
    <n v="3"/>
    <n v="293.64"/>
    <x v="2"/>
    <x v="2"/>
    <x v="4"/>
    <s v="413"/>
    <x v="4"/>
  </r>
  <r>
    <x v="862"/>
    <n v="550"/>
    <n v="11"/>
    <n v="185.83"/>
    <x v="4"/>
    <x v="1"/>
    <x v="1"/>
    <s v="552"/>
    <x v="2"/>
  </r>
  <r>
    <x v="863"/>
    <n v="620"/>
    <n v="7"/>
    <n v="117.13"/>
    <x v="2"/>
    <x v="3"/>
    <x v="3"/>
    <s v="431"/>
    <x v="2"/>
  </r>
  <r>
    <x v="864"/>
    <n v="494"/>
    <n v="11"/>
    <n v="52.24"/>
    <x v="4"/>
    <x v="1"/>
    <x v="3"/>
    <s v="551"/>
    <x v="2"/>
  </r>
  <r>
    <x v="865"/>
    <n v="677"/>
    <n v="7"/>
    <n v="446.69"/>
    <x v="3"/>
    <x v="3"/>
    <x v="2"/>
    <s v="335"/>
    <x v="0"/>
  </r>
  <r>
    <x v="866"/>
    <n v="753"/>
    <n v="5"/>
    <n v="216.84"/>
    <x v="1"/>
    <x v="0"/>
    <x v="1"/>
    <s v="222"/>
    <x v="7"/>
  </r>
  <r>
    <x v="867"/>
    <n v="479"/>
    <n v="7"/>
    <n v="75.27"/>
    <x v="4"/>
    <x v="3"/>
    <x v="3"/>
    <s v="531"/>
    <x v="2"/>
  </r>
  <r>
    <x v="868"/>
    <n v="786"/>
    <n v="2"/>
    <n v="308.87"/>
    <x v="0"/>
    <x v="2"/>
    <x v="4"/>
    <s v="113"/>
    <x v="7"/>
  </r>
  <r>
    <x v="869"/>
    <n v="674"/>
    <n v="5"/>
    <n v="169.77"/>
    <x v="3"/>
    <x v="0"/>
    <x v="1"/>
    <s v="322"/>
    <x v="5"/>
  </r>
  <r>
    <x v="870"/>
    <n v="614"/>
    <n v="12"/>
    <n v="289.08"/>
    <x v="2"/>
    <x v="1"/>
    <x v="4"/>
    <s v="453"/>
    <x v="2"/>
  </r>
  <r>
    <x v="871"/>
    <n v="705"/>
    <n v="10"/>
    <n v="74.09"/>
    <x v="1"/>
    <x v="1"/>
    <x v="3"/>
    <s v="251"/>
    <x v="1"/>
  </r>
  <r>
    <x v="872"/>
    <n v="688"/>
    <n v="5"/>
    <n v="201.53"/>
    <x v="3"/>
    <x v="0"/>
    <x v="1"/>
    <s v="322"/>
    <x v="5"/>
  </r>
  <r>
    <x v="873"/>
    <n v="603"/>
    <n v="12"/>
    <n v="244.6"/>
    <x v="2"/>
    <x v="1"/>
    <x v="4"/>
    <s v="453"/>
    <x v="2"/>
  </r>
  <r>
    <x v="874"/>
    <n v="780"/>
    <n v="10"/>
    <n v="320.5"/>
    <x v="0"/>
    <x v="1"/>
    <x v="4"/>
    <s v="153"/>
    <x v="1"/>
  </r>
  <r>
    <x v="875"/>
    <n v="659"/>
    <n v="3"/>
    <n v="91.63"/>
    <x v="3"/>
    <x v="2"/>
    <x v="3"/>
    <s v="311"/>
    <x v="5"/>
  </r>
  <r>
    <x v="876"/>
    <n v="839"/>
    <n v="8"/>
    <n v="251.93"/>
    <x v="0"/>
    <x v="4"/>
    <x v="4"/>
    <s v="143"/>
    <x v="1"/>
  </r>
  <r>
    <x v="877"/>
    <n v="478"/>
    <n v="4"/>
    <n v="477.35"/>
    <x v="4"/>
    <x v="0"/>
    <x v="2"/>
    <s v="525"/>
    <x v="0"/>
  </r>
  <r>
    <x v="878"/>
    <n v="595"/>
    <n v="10"/>
    <n v="86.63"/>
    <x v="2"/>
    <x v="1"/>
    <x v="3"/>
    <s v="451"/>
    <x v="2"/>
  </r>
  <r>
    <x v="879"/>
    <n v="576"/>
    <n v="4"/>
    <n v="474.42"/>
    <x v="2"/>
    <x v="0"/>
    <x v="2"/>
    <s v="425"/>
    <x v="0"/>
  </r>
  <r>
    <x v="880"/>
    <n v="754"/>
    <n v="7"/>
    <n v="429.24"/>
    <x v="1"/>
    <x v="3"/>
    <x v="2"/>
    <s v="235"/>
    <x v="0"/>
  </r>
  <r>
    <x v="881"/>
    <n v="525"/>
    <n v="8"/>
    <n v="470.38"/>
    <x v="4"/>
    <x v="4"/>
    <x v="2"/>
    <s v="545"/>
    <x v="6"/>
  </r>
  <r>
    <x v="882"/>
    <n v="581"/>
    <n v="4"/>
    <n v="495.8"/>
    <x v="2"/>
    <x v="0"/>
    <x v="2"/>
    <s v="425"/>
    <x v="0"/>
  </r>
  <r>
    <x v="883"/>
    <n v="693"/>
    <n v="4"/>
    <n v="129.63999999999999"/>
    <x v="3"/>
    <x v="0"/>
    <x v="3"/>
    <s v="321"/>
    <x v="5"/>
  </r>
  <r>
    <x v="884"/>
    <n v="718"/>
    <n v="9"/>
    <n v="473.77"/>
    <x v="1"/>
    <x v="4"/>
    <x v="2"/>
    <s v="245"/>
    <x v="3"/>
  </r>
  <r>
    <x v="885"/>
    <n v="584"/>
    <n v="4"/>
    <n v="130.84"/>
    <x v="2"/>
    <x v="0"/>
    <x v="3"/>
    <s v="421"/>
    <x v="5"/>
  </r>
  <r>
    <x v="886"/>
    <n v="690"/>
    <n v="12"/>
    <n v="436.54"/>
    <x v="3"/>
    <x v="1"/>
    <x v="2"/>
    <s v="355"/>
    <x v="3"/>
  </r>
  <r>
    <x v="887"/>
    <n v="546"/>
    <n v="4"/>
    <n v="264.01"/>
    <x v="4"/>
    <x v="0"/>
    <x v="4"/>
    <s v="523"/>
    <x v="4"/>
  </r>
  <r>
    <x v="888"/>
    <n v="552"/>
    <n v="2"/>
    <n v="58.27"/>
    <x v="4"/>
    <x v="2"/>
    <x v="3"/>
    <s v="511"/>
    <x v="5"/>
  </r>
  <r>
    <x v="889"/>
    <n v="529"/>
    <n v="10"/>
    <n v="190.76"/>
    <x v="4"/>
    <x v="1"/>
    <x v="1"/>
    <s v="552"/>
    <x v="2"/>
  </r>
  <r>
    <x v="890"/>
    <n v="823"/>
    <n v="8"/>
    <n v="105.76"/>
    <x v="0"/>
    <x v="4"/>
    <x v="3"/>
    <s v="141"/>
    <x v="1"/>
  </r>
  <r>
    <x v="891"/>
    <n v="720"/>
    <n v="9"/>
    <n v="254.29"/>
    <x v="1"/>
    <x v="4"/>
    <x v="4"/>
    <s v="243"/>
    <x v="1"/>
  </r>
  <r>
    <x v="892"/>
    <n v="524"/>
    <n v="9"/>
    <n v="435.52"/>
    <x v="4"/>
    <x v="4"/>
    <x v="2"/>
    <s v="545"/>
    <x v="6"/>
  </r>
  <r>
    <x v="893"/>
    <n v="707"/>
    <n v="5"/>
    <n v="235.49"/>
    <x v="1"/>
    <x v="0"/>
    <x v="4"/>
    <s v="223"/>
    <x v="7"/>
  </r>
  <r>
    <x v="894"/>
    <n v="569"/>
    <n v="3"/>
    <n v="161.34"/>
    <x v="2"/>
    <x v="2"/>
    <x v="1"/>
    <s v="412"/>
    <x v="5"/>
  </r>
  <r>
    <x v="895"/>
    <n v="763"/>
    <n v="11"/>
    <n v="167.67"/>
    <x v="0"/>
    <x v="1"/>
    <x v="1"/>
    <s v="152"/>
    <x v="1"/>
  </r>
  <r>
    <x v="896"/>
    <n v="737"/>
    <n v="10"/>
    <n v="96.68"/>
    <x v="1"/>
    <x v="1"/>
    <x v="3"/>
    <s v="251"/>
    <x v="1"/>
  </r>
  <r>
    <x v="897"/>
    <n v="727"/>
    <n v="3"/>
    <n v="234.58"/>
    <x v="1"/>
    <x v="2"/>
    <x v="4"/>
    <s v="213"/>
    <x v="7"/>
  </r>
  <r>
    <x v="898"/>
    <n v="768"/>
    <n v="7"/>
    <n v="156.47999999999999"/>
    <x v="0"/>
    <x v="3"/>
    <x v="1"/>
    <s v="132"/>
    <x v="1"/>
  </r>
  <r>
    <x v="899"/>
    <n v="823"/>
    <n v="11"/>
    <n v="489.66"/>
    <x v="0"/>
    <x v="1"/>
    <x v="2"/>
    <s v="155"/>
    <x v="3"/>
  </r>
  <r>
    <x v="900"/>
    <n v="725"/>
    <n v="9"/>
    <n v="161.85"/>
    <x v="1"/>
    <x v="4"/>
    <x v="1"/>
    <s v="242"/>
    <x v="1"/>
  </r>
  <r>
    <x v="901"/>
    <n v="613"/>
    <n v="7"/>
    <n v="204.47"/>
    <x v="2"/>
    <x v="3"/>
    <x v="1"/>
    <s v="432"/>
    <x v="2"/>
  </r>
  <r>
    <x v="902"/>
    <n v="526"/>
    <n v="4"/>
    <n v="315.02999999999997"/>
    <x v="4"/>
    <x v="0"/>
    <x v="4"/>
    <s v="523"/>
    <x v="4"/>
  </r>
  <r>
    <x v="903"/>
    <n v="660"/>
    <n v="12"/>
    <n v="330.36"/>
    <x v="3"/>
    <x v="1"/>
    <x v="0"/>
    <s v="354"/>
    <x v="3"/>
  </r>
  <r>
    <x v="904"/>
    <n v="669"/>
    <n v="5"/>
    <n v="456.83"/>
    <x v="3"/>
    <x v="0"/>
    <x v="2"/>
    <s v="325"/>
    <x v="0"/>
  </r>
  <r>
    <x v="905"/>
    <n v="520"/>
    <n v="6"/>
    <n v="236.05"/>
    <x v="4"/>
    <x v="3"/>
    <x v="4"/>
    <s v="533"/>
    <x v="2"/>
  </r>
  <r>
    <x v="906"/>
    <n v="660"/>
    <n v="9"/>
    <n v="289.27999999999997"/>
    <x v="3"/>
    <x v="4"/>
    <x v="4"/>
    <s v="343"/>
    <x v="4"/>
  </r>
  <r>
    <x v="907"/>
    <n v="639"/>
    <n v="5"/>
    <n v="483.77"/>
    <x v="3"/>
    <x v="0"/>
    <x v="2"/>
    <s v="325"/>
    <x v="0"/>
  </r>
  <r>
    <x v="908"/>
    <n v="631"/>
    <n v="7"/>
    <n v="64.5"/>
    <x v="3"/>
    <x v="3"/>
    <x v="3"/>
    <s v="331"/>
    <x v="4"/>
  </r>
  <r>
    <x v="909"/>
    <n v="808"/>
    <n v="4"/>
    <n v="436.57"/>
    <x v="0"/>
    <x v="0"/>
    <x v="2"/>
    <s v="125"/>
    <x v="0"/>
  </r>
  <r>
    <x v="910"/>
    <n v="571"/>
    <n v="2"/>
    <n v="364.48"/>
    <x v="2"/>
    <x v="2"/>
    <x v="0"/>
    <s v="414"/>
    <x v="0"/>
  </r>
  <r>
    <x v="911"/>
    <n v="746"/>
    <n v="12"/>
    <n v="221.88"/>
    <x v="1"/>
    <x v="1"/>
    <x v="1"/>
    <s v="252"/>
    <x v="1"/>
  </r>
  <r>
    <x v="912"/>
    <n v="545"/>
    <n v="3"/>
    <n v="278.20999999999998"/>
    <x v="4"/>
    <x v="2"/>
    <x v="4"/>
    <s v="513"/>
    <x v="4"/>
  </r>
  <r>
    <x v="913"/>
    <n v="647"/>
    <n v="7"/>
    <n v="344.43"/>
    <x v="3"/>
    <x v="3"/>
    <x v="0"/>
    <s v="334"/>
    <x v="0"/>
  </r>
  <r>
    <x v="914"/>
    <n v="659"/>
    <n v="11"/>
    <n v="326.08"/>
    <x v="3"/>
    <x v="1"/>
    <x v="0"/>
    <s v="354"/>
    <x v="3"/>
  </r>
  <r>
    <x v="915"/>
    <n v="748"/>
    <n v="8"/>
    <n v="437.97"/>
    <x v="1"/>
    <x v="4"/>
    <x v="2"/>
    <s v="245"/>
    <x v="3"/>
  </r>
  <r>
    <x v="916"/>
    <n v="794"/>
    <n v="3"/>
    <n v="391.87"/>
    <x v="0"/>
    <x v="2"/>
    <x v="0"/>
    <s v="114"/>
    <x v="0"/>
  </r>
  <r>
    <x v="917"/>
    <n v="810"/>
    <n v="3"/>
    <n v="333.41"/>
    <x v="0"/>
    <x v="2"/>
    <x v="0"/>
    <s v="114"/>
    <x v="0"/>
  </r>
  <r>
    <x v="918"/>
    <n v="558"/>
    <n v="9"/>
    <n v="251.54"/>
    <x v="4"/>
    <x v="4"/>
    <x v="4"/>
    <s v="543"/>
    <x v="2"/>
  </r>
  <r>
    <x v="919"/>
    <n v="741"/>
    <n v="7"/>
    <n v="292.08"/>
    <x v="1"/>
    <x v="3"/>
    <x v="4"/>
    <s v="233"/>
    <x v="1"/>
  </r>
  <r>
    <x v="920"/>
    <n v="704"/>
    <n v="11"/>
    <n v="204.29"/>
    <x v="1"/>
    <x v="1"/>
    <x v="1"/>
    <s v="252"/>
    <x v="1"/>
  </r>
  <r>
    <x v="921"/>
    <n v="545"/>
    <n v="4"/>
    <n v="258.68"/>
    <x v="4"/>
    <x v="0"/>
    <x v="4"/>
    <s v="523"/>
    <x v="4"/>
  </r>
  <r>
    <x v="922"/>
    <n v="528"/>
    <n v="2"/>
    <n v="258.02"/>
    <x v="4"/>
    <x v="2"/>
    <x v="4"/>
    <s v="513"/>
    <x v="4"/>
  </r>
  <r>
    <x v="923"/>
    <n v="596"/>
    <n v="12"/>
    <n v="181.87"/>
    <x v="2"/>
    <x v="1"/>
    <x v="1"/>
    <s v="452"/>
    <x v="2"/>
  </r>
  <r>
    <x v="924"/>
    <n v="703"/>
    <n v="8"/>
    <n v="81.180000000000007"/>
    <x v="1"/>
    <x v="4"/>
    <x v="3"/>
    <s v="241"/>
    <x v="1"/>
  </r>
  <r>
    <x v="925"/>
    <n v="701"/>
    <n v="8"/>
    <n v="382.94"/>
    <x v="1"/>
    <x v="4"/>
    <x v="0"/>
    <s v="244"/>
    <x v="3"/>
  </r>
  <r>
    <x v="926"/>
    <n v="816"/>
    <n v="7"/>
    <n v="402.82"/>
    <x v="0"/>
    <x v="3"/>
    <x v="0"/>
    <s v="134"/>
    <x v="0"/>
  </r>
  <r>
    <x v="927"/>
    <n v="773"/>
    <n v="2"/>
    <n v="497.76"/>
    <x v="0"/>
    <x v="2"/>
    <x v="2"/>
    <s v="115"/>
    <x v="0"/>
  </r>
  <r>
    <x v="928"/>
    <n v="646"/>
    <n v="5"/>
    <n v="227.58"/>
    <x v="3"/>
    <x v="0"/>
    <x v="4"/>
    <s v="323"/>
    <x v="4"/>
  </r>
  <r>
    <x v="929"/>
    <n v="515"/>
    <n v="2"/>
    <n v="263.57"/>
    <x v="4"/>
    <x v="2"/>
    <x v="4"/>
    <s v="513"/>
    <x v="4"/>
  </r>
  <r>
    <x v="930"/>
    <n v="750"/>
    <n v="3"/>
    <n v="422.09"/>
    <x v="1"/>
    <x v="2"/>
    <x v="2"/>
    <s v="215"/>
    <x v="0"/>
  </r>
  <r>
    <x v="931"/>
    <n v="722"/>
    <n v="2"/>
    <n v="411.83"/>
    <x v="1"/>
    <x v="2"/>
    <x v="0"/>
    <s v="214"/>
    <x v="0"/>
  </r>
  <r>
    <x v="932"/>
    <n v="650"/>
    <n v="3"/>
    <n v="242.65"/>
    <x v="3"/>
    <x v="2"/>
    <x v="4"/>
    <s v="313"/>
    <x v="4"/>
  </r>
  <r>
    <x v="933"/>
    <n v="575"/>
    <n v="6"/>
    <n v="298.93"/>
    <x v="2"/>
    <x v="3"/>
    <x v="4"/>
    <s v="433"/>
    <x v="2"/>
  </r>
  <r>
    <x v="934"/>
    <n v="746"/>
    <n v="7"/>
    <n v="191.21"/>
    <x v="1"/>
    <x v="3"/>
    <x v="1"/>
    <s v="232"/>
    <x v="1"/>
  </r>
  <r>
    <x v="935"/>
    <n v="669"/>
    <n v="3"/>
    <n v="136.66999999999999"/>
    <x v="3"/>
    <x v="2"/>
    <x v="3"/>
    <s v="311"/>
    <x v="5"/>
  </r>
  <r>
    <x v="936"/>
    <n v="759"/>
    <n v="11"/>
    <n v="324.11"/>
    <x v="1"/>
    <x v="1"/>
    <x v="4"/>
    <s v="253"/>
    <x v="1"/>
  </r>
  <r>
    <x v="937"/>
    <n v="744"/>
    <n v="6"/>
    <n v="105.64"/>
    <x v="1"/>
    <x v="3"/>
    <x v="3"/>
    <s v="231"/>
    <x v="1"/>
  </r>
  <r>
    <x v="938"/>
    <n v="700"/>
    <n v="10"/>
    <n v="295.60000000000002"/>
    <x v="1"/>
    <x v="1"/>
    <x v="4"/>
    <s v="253"/>
    <x v="1"/>
  </r>
  <r>
    <x v="939"/>
    <n v="741"/>
    <n v="9"/>
    <n v="227.03"/>
    <x v="1"/>
    <x v="4"/>
    <x v="1"/>
    <s v="242"/>
    <x v="1"/>
  </r>
  <r>
    <x v="940"/>
    <n v="502"/>
    <n v="10"/>
    <n v="485.77"/>
    <x v="4"/>
    <x v="1"/>
    <x v="2"/>
    <s v="555"/>
    <x v="6"/>
  </r>
  <r>
    <x v="941"/>
    <n v="693"/>
    <n v="4"/>
    <n v="173.43"/>
    <x v="3"/>
    <x v="0"/>
    <x v="1"/>
    <s v="322"/>
    <x v="5"/>
  </r>
  <r>
    <x v="942"/>
    <n v="658"/>
    <n v="2"/>
    <n v="462.96"/>
    <x v="3"/>
    <x v="2"/>
    <x v="2"/>
    <s v="315"/>
    <x v="0"/>
  </r>
  <r>
    <x v="943"/>
    <n v="613"/>
    <n v="10"/>
    <n v="203.13"/>
    <x v="2"/>
    <x v="1"/>
    <x v="1"/>
    <s v="452"/>
    <x v="2"/>
  </r>
  <r>
    <x v="944"/>
    <n v="822"/>
    <n v="9"/>
    <n v="443.11"/>
    <x v="0"/>
    <x v="4"/>
    <x v="2"/>
    <s v="145"/>
    <x v="3"/>
  </r>
  <r>
    <x v="945"/>
    <n v="579"/>
    <n v="2"/>
    <n v="254.83"/>
    <x v="2"/>
    <x v="2"/>
    <x v="4"/>
    <s v="413"/>
    <x v="4"/>
  </r>
  <r>
    <x v="946"/>
    <n v="672"/>
    <n v="4"/>
    <n v="336.89"/>
    <x v="3"/>
    <x v="0"/>
    <x v="0"/>
    <s v="324"/>
    <x v="0"/>
  </r>
  <r>
    <x v="947"/>
    <n v="633"/>
    <n v="8"/>
    <n v="337.17"/>
    <x v="3"/>
    <x v="4"/>
    <x v="0"/>
    <s v="344"/>
    <x v="3"/>
  </r>
  <r>
    <x v="948"/>
    <n v="770"/>
    <n v="2"/>
    <n v="429.24"/>
    <x v="0"/>
    <x v="2"/>
    <x v="2"/>
    <s v="115"/>
    <x v="0"/>
  </r>
  <r>
    <x v="949"/>
    <n v="570"/>
    <n v="7"/>
    <n v="197.7"/>
    <x v="2"/>
    <x v="3"/>
    <x v="1"/>
    <s v="432"/>
    <x v="2"/>
  </r>
  <r>
    <x v="950"/>
    <n v="592"/>
    <n v="2"/>
    <n v="336.96"/>
    <x v="2"/>
    <x v="2"/>
    <x v="0"/>
    <s v="414"/>
    <x v="0"/>
  </r>
  <r>
    <x v="951"/>
    <n v="484"/>
    <n v="11"/>
    <n v="489.81"/>
    <x v="4"/>
    <x v="1"/>
    <x v="2"/>
    <s v="555"/>
    <x v="6"/>
  </r>
  <r>
    <x v="952"/>
    <n v="538"/>
    <n v="8"/>
    <n v="455.55"/>
    <x v="4"/>
    <x v="4"/>
    <x v="2"/>
    <s v="545"/>
    <x v="6"/>
  </r>
  <r>
    <x v="953"/>
    <n v="683"/>
    <n v="3"/>
    <n v="266.61"/>
    <x v="3"/>
    <x v="2"/>
    <x v="4"/>
    <s v="313"/>
    <x v="4"/>
  </r>
  <r>
    <x v="954"/>
    <n v="738"/>
    <n v="5"/>
    <n v="460.88"/>
    <x v="1"/>
    <x v="0"/>
    <x v="2"/>
    <s v="225"/>
    <x v="0"/>
  </r>
  <r>
    <x v="955"/>
    <n v="485"/>
    <n v="2"/>
    <n v="361.4"/>
    <x v="4"/>
    <x v="2"/>
    <x v="0"/>
    <s v="514"/>
    <x v="0"/>
  </r>
  <r>
    <x v="956"/>
    <n v="481"/>
    <n v="4"/>
    <n v="51.86"/>
    <x v="4"/>
    <x v="0"/>
    <x v="3"/>
    <s v="521"/>
    <x v="5"/>
  </r>
  <r>
    <x v="957"/>
    <n v="505"/>
    <n v="5"/>
    <n v="310.16000000000003"/>
    <x v="4"/>
    <x v="0"/>
    <x v="4"/>
    <s v="523"/>
    <x v="4"/>
  </r>
  <r>
    <x v="958"/>
    <n v="750"/>
    <n v="8"/>
    <n v="300.73"/>
    <x v="1"/>
    <x v="4"/>
    <x v="4"/>
    <s v="243"/>
    <x v="1"/>
  </r>
  <r>
    <x v="959"/>
    <n v="555"/>
    <n v="12"/>
    <n v="356.87"/>
    <x v="4"/>
    <x v="1"/>
    <x v="0"/>
    <s v="554"/>
    <x v="6"/>
  </r>
  <r>
    <x v="960"/>
    <n v="481"/>
    <n v="6"/>
    <n v="82.37"/>
    <x v="4"/>
    <x v="3"/>
    <x v="3"/>
    <s v="531"/>
    <x v="2"/>
  </r>
  <r>
    <x v="961"/>
    <n v="830"/>
    <n v="3"/>
    <n v="372.6"/>
    <x v="0"/>
    <x v="2"/>
    <x v="0"/>
    <s v="114"/>
    <x v="0"/>
  </r>
  <r>
    <x v="962"/>
    <n v="630"/>
    <n v="9"/>
    <n v="78.319999999999993"/>
    <x v="3"/>
    <x v="4"/>
    <x v="3"/>
    <s v="341"/>
    <x v="4"/>
  </r>
  <r>
    <x v="963"/>
    <n v="830"/>
    <n v="12"/>
    <n v="71.72"/>
    <x v="0"/>
    <x v="1"/>
    <x v="3"/>
    <s v="151"/>
    <x v="1"/>
  </r>
  <r>
    <x v="964"/>
    <n v="629"/>
    <n v="12"/>
    <n v="241.1"/>
    <x v="3"/>
    <x v="1"/>
    <x v="4"/>
    <s v="353"/>
    <x v="4"/>
  </r>
  <r>
    <x v="965"/>
    <n v="631"/>
    <n v="9"/>
    <n v="96.86"/>
    <x v="3"/>
    <x v="4"/>
    <x v="3"/>
    <s v="341"/>
    <x v="4"/>
  </r>
  <r>
    <x v="966"/>
    <n v="525"/>
    <n v="11"/>
    <n v="276.25"/>
    <x v="4"/>
    <x v="1"/>
    <x v="4"/>
    <s v="553"/>
    <x v="2"/>
  </r>
  <r>
    <x v="967"/>
    <n v="542"/>
    <n v="10"/>
    <n v="318.45"/>
    <x v="4"/>
    <x v="1"/>
    <x v="4"/>
    <s v="553"/>
    <x v="2"/>
  </r>
  <r>
    <x v="968"/>
    <n v="577"/>
    <n v="6"/>
    <n v="117.03"/>
    <x v="2"/>
    <x v="3"/>
    <x v="3"/>
    <s v="431"/>
    <x v="2"/>
  </r>
  <r>
    <x v="969"/>
    <n v="545"/>
    <n v="7"/>
    <n v="490.41"/>
    <x v="4"/>
    <x v="3"/>
    <x v="2"/>
    <s v="535"/>
    <x v="2"/>
  </r>
  <r>
    <x v="970"/>
    <n v="588"/>
    <n v="7"/>
    <n v="476.42"/>
    <x v="2"/>
    <x v="3"/>
    <x v="2"/>
    <s v="435"/>
    <x v="2"/>
  </r>
  <r>
    <x v="971"/>
    <n v="642"/>
    <n v="5"/>
    <n v="392.27"/>
    <x v="3"/>
    <x v="0"/>
    <x v="0"/>
    <s v="324"/>
    <x v="0"/>
  </r>
  <r>
    <x v="972"/>
    <n v="708"/>
    <n v="9"/>
    <n v="207.24"/>
    <x v="1"/>
    <x v="4"/>
    <x v="1"/>
    <s v="242"/>
    <x v="1"/>
  </r>
  <r>
    <x v="973"/>
    <n v="556"/>
    <n v="3"/>
    <n v="141.63"/>
    <x v="4"/>
    <x v="2"/>
    <x v="1"/>
    <s v="512"/>
    <x v="5"/>
  </r>
  <r>
    <x v="974"/>
    <n v="666"/>
    <n v="5"/>
    <n v="244.47"/>
    <x v="3"/>
    <x v="0"/>
    <x v="4"/>
    <s v="323"/>
    <x v="4"/>
  </r>
  <r>
    <x v="975"/>
    <n v="605"/>
    <n v="9"/>
    <n v="251.63"/>
    <x v="2"/>
    <x v="4"/>
    <x v="4"/>
    <s v="443"/>
    <x v="2"/>
  </r>
  <r>
    <x v="976"/>
    <n v="795"/>
    <n v="12"/>
    <n v="431.78"/>
    <x v="0"/>
    <x v="1"/>
    <x v="2"/>
    <s v="155"/>
    <x v="3"/>
  </r>
  <r>
    <x v="977"/>
    <n v="831"/>
    <n v="2"/>
    <n v="303.08999999999997"/>
    <x v="0"/>
    <x v="2"/>
    <x v="4"/>
    <s v="113"/>
    <x v="7"/>
  </r>
  <r>
    <x v="978"/>
    <n v="518"/>
    <n v="9"/>
    <n v="341.24"/>
    <x v="4"/>
    <x v="4"/>
    <x v="0"/>
    <s v="544"/>
    <x v="6"/>
  </r>
  <r>
    <x v="979"/>
    <n v="710"/>
    <n v="10"/>
    <n v="211.39"/>
    <x v="1"/>
    <x v="1"/>
    <x v="1"/>
    <s v="252"/>
    <x v="1"/>
  </r>
  <r>
    <x v="980"/>
    <n v="579"/>
    <n v="9"/>
    <n v="379.21"/>
    <x v="2"/>
    <x v="4"/>
    <x v="0"/>
    <s v="444"/>
    <x v="6"/>
  </r>
  <r>
    <x v="981"/>
    <n v="736"/>
    <n v="8"/>
    <n v="309.52999999999997"/>
    <x v="1"/>
    <x v="4"/>
    <x v="4"/>
    <s v="243"/>
    <x v="1"/>
  </r>
  <r>
    <x v="982"/>
    <n v="775"/>
    <n v="6"/>
    <n v="359.45"/>
    <x v="0"/>
    <x v="3"/>
    <x v="0"/>
    <s v="134"/>
    <x v="0"/>
  </r>
  <r>
    <x v="983"/>
    <n v="731"/>
    <n v="8"/>
    <n v="479.62"/>
    <x v="1"/>
    <x v="4"/>
    <x v="2"/>
    <s v="245"/>
    <x v="3"/>
  </r>
  <r>
    <x v="984"/>
    <n v="781"/>
    <n v="2"/>
    <n v="208.6"/>
    <x v="0"/>
    <x v="2"/>
    <x v="1"/>
    <s v="112"/>
    <x v="7"/>
  </r>
  <r>
    <x v="985"/>
    <n v="819"/>
    <n v="2"/>
    <n v="180.21"/>
    <x v="0"/>
    <x v="2"/>
    <x v="1"/>
    <s v="112"/>
    <x v="7"/>
  </r>
  <r>
    <x v="986"/>
    <n v="823"/>
    <n v="3"/>
    <n v="197.9"/>
    <x v="0"/>
    <x v="2"/>
    <x v="1"/>
    <s v="112"/>
    <x v="7"/>
  </r>
  <r>
    <x v="987"/>
    <n v="567"/>
    <n v="7"/>
    <n v="362.3"/>
    <x v="2"/>
    <x v="3"/>
    <x v="0"/>
    <s v="434"/>
    <x v="2"/>
  </r>
  <r>
    <x v="988"/>
    <n v="723"/>
    <n v="11"/>
    <n v="159.53"/>
    <x v="1"/>
    <x v="1"/>
    <x v="1"/>
    <s v="252"/>
    <x v="1"/>
  </r>
  <r>
    <x v="989"/>
    <n v="771"/>
    <n v="9"/>
    <n v="149.52000000000001"/>
    <x v="0"/>
    <x v="4"/>
    <x v="1"/>
    <s v="142"/>
    <x v="1"/>
  </r>
  <r>
    <x v="990"/>
    <n v="555"/>
    <n v="5"/>
    <n v="206.32"/>
    <x v="4"/>
    <x v="0"/>
    <x v="1"/>
    <s v="522"/>
    <x v="5"/>
  </r>
  <r>
    <x v="991"/>
    <n v="699"/>
    <n v="11"/>
    <n v="308.58"/>
    <x v="1"/>
    <x v="1"/>
    <x v="4"/>
    <s v="253"/>
    <x v="1"/>
  </r>
  <r>
    <x v="992"/>
    <n v="831"/>
    <n v="5"/>
    <n v="91.34"/>
    <x v="0"/>
    <x v="0"/>
    <x v="3"/>
    <s v="121"/>
    <x v="7"/>
  </r>
  <r>
    <x v="993"/>
    <n v="713"/>
    <n v="7"/>
    <n v="455.44"/>
    <x v="1"/>
    <x v="3"/>
    <x v="2"/>
    <s v="235"/>
    <x v="0"/>
  </r>
  <r>
    <x v="994"/>
    <n v="819"/>
    <n v="8"/>
    <n v="468.16"/>
    <x v="0"/>
    <x v="4"/>
    <x v="2"/>
    <s v="145"/>
    <x v="3"/>
  </r>
  <r>
    <x v="995"/>
    <n v="652"/>
    <n v="5"/>
    <n v="463.67"/>
    <x v="3"/>
    <x v="0"/>
    <x v="2"/>
    <s v="325"/>
    <x v="0"/>
  </r>
  <r>
    <x v="996"/>
    <n v="753"/>
    <n v="9"/>
    <n v="69.78"/>
    <x v="1"/>
    <x v="4"/>
    <x v="3"/>
    <s v="241"/>
    <x v="1"/>
  </r>
  <r>
    <x v="997"/>
    <n v="770"/>
    <n v="10"/>
    <n v="453.37"/>
    <x v="0"/>
    <x v="1"/>
    <x v="2"/>
    <s v="155"/>
    <x v="3"/>
  </r>
  <r>
    <x v="998"/>
    <n v="751"/>
    <n v="12"/>
    <n v="106.15"/>
    <x v="1"/>
    <x v="1"/>
    <x v="3"/>
    <s v="251"/>
    <x v="1"/>
  </r>
  <r>
    <x v="999"/>
    <n v="498"/>
    <n v="6"/>
    <n v="378.47"/>
    <x v="4"/>
    <x v="3"/>
    <x v="0"/>
    <s v="534"/>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37-611-6911"/>
    <x v="0"/>
    <x v="0"/>
    <x v="0"/>
    <s v="Married"/>
    <s v="Bachelor's"/>
    <s v="Middle"/>
    <s v="Ã‰vry"/>
    <x v="0"/>
    <n v="333.8"/>
    <n v="4"/>
    <x v="0"/>
    <n v="5"/>
    <n v="5"/>
    <n v="2"/>
    <s v="None"/>
    <s v="Somewhat Sensitive"/>
    <n v="1"/>
    <n v="7"/>
    <s v="None"/>
    <x v="0"/>
    <x v="0"/>
    <d v="2024-03-01T00:00:00"/>
    <n v="781"/>
    <b v="1"/>
    <b v="0"/>
    <x v="0"/>
    <s v="No Preference"/>
    <n v="2"/>
  </r>
  <r>
    <s v="29-392-9296"/>
    <x v="1"/>
    <x v="1"/>
    <x v="1"/>
    <s v="Married"/>
    <s v="High School"/>
    <s v="High"/>
    <s v="Huocheng"/>
    <x v="1"/>
    <n v="222.22"/>
    <n v="11"/>
    <x v="1"/>
    <n v="3"/>
    <n v="1"/>
    <n v="2"/>
    <s v="Medium"/>
    <s v="Not Sensitive"/>
    <n v="1"/>
    <n v="5"/>
    <s v="High"/>
    <x v="0"/>
    <x v="1"/>
    <d v="2024-04-16T00:00:00"/>
    <n v="735"/>
    <b v="1"/>
    <b v="0"/>
    <x v="1"/>
    <s v="Standard"/>
    <n v="6"/>
  </r>
  <r>
    <s v="84-649-5117"/>
    <x v="2"/>
    <x v="0"/>
    <x v="0"/>
    <s v="Single"/>
    <s v="Master's"/>
    <s v="High"/>
    <s v="Huzhen"/>
    <x v="2"/>
    <n v="426.22"/>
    <n v="2"/>
    <x v="0"/>
    <n v="5"/>
    <n v="5"/>
    <n v="0.3"/>
    <s v="Low"/>
    <s v="Not Sensitive"/>
    <n v="1"/>
    <n v="7"/>
    <s v="Low"/>
    <x v="1"/>
    <x v="2"/>
    <d v="2024-03-15T00:00:00"/>
    <n v="767"/>
    <b v="1"/>
    <b v="1"/>
    <x v="2"/>
    <s v="No Preference"/>
    <n v="3"/>
  </r>
  <r>
    <s v="48-980-6078"/>
    <x v="3"/>
    <x v="0"/>
    <x v="0"/>
    <s v="Single"/>
    <s v="Master's"/>
    <s v="Middle"/>
    <s v="WiwilÃ­"/>
    <x v="3"/>
    <n v="101.31"/>
    <n v="6"/>
    <x v="0"/>
    <n v="3"/>
    <n v="1"/>
    <n v="1"/>
    <s v="High"/>
    <s v="Somewhat Sensitive"/>
    <n v="0"/>
    <n v="1"/>
    <s v="None"/>
    <x v="1"/>
    <x v="3"/>
    <d v="2024-10-04T00:00:00"/>
    <n v="564"/>
    <b v="1"/>
    <b v="1"/>
    <x v="0"/>
    <s v="Express"/>
    <n v="10"/>
  </r>
  <r>
    <s v="91-170-9072"/>
    <x v="4"/>
    <x v="0"/>
    <x v="0"/>
    <s v="Widowed"/>
    <s v="High School"/>
    <s v="Middle"/>
    <s v="Nara"/>
    <x v="4"/>
    <n v="211.7"/>
    <n v="6"/>
    <x v="0"/>
    <n v="3"/>
    <n v="4"/>
    <n v="0"/>
    <s v="Medium"/>
    <s v="Not Sensitive"/>
    <n v="2"/>
    <n v="10"/>
    <s v="None"/>
    <x v="1"/>
    <x v="2"/>
    <d v="2024-01-30T00:00:00"/>
    <n v="812"/>
    <b v="0"/>
    <b v="0"/>
    <x v="1"/>
    <s v="No Preference"/>
    <n v="4"/>
  </r>
  <r>
    <s v="82-561-4233"/>
    <x v="5"/>
    <x v="1"/>
    <x v="0"/>
    <s v="Married"/>
    <s v="Master's"/>
    <s v="High"/>
    <s v="Boro Utara"/>
    <x v="2"/>
    <n v="487.95"/>
    <n v="8"/>
    <x v="0"/>
    <n v="3"/>
    <n v="3"/>
    <n v="0"/>
    <s v="High"/>
    <s v="Not Sensitive"/>
    <n v="2"/>
    <n v="3"/>
    <s v="None"/>
    <x v="0"/>
    <x v="2"/>
    <d v="2024-03-19T00:00:00"/>
    <n v="763"/>
    <b v="0"/>
    <b v="0"/>
    <x v="3"/>
    <s v="No Preference"/>
    <n v="7"/>
  </r>
  <r>
    <s v="90-144-9193"/>
    <x v="6"/>
    <x v="0"/>
    <x v="0"/>
    <s v="Divorced"/>
    <s v="High School"/>
    <s v="Middle"/>
    <s v="Liren"/>
    <x v="4"/>
    <n v="486.4"/>
    <n v="12"/>
    <x v="2"/>
    <n v="2"/>
    <n v="5"/>
    <n v="1"/>
    <s v="High"/>
    <s v="Somewhat Sensitive"/>
    <n v="0"/>
    <n v="9"/>
    <s v="Low"/>
    <x v="2"/>
    <x v="2"/>
    <d v="2024-03-15T00:00:00"/>
    <n v="767"/>
    <b v="1"/>
    <b v="0"/>
    <x v="0"/>
    <s v="Express"/>
    <n v="13"/>
  </r>
  <r>
    <s v="88-661-4689"/>
    <x v="7"/>
    <x v="1"/>
    <x v="0"/>
    <s v="Single"/>
    <s v="High School"/>
    <s v="Middle"/>
    <s v="Taocheng"/>
    <x v="5"/>
    <n v="218.06"/>
    <n v="6"/>
    <x v="2"/>
    <n v="5"/>
    <n v="4"/>
    <n v="1"/>
    <s v="Low"/>
    <s v="Somewhat Sensitive"/>
    <n v="2"/>
    <n v="9"/>
    <s v="None"/>
    <x v="2"/>
    <x v="0"/>
    <d v="2024-03-17T00:00:00"/>
    <n v="765"/>
    <b v="0"/>
    <b v="1"/>
    <x v="2"/>
    <s v="No Preference"/>
    <n v="13"/>
  </r>
  <r>
    <s v="37-065-3182"/>
    <x v="2"/>
    <x v="0"/>
    <x v="1"/>
    <s v="Divorced"/>
    <s v="Master's"/>
    <s v="Middle"/>
    <s v="GrÃ¥bo"/>
    <x v="2"/>
    <n v="201.96"/>
    <n v="8"/>
    <x v="1"/>
    <n v="3"/>
    <n v="5"/>
    <n v="0"/>
    <s v="Low"/>
    <s v="Very Sensitive"/>
    <n v="1"/>
    <n v="2"/>
    <s v="High"/>
    <x v="2"/>
    <x v="4"/>
    <d v="2024-06-10T00:00:00"/>
    <n v="680"/>
    <b v="0"/>
    <b v="0"/>
    <x v="0"/>
    <s v="Standard"/>
    <n v="7"/>
  </r>
  <r>
    <s v="84-894-9222"/>
    <x v="8"/>
    <x v="2"/>
    <x v="1"/>
    <s v="Married"/>
    <s v="Bachelor's"/>
    <s v="High"/>
    <s v="Pryamitsyno"/>
    <x v="6"/>
    <n v="418.83"/>
    <n v="7"/>
    <x v="2"/>
    <n v="2"/>
    <n v="5"/>
    <n v="1"/>
    <s v="None"/>
    <s v="Somewhat Sensitive"/>
    <n v="1"/>
    <n v="5"/>
    <s v="Medium"/>
    <x v="0"/>
    <x v="1"/>
    <d v="2024-10-07T00:00:00"/>
    <n v="561"/>
    <b v="1"/>
    <b v="0"/>
    <x v="0"/>
    <s v="No Preference"/>
    <n v="13"/>
  </r>
  <r>
    <s v="44-674-4037"/>
    <x v="4"/>
    <x v="1"/>
    <x v="0"/>
    <s v="Divorced"/>
    <s v="Bachelor's"/>
    <s v="Middle"/>
    <s v="Punta Gorda"/>
    <x v="7"/>
    <n v="389.7"/>
    <n v="12"/>
    <x v="1"/>
    <n v="1"/>
    <n v="4"/>
    <n v="0.5"/>
    <s v="Low"/>
    <s v="Not Sensitive"/>
    <n v="0"/>
    <n v="4"/>
    <s v="High"/>
    <x v="2"/>
    <x v="1"/>
    <d v="2024-07-02T00:00:00"/>
    <n v="658"/>
    <b v="1"/>
    <b v="0"/>
    <x v="3"/>
    <s v="Express"/>
    <n v="12"/>
  </r>
  <r>
    <s v="78-116-8349"/>
    <x v="9"/>
    <x v="0"/>
    <x v="1"/>
    <s v="Widowed"/>
    <s v="Bachelor's"/>
    <s v="Middle"/>
    <s v="GyÅ‘r"/>
    <x v="6"/>
    <n v="238.93"/>
    <n v="5"/>
    <x v="2"/>
    <n v="4"/>
    <n v="3"/>
    <n v="1"/>
    <s v="Medium"/>
    <s v="Very Sensitive"/>
    <n v="0"/>
    <n v="10"/>
    <s v="High"/>
    <x v="0"/>
    <x v="4"/>
    <d v="2024-12-27T00:00:00"/>
    <n v="480"/>
    <b v="1"/>
    <b v="0"/>
    <x v="3"/>
    <s v="No Preference"/>
    <n v="1"/>
  </r>
  <r>
    <s v="19-933-8095"/>
    <x v="10"/>
    <x v="1"/>
    <x v="0"/>
    <s v="Single"/>
    <s v="Bachelor's"/>
    <s v="High"/>
    <s v="Gaosheng"/>
    <x v="8"/>
    <n v="61.22"/>
    <n v="7"/>
    <x v="1"/>
    <n v="5"/>
    <n v="2"/>
    <n v="2"/>
    <s v="Low"/>
    <s v="Very Sensitive"/>
    <n v="1"/>
    <n v="7"/>
    <s v="High"/>
    <x v="2"/>
    <x v="2"/>
    <d v="2024-08-05T00:00:00"/>
    <n v="624"/>
    <b v="1"/>
    <b v="1"/>
    <x v="0"/>
    <s v="No Preference"/>
    <n v="5"/>
  </r>
  <r>
    <s v="80-684-5072"/>
    <x v="11"/>
    <x v="1"/>
    <x v="1"/>
    <s v="Married"/>
    <s v="High School"/>
    <s v="Middle"/>
    <s v="Rokytne"/>
    <x v="9"/>
    <n v="79.81"/>
    <n v="4"/>
    <x v="0"/>
    <n v="5"/>
    <n v="5"/>
    <n v="0"/>
    <s v="High"/>
    <s v="Not Sensitive"/>
    <n v="0"/>
    <n v="9"/>
    <s v="High"/>
    <x v="1"/>
    <x v="2"/>
    <d v="2024-07-16T00:00:00"/>
    <n v="644"/>
    <b v="0"/>
    <b v="1"/>
    <x v="1"/>
    <s v="Standard"/>
    <n v="14"/>
  </r>
  <r>
    <s v="23-302-7502"/>
    <x v="12"/>
    <x v="0"/>
    <x v="1"/>
    <s v="Widowed"/>
    <s v="High School"/>
    <s v="High"/>
    <s v="Alameda"/>
    <x v="10"/>
    <n v="58.51"/>
    <n v="2"/>
    <x v="2"/>
    <n v="4"/>
    <n v="4"/>
    <n v="0.5"/>
    <s v="None"/>
    <s v="Not Sensitive"/>
    <n v="0"/>
    <n v="4"/>
    <s v="Medium"/>
    <x v="2"/>
    <x v="1"/>
    <d v="2024-12-14T00:00:00"/>
    <n v="493"/>
    <b v="1"/>
    <b v="1"/>
    <x v="3"/>
    <s v="No Preference"/>
    <n v="14"/>
  </r>
  <r>
    <s v="90-069-8934"/>
    <x v="13"/>
    <x v="1"/>
    <x v="1"/>
    <s v="Divorced"/>
    <s v="Master's"/>
    <s v="High"/>
    <s v="DhankutÄ"/>
    <x v="11"/>
    <n v="109.29"/>
    <n v="3"/>
    <x v="2"/>
    <n v="3"/>
    <n v="4"/>
    <n v="0"/>
    <s v="Medium"/>
    <s v="Somewhat Sensitive"/>
    <n v="2"/>
    <n v="2"/>
    <s v="High"/>
    <x v="2"/>
    <x v="2"/>
    <d v="2024-08-11T00:00:00"/>
    <n v="618"/>
    <b v="0"/>
    <b v="1"/>
    <x v="1"/>
    <s v="Express"/>
    <n v="11"/>
  </r>
  <r>
    <s v="45-073-7243"/>
    <x v="14"/>
    <x v="1"/>
    <x v="1"/>
    <s v="Single"/>
    <s v="Bachelor's"/>
    <s v="High"/>
    <s v="Jindong"/>
    <x v="4"/>
    <n v="356.45"/>
    <n v="6"/>
    <x v="0"/>
    <n v="5"/>
    <n v="5"/>
    <n v="2"/>
    <s v="Low"/>
    <s v="Very Sensitive"/>
    <n v="0"/>
    <n v="7"/>
    <s v="Medium"/>
    <x v="1"/>
    <x v="0"/>
    <d v="2024-10-18T00:00:00"/>
    <n v="550"/>
    <b v="0"/>
    <b v="1"/>
    <x v="3"/>
    <s v="Standard"/>
    <n v="8"/>
  </r>
  <r>
    <s v="89-883-2101"/>
    <x v="9"/>
    <x v="0"/>
    <x v="0"/>
    <s v="Divorced"/>
    <s v="Bachelor's"/>
    <s v="High"/>
    <s v="Ngeru"/>
    <x v="7"/>
    <n v="236.99"/>
    <n v="10"/>
    <x v="0"/>
    <n v="2"/>
    <n v="4"/>
    <n v="0"/>
    <s v="High"/>
    <s v="Very Sensitive"/>
    <n v="0"/>
    <n v="8"/>
    <s v="None"/>
    <x v="0"/>
    <x v="1"/>
    <d v="2024-12-09T00:00:00"/>
    <n v="498"/>
    <b v="1"/>
    <b v="1"/>
    <x v="2"/>
    <s v="No Preference"/>
    <n v="13"/>
  </r>
  <r>
    <s v="00-477-9449"/>
    <x v="15"/>
    <x v="1"/>
    <x v="0"/>
    <s v="Widowed"/>
    <s v="Bachelor's"/>
    <s v="High"/>
    <s v="White Rock"/>
    <x v="12"/>
    <n v="454.39"/>
    <n v="10"/>
    <x v="1"/>
    <n v="2"/>
    <n v="4"/>
    <n v="2"/>
    <s v="Medium"/>
    <s v="Not Sensitive"/>
    <n v="0"/>
    <n v="3"/>
    <s v="None"/>
    <x v="2"/>
    <x v="3"/>
    <d v="2024-07-23T00:00:00"/>
    <n v="637"/>
    <b v="0"/>
    <b v="1"/>
    <x v="2"/>
    <s v="Standard"/>
    <n v="3"/>
  </r>
  <r>
    <s v="67-159-7366"/>
    <x v="3"/>
    <x v="0"/>
    <x v="1"/>
    <s v="Widowed"/>
    <s v="Bachelor's"/>
    <s v="Middle"/>
    <s v="Monastyrshchina"/>
    <x v="13"/>
    <n v="490.75"/>
    <n v="10"/>
    <x v="1"/>
    <n v="2"/>
    <n v="4"/>
    <n v="1"/>
    <s v="None"/>
    <s v="Very Sensitive"/>
    <n v="1"/>
    <n v="4"/>
    <s v="Low"/>
    <x v="1"/>
    <x v="2"/>
    <d v="2024-07-08T00:00:00"/>
    <n v="652"/>
    <b v="0"/>
    <b v="0"/>
    <x v="1"/>
    <s v="Standard"/>
    <n v="13"/>
  </r>
  <r>
    <s v="85-691-4293"/>
    <x v="6"/>
    <x v="0"/>
    <x v="0"/>
    <s v="Widowed"/>
    <s v="High School"/>
    <s v="Middle"/>
    <s v="Pangkalanbunut"/>
    <x v="14"/>
    <n v="463.07"/>
    <n v="7"/>
    <x v="0"/>
    <n v="4"/>
    <n v="2"/>
    <n v="0"/>
    <s v="None"/>
    <s v="Very Sensitive"/>
    <n v="1"/>
    <n v="2"/>
    <s v="Medium"/>
    <x v="1"/>
    <x v="1"/>
    <d v="2024-07-23T00:00:00"/>
    <n v="637"/>
    <b v="1"/>
    <b v="0"/>
    <x v="1"/>
    <s v="No Preference"/>
    <n v="11"/>
  </r>
  <r>
    <s v="56-085-0464"/>
    <x v="15"/>
    <x v="0"/>
    <x v="1"/>
    <s v="Married"/>
    <s v="Master's"/>
    <s v="High"/>
    <s v="Lederaba"/>
    <x v="15"/>
    <n v="56.74"/>
    <n v="5"/>
    <x v="2"/>
    <n v="5"/>
    <n v="1"/>
    <n v="0"/>
    <s v="Medium"/>
    <s v="Very Sensitive"/>
    <n v="0"/>
    <n v="6"/>
    <s v="None"/>
    <x v="1"/>
    <x v="3"/>
    <d v="2024-07-31T00:00:00"/>
    <n v="629"/>
    <b v="1"/>
    <b v="0"/>
    <x v="2"/>
    <s v="Express"/>
    <n v="7"/>
  </r>
  <r>
    <s v="33-264-2822"/>
    <x v="9"/>
    <x v="1"/>
    <x v="1"/>
    <s v="Divorced"/>
    <s v="Bachelor's"/>
    <s v="Middle"/>
    <s v="Lugo"/>
    <x v="16"/>
    <n v="371.32"/>
    <n v="7"/>
    <x v="1"/>
    <n v="4"/>
    <n v="4"/>
    <n v="0.7"/>
    <s v="Medium"/>
    <s v="Not Sensitive"/>
    <n v="2"/>
    <n v="1"/>
    <s v="None"/>
    <x v="0"/>
    <x v="2"/>
    <d v="2024-02-25T00:00:00"/>
    <n v="786"/>
    <b v="1"/>
    <b v="1"/>
    <x v="2"/>
    <s v="Standard"/>
    <n v="6"/>
  </r>
  <r>
    <s v="95-478-2650"/>
    <x v="14"/>
    <x v="0"/>
    <x v="0"/>
    <s v="Single"/>
    <s v="Bachelor's"/>
    <s v="Middle"/>
    <s v="SÃ£o Roque"/>
    <x v="14"/>
    <n v="461"/>
    <n v="7"/>
    <x v="2"/>
    <n v="2"/>
    <n v="4"/>
    <n v="1"/>
    <s v="High"/>
    <s v="Not Sensitive"/>
    <n v="0"/>
    <n v="8"/>
    <s v="Low"/>
    <x v="0"/>
    <x v="4"/>
    <d v="2024-07-10T00:00:00"/>
    <n v="650"/>
    <b v="0"/>
    <b v="1"/>
    <x v="1"/>
    <s v="Standard"/>
    <n v="9"/>
  </r>
  <r>
    <s v="04-349-6759"/>
    <x v="4"/>
    <x v="0"/>
    <x v="1"/>
    <s v="Married"/>
    <s v="Bachelor's"/>
    <s v="High"/>
    <s v="BanÄ« KhaddÄsh"/>
    <x v="1"/>
    <n v="253.37"/>
    <n v="6"/>
    <x v="1"/>
    <n v="4"/>
    <n v="1"/>
    <n v="1"/>
    <s v="None"/>
    <s v="Very Sensitive"/>
    <n v="2"/>
    <n v="10"/>
    <s v="High"/>
    <x v="0"/>
    <x v="3"/>
    <d v="2024-12-25T00:00:00"/>
    <n v="482"/>
    <b v="1"/>
    <b v="0"/>
    <x v="2"/>
    <s v="Standard"/>
    <n v="8"/>
  </r>
  <r>
    <s v="21-755-8745"/>
    <x v="14"/>
    <x v="1"/>
    <x v="1"/>
    <s v="Widowed"/>
    <s v="High School"/>
    <s v="High"/>
    <s v="Montpellier"/>
    <x v="12"/>
    <n v="136.53"/>
    <n v="3"/>
    <x v="0"/>
    <n v="2"/>
    <n v="4"/>
    <n v="2"/>
    <s v="High"/>
    <s v="Not Sensitive"/>
    <n v="1"/>
    <n v="3"/>
    <s v="High"/>
    <x v="1"/>
    <x v="1"/>
    <d v="2024-05-31T00:00:00"/>
    <n v="690"/>
    <b v="1"/>
    <b v="1"/>
    <x v="3"/>
    <s v="Standard"/>
    <n v="10"/>
  </r>
  <r>
    <s v="29-625-7057"/>
    <x v="16"/>
    <x v="0"/>
    <x v="0"/>
    <s v="Single"/>
    <s v="Master's"/>
    <s v="Middle"/>
    <s v="Nesovice"/>
    <x v="17"/>
    <n v="489.05"/>
    <n v="10"/>
    <x v="2"/>
    <n v="5"/>
    <n v="3"/>
    <n v="0"/>
    <s v="High"/>
    <s v="Somewhat Sensitive"/>
    <n v="2"/>
    <n v="2"/>
    <s v="High"/>
    <x v="2"/>
    <x v="1"/>
    <d v="2024-09-04T00:00:00"/>
    <n v="594"/>
    <b v="1"/>
    <b v="1"/>
    <x v="3"/>
    <s v="Standard"/>
    <n v="7"/>
  </r>
  <r>
    <s v="58-623-8404"/>
    <x v="17"/>
    <x v="1"/>
    <x v="1"/>
    <s v="Single"/>
    <s v="Master's"/>
    <s v="High"/>
    <s v="Pasirhuni"/>
    <x v="13"/>
    <n v="81.91"/>
    <n v="10"/>
    <x v="1"/>
    <n v="3"/>
    <n v="4"/>
    <n v="1"/>
    <s v="Medium"/>
    <s v="Very Sensitive"/>
    <n v="0"/>
    <n v="4"/>
    <s v="None"/>
    <x v="2"/>
    <x v="2"/>
    <d v="2024-07-24T00:00:00"/>
    <n v="636"/>
    <b v="0"/>
    <b v="1"/>
    <x v="0"/>
    <s v="Express"/>
    <n v="2"/>
  </r>
  <r>
    <s v="56-506-4709"/>
    <x v="17"/>
    <x v="1"/>
    <x v="0"/>
    <s v="Married"/>
    <s v="Bachelor's"/>
    <s v="Middle"/>
    <s v="Glendale"/>
    <x v="17"/>
    <n v="135.80000000000001"/>
    <n v="2"/>
    <x v="1"/>
    <n v="2"/>
    <n v="5"/>
    <n v="1"/>
    <s v="Low"/>
    <s v="Somewhat Sensitive"/>
    <n v="1"/>
    <n v="2"/>
    <s v="High"/>
    <x v="2"/>
    <x v="2"/>
    <d v="2024-11-16T00:00:00"/>
    <n v="521"/>
    <b v="0"/>
    <b v="1"/>
    <x v="3"/>
    <s v="No Preference"/>
    <n v="9"/>
  </r>
  <r>
    <s v="25-839-8670"/>
    <x v="5"/>
    <x v="0"/>
    <x v="0"/>
    <s v="Widowed"/>
    <s v="High School"/>
    <s v="Middle"/>
    <s v="TÃ¡la"/>
    <x v="18"/>
    <n v="382.24"/>
    <n v="12"/>
    <x v="1"/>
    <n v="1"/>
    <n v="5"/>
    <n v="1"/>
    <s v="High"/>
    <s v="Very Sensitive"/>
    <n v="1"/>
    <n v="4"/>
    <s v="High"/>
    <x v="0"/>
    <x v="1"/>
    <d v="2024-07-06T00:00:00"/>
    <n v="654"/>
    <b v="1"/>
    <b v="1"/>
    <x v="3"/>
    <s v="Standard"/>
    <n v="3"/>
  </r>
  <r>
    <s v="89-194-0596"/>
    <x v="4"/>
    <x v="0"/>
    <x v="1"/>
    <s v="Married"/>
    <s v="Bachelor's"/>
    <s v="Middle"/>
    <s v="Marseille"/>
    <x v="0"/>
    <n v="354.7"/>
    <n v="5"/>
    <x v="2"/>
    <n v="4"/>
    <n v="2"/>
    <n v="0"/>
    <s v="None"/>
    <s v="Very Sensitive"/>
    <n v="2"/>
    <n v="7"/>
    <s v="None"/>
    <x v="1"/>
    <x v="3"/>
    <d v="2024-02-10T00:00:00"/>
    <n v="801"/>
    <b v="1"/>
    <b v="0"/>
    <x v="3"/>
    <s v="Express"/>
    <n v="12"/>
  </r>
  <r>
    <s v="55-163-1389"/>
    <x v="2"/>
    <x v="1"/>
    <x v="1"/>
    <s v="Divorced"/>
    <s v="Bachelor's"/>
    <s v="High"/>
    <s v="Nasielsk"/>
    <x v="7"/>
    <n v="433.82"/>
    <n v="6"/>
    <x v="2"/>
    <n v="3"/>
    <n v="2"/>
    <n v="1"/>
    <s v="Medium"/>
    <s v="Somewhat Sensitive"/>
    <n v="0"/>
    <n v="8"/>
    <s v="Medium"/>
    <x v="2"/>
    <x v="3"/>
    <d v="2024-06-29T00:00:00"/>
    <n v="661"/>
    <b v="0"/>
    <b v="1"/>
    <x v="3"/>
    <s v="Express"/>
    <n v="10"/>
  </r>
  <r>
    <s v="28-225-4286"/>
    <x v="7"/>
    <x v="3"/>
    <x v="1"/>
    <s v="Married"/>
    <s v="Bachelor's"/>
    <s v="Middle"/>
    <s v="Paris 06"/>
    <x v="7"/>
    <n v="282.13"/>
    <n v="5"/>
    <x v="0"/>
    <n v="4"/>
    <n v="5"/>
    <n v="1"/>
    <s v="None"/>
    <s v="Somewhat Sensitive"/>
    <n v="1"/>
    <n v="2"/>
    <s v="None"/>
    <x v="0"/>
    <x v="3"/>
    <d v="2024-01-26T00:00:00"/>
    <n v="816"/>
    <b v="1"/>
    <b v="0"/>
    <x v="0"/>
    <s v="Standard"/>
    <n v="9"/>
  </r>
  <r>
    <s v="14-305-8712"/>
    <x v="18"/>
    <x v="1"/>
    <x v="1"/>
    <s v="Widowed"/>
    <s v="High School"/>
    <s v="Middle"/>
    <s v="Bronnitsy"/>
    <x v="7"/>
    <n v="454.38"/>
    <n v="10"/>
    <x v="2"/>
    <n v="3"/>
    <n v="4"/>
    <n v="0"/>
    <s v="None"/>
    <s v="Somewhat Sensitive"/>
    <n v="0"/>
    <n v="10"/>
    <s v="Medium"/>
    <x v="1"/>
    <x v="1"/>
    <d v="2024-06-15T00:00:00"/>
    <n v="675"/>
    <b v="1"/>
    <b v="0"/>
    <x v="2"/>
    <s v="No Preference"/>
    <n v="7"/>
  </r>
  <r>
    <s v="85-738-6864"/>
    <x v="8"/>
    <x v="1"/>
    <x v="0"/>
    <s v="Married"/>
    <s v="High School"/>
    <s v="High"/>
    <s v="Inayauan"/>
    <x v="7"/>
    <n v="138.88"/>
    <n v="7"/>
    <x v="1"/>
    <n v="2"/>
    <n v="4"/>
    <n v="1"/>
    <s v="None"/>
    <s v="Not Sensitive"/>
    <n v="1"/>
    <n v="3"/>
    <s v="None"/>
    <x v="0"/>
    <x v="4"/>
    <d v="2024-06-08T00:00:00"/>
    <n v="682"/>
    <b v="1"/>
    <b v="0"/>
    <x v="3"/>
    <s v="No Preference"/>
    <n v="4"/>
  </r>
  <r>
    <s v="17-198-5155"/>
    <x v="12"/>
    <x v="0"/>
    <x v="1"/>
    <s v="Single"/>
    <s v="Bachelor's"/>
    <s v="High"/>
    <s v="Qianjin"/>
    <x v="5"/>
    <n v="52.34"/>
    <n v="6"/>
    <x v="1"/>
    <n v="3"/>
    <n v="4"/>
    <n v="1"/>
    <s v="Low"/>
    <s v="Somewhat Sensitive"/>
    <n v="1"/>
    <n v="5"/>
    <s v="Medium"/>
    <x v="0"/>
    <x v="1"/>
    <d v="2024-05-21T00:00:00"/>
    <n v="700"/>
    <b v="1"/>
    <b v="1"/>
    <x v="3"/>
    <s v="Express"/>
    <n v="13"/>
  </r>
  <r>
    <s v="15-354-9904"/>
    <x v="10"/>
    <x v="1"/>
    <x v="0"/>
    <s v="Single"/>
    <s v="Bachelor's"/>
    <s v="High"/>
    <s v="Bagahanlad"/>
    <x v="19"/>
    <n v="338.2"/>
    <n v="7"/>
    <x v="2"/>
    <n v="3"/>
    <n v="5"/>
    <n v="0"/>
    <s v="None"/>
    <s v="Not Sensitive"/>
    <n v="1"/>
    <n v="9"/>
    <s v="Medium"/>
    <x v="0"/>
    <x v="3"/>
    <d v="2024-09-01T00:00:00"/>
    <n v="597"/>
    <b v="1"/>
    <b v="0"/>
    <x v="1"/>
    <s v="Standard"/>
    <n v="7"/>
  </r>
  <r>
    <s v="35-198-9248"/>
    <x v="6"/>
    <x v="0"/>
    <x v="0"/>
    <s v="Widowed"/>
    <s v="High School"/>
    <s v="Middle"/>
    <s v="Rzewnie"/>
    <x v="16"/>
    <n v="263.14999999999998"/>
    <n v="3"/>
    <x v="1"/>
    <n v="1"/>
    <n v="5"/>
    <n v="1"/>
    <s v="High"/>
    <s v="Somewhat Sensitive"/>
    <n v="1"/>
    <n v="10"/>
    <s v="High"/>
    <x v="0"/>
    <x v="3"/>
    <d v="2024-03-04T00:00:00"/>
    <n v="778"/>
    <b v="1"/>
    <b v="0"/>
    <x v="2"/>
    <s v="Express"/>
    <n v="10"/>
  </r>
  <r>
    <s v="03-950-6074"/>
    <x v="15"/>
    <x v="0"/>
    <x v="0"/>
    <s v="Married"/>
    <s v="Master's"/>
    <s v="Middle"/>
    <s v="Strabychovo"/>
    <x v="14"/>
    <n v="371.58"/>
    <n v="2"/>
    <x v="0"/>
    <n v="2"/>
    <n v="1"/>
    <n v="2"/>
    <s v="High"/>
    <s v="Not Sensitive"/>
    <n v="0"/>
    <n v="10"/>
    <s v="None"/>
    <x v="1"/>
    <x v="4"/>
    <d v="2024-09-13T00:00:00"/>
    <n v="585"/>
    <b v="1"/>
    <b v="1"/>
    <x v="1"/>
    <s v="No Preference"/>
    <n v="11"/>
  </r>
  <r>
    <s v="19-999-0134"/>
    <x v="12"/>
    <x v="1"/>
    <x v="0"/>
    <s v="Widowed"/>
    <s v="Bachelor's"/>
    <s v="Middle"/>
    <s v="Hongqi"/>
    <x v="10"/>
    <n v="353.4"/>
    <n v="2"/>
    <x v="2"/>
    <n v="2"/>
    <n v="3"/>
    <n v="2"/>
    <s v="Medium"/>
    <s v="Very Sensitive"/>
    <n v="0"/>
    <n v="1"/>
    <s v="Low"/>
    <x v="0"/>
    <x v="0"/>
    <d v="2024-12-06T00:00:00"/>
    <n v="501"/>
    <b v="0"/>
    <b v="1"/>
    <x v="2"/>
    <s v="No Preference"/>
    <n v="3"/>
  </r>
  <r>
    <s v="57-989-1487"/>
    <x v="19"/>
    <x v="0"/>
    <x v="0"/>
    <s v="Divorced"/>
    <s v="High School"/>
    <s v="High"/>
    <s v="Oeoh"/>
    <x v="14"/>
    <n v="329.41"/>
    <n v="5"/>
    <x v="1"/>
    <n v="5"/>
    <n v="3"/>
    <n v="0"/>
    <s v="Medium"/>
    <s v="Somewhat Sensitive"/>
    <n v="1"/>
    <n v="1"/>
    <s v="High"/>
    <x v="2"/>
    <x v="4"/>
    <d v="2024-10-21T00:00:00"/>
    <n v="547"/>
    <b v="1"/>
    <b v="1"/>
    <x v="0"/>
    <s v="No Preference"/>
    <n v="2"/>
  </r>
  <r>
    <s v="07-816-2673"/>
    <x v="19"/>
    <x v="0"/>
    <x v="0"/>
    <s v="Married"/>
    <s v="Master's"/>
    <s v="Middle"/>
    <s v="Topolâ€™noye"/>
    <x v="1"/>
    <n v="54.46"/>
    <n v="5"/>
    <x v="2"/>
    <n v="4"/>
    <n v="5"/>
    <n v="1"/>
    <s v="High"/>
    <s v="Not Sensitive"/>
    <n v="1"/>
    <n v="1"/>
    <s v="Low"/>
    <x v="0"/>
    <x v="3"/>
    <d v="2024-11-17T00:00:00"/>
    <n v="520"/>
    <b v="0"/>
    <b v="0"/>
    <x v="2"/>
    <s v="Standard"/>
    <n v="1"/>
  </r>
  <r>
    <s v="70-761-3550"/>
    <x v="20"/>
    <x v="1"/>
    <x v="1"/>
    <s v="Widowed"/>
    <s v="Master's"/>
    <s v="Middle"/>
    <s v="KovÃ¡Å™ov"/>
    <x v="5"/>
    <n v="257.12"/>
    <n v="8"/>
    <x v="2"/>
    <n v="2"/>
    <n v="1"/>
    <n v="0"/>
    <s v="High"/>
    <s v="Not Sensitive"/>
    <n v="2"/>
    <n v="1"/>
    <s v="High"/>
    <x v="1"/>
    <x v="3"/>
    <d v="2024-07-24T00:00:00"/>
    <n v="636"/>
    <b v="1"/>
    <b v="0"/>
    <x v="2"/>
    <s v="No Preference"/>
    <n v="11"/>
  </r>
  <r>
    <s v="38-242-3251"/>
    <x v="20"/>
    <x v="1"/>
    <x v="1"/>
    <s v="Divorced"/>
    <s v="Bachelor's"/>
    <s v="Middle"/>
    <s v="Majdal BanÄ« FÄá¸‘il"/>
    <x v="17"/>
    <n v="293.04000000000002"/>
    <n v="11"/>
    <x v="1"/>
    <n v="4"/>
    <n v="2"/>
    <n v="1"/>
    <s v="None"/>
    <s v="Very Sensitive"/>
    <n v="1"/>
    <n v="3"/>
    <s v="Low"/>
    <x v="2"/>
    <x v="1"/>
    <d v="2024-03-03T00:00:00"/>
    <n v="779"/>
    <b v="1"/>
    <b v="0"/>
    <x v="3"/>
    <s v="Standard"/>
    <n v="6"/>
  </r>
  <r>
    <s v="95-525-0842"/>
    <x v="10"/>
    <x v="1"/>
    <x v="1"/>
    <s v="Single"/>
    <s v="Master's"/>
    <s v="High"/>
    <s v="Delta del Tigre"/>
    <x v="5"/>
    <n v="110.4"/>
    <n v="12"/>
    <x v="0"/>
    <n v="5"/>
    <n v="1"/>
    <n v="2"/>
    <s v="None"/>
    <s v="Somewhat Sensitive"/>
    <n v="1"/>
    <n v="3"/>
    <s v="Medium"/>
    <x v="0"/>
    <x v="2"/>
    <d v="2024-11-13T00:00:00"/>
    <n v="524"/>
    <b v="0"/>
    <b v="0"/>
    <x v="0"/>
    <s v="Standard"/>
    <n v="12"/>
  </r>
  <r>
    <s v="37-101-4922"/>
    <x v="21"/>
    <x v="0"/>
    <x v="0"/>
    <s v="Married"/>
    <s v="Master's"/>
    <s v="High"/>
    <s v="Santa Cruz La Laguna"/>
    <x v="7"/>
    <n v="76.27"/>
    <n v="4"/>
    <x v="1"/>
    <n v="2"/>
    <n v="3"/>
    <n v="0"/>
    <s v="None"/>
    <s v="Not Sensitive"/>
    <n v="0"/>
    <n v="8"/>
    <s v="Medium"/>
    <x v="1"/>
    <x v="0"/>
    <d v="2024-12-24T00:00:00"/>
    <n v="483"/>
    <b v="1"/>
    <b v="0"/>
    <x v="1"/>
    <s v="Standard"/>
    <n v="10"/>
  </r>
  <r>
    <s v="37-128-5425"/>
    <x v="13"/>
    <x v="0"/>
    <x v="1"/>
    <s v="Widowed"/>
    <s v="Bachelor's"/>
    <s v="Middle"/>
    <s v="Manchester"/>
    <x v="16"/>
    <n v="392.08"/>
    <n v="6"/>
    <x v="2"/>
    <n v="2"/>
    <n v="5"/>
    <n v="1"/>
    <s v="None"/>
    <s v="Very Sensitive"/>
    <n v="2"/>
    <n v="7"/>
    <s v="High"/>
    <x v="0"/>
    <x v="3"/>
    <d v="2024-08-04T00:00:00"/>
    <n v="625"/>
    <b v="1"/>
    <b v="1"/>
    <x v="0"/>
    <s v="Express"/>
    <n v="6"/>
  </r>
  <r>
    <s v="27-439-9545"/>
    <x v="8"/>
    <x v="0"/>
    <x v="1"/>
    <s v="Married"/>
    <s v="Bachelor's"/>
    <s v="High"/>
    <s v="NorrkÃ¶ping"/>
    <x v="16"/>
    <n v="51.22"/>
    <n v="6"/>
    <x v="2"/>
    <n v="2"/>
    <n v="1"/>
    <n v="0"/>
    <s v="None"/>
    <s v="Very Sensitive"/>
    <n v="1"/>
    <n v="5"/>
    <s v="Medium"/>
    <x v="0"/>
    <x v="4"/>
    <d v="2024-08-25T00:00:00"/>
    <n v="604"/>
    <b v="1"/>
    <b v="1"/>
    <x v="3"/>
    <s v="Standard"/>
    <n v="5"/>
  </r>
  <r>
    <s v="37-126-7954"/>
    <x v="9"/>
    <x v="1"/>
    <x v="0"/>
    <s v="Divorced"/>
    <s v="Bachelor's"/>
    <s v="High"/>
    <s v="SoÅ›no"/>
    <x v="20"/>
    <n v="227.57"/>
    <n v="2"/>
    <x v="2"/>
    <n v="1"/>
    <n v="2"/>
    <n v="0"/>
    <s v="High"/>
    <s v="Somewhat Sensitive"/>
    <n v="1"/>
    <n v="6"/>
    <s v="None"/>
    <x v="0"/>
    <x v="1"/>
    <d v="2024-08-17T00:00:00"/>
    <n v="612"/>
    <b v="0"/>
    <b v="1"/>
    <x v="1"/>
    <s v="No Preference"/>
    <n v="14"/>
  </r>
  <r>
    <s v="82-990-0504"/>
    <x v="19"/>
    <x v="0"/>
    <x v="0"/>
    <s v="Widowed"/>
    <s v="Bachelor's"/>
    <s v="Middle"/>
    <s v="PÃ©lla"/>
    <x v="19"/>
    <n v="378.87"/>
    <n v="7"/>
    <x v="2"/>
    <n v="1"/>
    <n v="2"/>
    <n v="0"/>
    <s v="None"/>
    <s v="Very Sensitive"/>
    <n v="1"/>
    <n v="2"/>
    <s v="Low"/>
    <x v="0"/>
    <x v="1"/>
    <d v="2024-04-01T00:00:00"/>
    <n v="750"/>
    <b v="1"/>
    <b v="0"/>
    <x v="3"/>
    <s v="No Preference"/>
    <n v="5"/>
  </r>
  <r>
    <s v="21-734-0212"/>
    <x v="2"/>
    <x v="0"/>
    <x v="0"/>
    <s v="Widowed"/>
    <s v="High School"/>
    <s v="High"/>
    <s v="Namur"/>
    <x v="21"/>
    <n v="423.92"/>
    <n v="8"/>
    <x v="0"/>
    <n v="3"/>
    <n v="1"/>
    <n v="2"/>
    <s v="Low"/>
    <s v="Somewhat Sensitive"/>
    <n v="0"/>
    <n v="9"/>
    <s v="High"/>
    <x v="0"/>
    <x v="0"/>
    <d v="2024-08-24T00:00:00"/>
    <n v="605"/>
    <b v="0"/>
    <b v="1"/>
    <x v="0"/>
    <s v="Standard"/>
    <n v="8"/>
  </r>
  <r>
    <s v="76-148-9413"/>
    <x v="20"/>
    <x v="4"/>
    <x v="1"/>
    <s v="Widowed"/>
    <s v="Master's"/>
    <s v="Middle"/>
    <s v="Benevides"/>
    <x v="17"/>
    <n v="111.24"/>
    <n v="9"/>
    <x v="0"/>
    <n v="5"/>
    <n v="2"/>
    <n v="0"/>
    <s v="Medium"/>
    <s v="Somewhat Sensitive"/>
    <n v="0"/>
    <n v="2"/>
    <s v="High"/>
    <x v="1"/>
    <x v="0"/>
    <d v="2024-08-06T00:00:00"/>
    <n v="623"/>
    <b v="1"/>
    <b v="0"/>
    <x v="0"/>
    <s v="No Preference"/>
    <n v="12"/>
  </r>
  <r>
    <s v="53-639-3774"/>
    <x v="14"/>
    <x v="0"/>
    <x v="0"/>
    <s v="Single"/>
    <s v="Bachelor's"/>
    <s v="Middle"/>
    <s v="Qinghaihu"/>
    <x v="22"/>
    <n v="299.31"/>
    <n v="7"/>
    <x v="0"/>
    <n v="2"/>
    <n v="4"/>
    <n v="1"/>
    <s v="Medium"/>
    <s v="Very Sensitive"/>
    <n v="2"/>
    <n v="3"/>
    <s v="None"/>
    <x v="2"/>
    <x v="2"/>
    <d v="2024-02-01T00:00:00"/>
    <n v="810"/>
    <b v="1"/>
    <b v="0"/>
    <x v="0"/>
    <s v="Express"/>
    <n v="3"/>
  </r>
  <r>
    <s v="20-817-9584"/>
    <x v="21"/>
    <x v="1"/>
    <x v="0"/>
    <s v="Widowed"/>
    <s v="Master's"/>
    <s v="Middle"/>
    <s v="AlfeizerÃ£o"/>
    <x v="9"/>
    <n v="169.28"/>
    <n v="7"/>
    <x v="0"/>
    <n v="4"/>
    <n v="4"/>
    <n v="1"/>
    <s v="None"/>
    <s v="Somewhat Sensitive"/>
    <n v="2"/>
    <n v="1"/>
    <s v="Low"/>
    <x v="0"/>
    <x v="4"/>
    <d v="2024-06-17T00:00:00"/>
    <n v="673"/>
    <b v="1"/>
    <b v="1"/>
    <x v="2"/>
    <s v="No Preference"/>
    <n v="6"/>
  </r>
  <r>
    <s v="18-655-3670"/>
    <x v="3"/>
    <x v="1"/>
    <x v="0"/>
    <s v="Widowed"/>
    <s v="High School"/>
    <s v="High"/>
    <s v="ProstÅ™ednÃ­ BeÄva"/>
    <x v="2"/>
    <n v="449.13"/>
    <n v="9"/>
    <x v="1"/>
    <n v="2"/>
    <n v="1"/>
    <n v="0.5"/>
    <s v="Medium"/>
    <s v="Not Sensitive"/>
    <n v="2"/>
    <n v="2"/>
    <s v="Low"/>
    <x v="0"/>
    <x v="0"/>
    <d v="2024-06-12T00:00:00"/>
    <n v="678"/>
    <b v="0"/>
    <b v="0"/>
    <x v="3"/>
    <s v="No Preference"/>
    <n v="14"/>
  </r>
  <r>
    <s v="72-431-5021"/>
    <x v="22"/>
    <x v="0"/>
    <x v="1"/>
    <s v="Married"/>
    <s v="Master's"/>
    <s v="High"/>
    <s v="Oeiras"/>
    <x v="9"/>
    <n v="427.48"/>
    <n v="6"/>
    <x v="2"/>
    <n v="4"/>
    <n v="2"/>
    <n v="0"/>
    <s v="Medium"/>
    <s v="Not Sensitive"/>
    <n v="1"/>
    <n v="1"/>
    <s v="Low"/>
    <x v="1"/>
    <x v="2"/>
    <d v="2024-12-16T00:00:00"/>
    <n v="491"/>
    <b v="1"/>
    <b v="0"/>
    <x v="2"/>
    <s v="Standard"/>
    <n v="11"/>
  </r>
  <r>
    <s v="07-479-3919"/>
    <x v="23"/>
    <x v="0"/>
    <x v="0"/>
    <s v="Single"/>
    <s v="High School"/>
    <s v="High"/>
    <s v="KÃ½thnos"/>
    <x v="6"/>
    <n v="171.61"/>
    <n v="3"/>
    <x v="2"/>
    <n v="3"/>
    <n v="1"/>
    <n v="2"/>
    <s v="Low"/>
    <s v="Very Sensitive"/>
    <n v="1"/>
    <n v="6"/>
    <s v="High"/>
    <x v="2"/>
    <x v="0"/>
    <d v="2024-10-31T00:00:00"/>
    <n v="537"/>
    <b v="1"/>
    <b v="0"/>
    <x v="3"/>
    <s v="Express"/>
    <n v="8"/>
  </r>
  <r>
    <s v="17-032-6274"/>
    <x v="13"/>
    <x v="0"/>
    <x v="1"/>
    <s v="Married"/>
    <s v="Bachelor's"/>
    <s v="High"/>
    <s v="Rizal"/>
    <x v="5"/>
    <n v="240.28"/>
    <n v="3"/>
    <x v="2"/>
    <n v="3"/>
    <n v="5"/>
    <n v="2"/>
    <s v="High"/>
    <s v="Not Sensitive"/>
    <n v="2"/>
    <n v="7"/>
    <s v="Medium"/>
    <x v="0"/>
    <x v="4"/>
    <d v="2024-12-07T00:00:00"/>
    <n v="500"/>
    <b v="1"/>
    <b v="1"/>
    <x v="2"/>
    <s v="Standard"/>
    <n v="4"/>
  </r>
  <r>
    <s v="64-166-9097"/>
    <x v="10"/>
    <x v="0"/>
    <x v="1"/>
    <s v="Single"/>
    <s v="High School"/>
    <s v="High"/>
    <s v="Fullerton"/>
    <x v="4"/>
    <n v="310.17"/>
    <n v="6"/>
    <x v="1"/>
    <n v="2"/>
    <n v="3"/>
    <n v="2"/>
    <s v="Medium"/>
    <s v="Very Sensitive"/>
    <n v="0"/>
    <n v="10"/>
    <s v="None"/>
    <x v="1"/>
    <x v="2"/>
    <d v="2024-02-24T00:00:00"/>
    <n v="787"/>
    <b v="0"/>
    <b v="0"/>
    <x v="1"/>
    <s v="No Preference"/>
    <n v="13"/>
  </r>
  <r>
    <s v="39-499-3854"/>
    <x v="8"/>
    <x v="0"/>
    <x v="0"/>
    <s v="Married"/>
    <s v="Bachelor's"/>
    <s v="Middle"/>
    <s v="Huaidao"/>
    <x v="11"/>
    <n v="166"/>
    <n v="10"/>
    <x v="2"/>
    <n v="5"/>
    <n v="3"/>
    <n v="0"/>
    <s v="High"/>
    <s v="Not Sensitive"/>
    <n v="2"/>
    <n v="10"/>
    <s v="Medium"/>
    <x v="1"/>
    <x v="1"/>
    <d v="2024-06-11T00:00:00"/>
    <n v="679"/>
    <b v="0"/>
    <b v="0"/>
    <x v="2"/>
    <s v="Express"/>
    <n v="5"/>
  </r>
  <r>
    <s v="39-636-5871"/>
    <x v="9"/>
    <x v="1"/>
    <x v="1"/>
    <s v="Divorced"/>
    <s v="Bachelor's"/>
    <s v="High"/>
    <s v="Bilice"/>
    <x v="15"/>
    <n v="362.01"/>
    <n v="2"/>
    <x v="1"/>
    <n v="2"/>
    <n v="4"/>
    <n v="1"/>
    <s v="None"/>
    <s v="Somewhat Sensitive"/>
    <n v="2"/>
    <n v="1"/>
    <s v="Medium"/>
    <x v="0"/>
    <x v="2"/>
    <d v="2024-11-24T00:00:00"/>
    <n v="513"/>
    <b v="0"/>
    <b v="0"/>
    <x v="2"/>
    <s v="Express"/>
    <n v="1"/>
  </r>
  <r>
    <s v="71-667-2334"/>
    <x v="4"/>
    <x v="5"/>
    <x v="1"/>
    <s v="Married"/>
    <s v="Bachelor's"/>
    <s v="Middle"/>
    <s v="Isla Verde"/>
    <x v="22"/>
    <n v="348.5"/>
    <n v="3"/>
    <x v="0"/>
    <n v="2"/>
    <n v="3"/>
    <n v="2"/>
    <s v="None"/>
    <s v="Not Sensitive"/>
    <n v="0"/>
    <n v="6"/>
    <s v="Medium"/>
    <x v="1"/>
    <x v="2"/>
    <d v="2024-07-09T00:00:00"/>
    <n v="651"/>
    <b v="0"/>
    <b v="0"/>
    <x v="3"/>
    <s v="No Preference"/>
    <n v="8"/>
  </r>
  <r>
    <s v="35-192-9050"/>
    <x v="11"/>
    <x v="0"/>
    <x v="0"/>
    <s v="Married"/>
    <s v="Bachelor's"/>
    <s v="High"/>
    <s v="Hunkuyi"/>
    <x v="9"/>
    <n v="395.97"/>
    <n v="9"/>
    <x v="1"/>
    <n v="1"/>
    <n v="4"/>
    <n v="0"/>
    <s v="Medium"/>
    <s v="Very Sensitive"/>
    <n v="1"/>
    <n v="6"/>
    <s v="Low"/>
    <x v="0"/>
    <x v="2"/>
    <d v="2024-08-18T00:00:00"/>
    <n v="611"/>
    <b v="1"/>
    <b v="1"/>
    <x v="1"/>
    <s v="Standard"/>
    <n v="1"/>
  </r>
  <r>
    <s v="91-440-0011"/>
    <x v="17"/>
    <x v="0"/>
    <x v="0"/>
    <s v="Widowed"/>
    <s v="High School"/>
    <s v="Middle"/>
    <s v="Shiree"/>
    <x v="6"/>
    <n v="474.99"/>
    <n v="9"/>
    <x v="2"/>
    <n v="2"/>
    <n v="4"/>
    <n v="1"/>
    <s v="None"/>
    <s v="Somewhat Sensitive"/>
    <n v="0"/>
    <n v="8"/>
    <s v="High"/>
    <x v="2"/>
    <x v="0"/>
    <d v="2024-07-10T00:00:00"/>
    <n v="650"/>
    <b v="1"/>
    <b v="0"/>
    <x v="3"/>
    <s v="Standard"/>
    <n v="5"/>
  </r>
  <r>
    <s v="20-830-4758"/>
    <x v="22"/>
    <x v="0"/>
    <x v="0"/>
    <s v="Widowed"/>
    <s v="High School"/>
    <s v="Middle"/>
    <s v="Strezhevoy"/>
    <x v="8"/>
    <n v="286.43"/>
    <n v="4"/>
    <x v="0"/>
    <n v="1"/>
    <n v="3"/>
    <n v="0"/>
    <s v="High"/>
    <s v="Very Sensitive"/>
    <n v="2"/>
    <n v="3"/>
    <s v="None"/>
    <x v="2"/>
    <x v="4"/>
    <d v="2024-07-12T00:00:00"/>
    <n v="648"/>
    <b v="1"/>
    <b v="0"/>
    <x v="1"/>
    <s v="Express"/>
    <n v="14"/>
  </r>
  <r>
    <s v="84-337-1016"/>
    <x v="24"/>
    <x v="3"/>
    <x v="1"/>
    <s v="Widowed"/>
    <s v="High School"/>
    <s v="High"/>
    <s v="Longxing"/>
    <x v="10"/>
    <n v="333.32"/>
    <n v="8"/>
    <x v="2"/>
    <n v="1"/>
    <n v="5"/>
    <n v="0"/>
    <s v="Low"/>
    <s v="Very Sensitive"/>
    <n v="0"/>
    <n v="3"/>
    <s v="High"/>
    <x v="1"/>
    <x v="0"/>
    <d v="2024-10-05T00:00:00"/>
    <n v="563"/>
    <b v="1"/>
    <b v="0"/>
    <x v="3"/>
    <s v="No Preference"/>
    <n v="3"/>
  </r>
  <r>
    <s v="09-346-4992"/>
    <x v="19"/>
    <x v="2"/>
    <x v="1"/>
    <s v="Single"/>
    <s v="Master's"/>
    <s v="High"/>
    <s v="JesÃºs MenÃ©ndez"/>
    <x v="13"/>
    <n v="223.47"/>
    <n v="9"/>
    <x v="0"/>
    <n v="2"/>
    <n v="1"/>
    <n v="1"/>
    <s v="High"/>
    <s v="Somewhat Sensitive"/>
    <n v="0"/>
    <n v="2"/>
    <s v="None"/>
    <x v="0"/>
    <x v="2"/>
    <d v="2024-09-20T00:00:00"/>
    <n v="578"/>
    <b v="1"/>
    <b v="1"/>
    <x v="0"/>
    <s v="Standard"/>
    <n v="8"/>
  </r>
  <r>
    <s v="75-083-3608"/>
    <x v="25"/>
    <x v="1"/>
    <x v="0"/>
    <s v="Divorced"/>
    <s v="Master's"/>
    <s v="Middle"/>
    <s v="Hongguang"/>
    <x v="6"/>
    <n v="414.83"/>
    <n v="2"/>
    <x v="0"/>
    <n v="2"/>
    <n v="4"/>
    <n v="0.5"/>
    <s v="High"/>
    <s v="Somewhat Sensitive"/>
    <n v="2"/>
    <n v="4"/>
    <s v="High"/>
    <x v="2"/>
    <x v="0"/>
    <d v="2024-07-16T00:00:00"/>
    <n v="644"/>
    <b v="0"/>
    <b v="0"/>
    <x v="3"/>
    <s v="Express"/>
    <n v="8"/>
  </r>
  <r>
    <s v="29-779-7209"/>
    <x v="10"/>
    <x v="0"/>
    <x v="1"/>
    <s v="Widowed"/>
    <s v="Master's"/>
    <s v="High"/>
    <s v="Pilaya"/>
    <x v="5"/>
    <n v="391.38"/>
    <n v="5"/>
    <x v="1"/>
    <n v="5"/>
    <n v="2"/>
    <n v="2"/>
    <s v="Low"/>
    <s v="Not Sensitive"/>
    <n v="0"/>
    <n v="7"/>
    <s v="Low"/>
    <x v="0"/>
    <x v="3"/>
    <d v="2024-04-02T00:00:00"/>
    <n v="749"/>
    <b v="0"/>
    <b v="0"/>
    <x v="0"/>
    <s v="No Preference"/>
    <n v="8"/>
  </r>
  <r>
    <s v="12-409-5166"/>
    <x v="18"/>
    <x v="1"/>
    <x v="0"/>
    <s v="Divorced"/>
    <s v="Bachelor's"/>
    <s v="High"/>
    <s v="Camp Ithier"/>
    <x v="4"/>
    <n v="368.4"/>
    <n v="11"/>
    <x v="2"/>
    <n v="2"/>
    <n v="5"/>
    <n v="1"/>
    <s v="High"/>
    <s v="Not Sensitive"/>
    <n v="0"/>
    <n v="3"/>
    <s v="High"/>
    <x v="2"/>
    <x v="0"/>
    <d v="2024-06-21T00:00:00"/>
    <n v="669"/>
    <b v="0"/>
    <b v="0"/>
    <x v="0"/>
    <s v="No Preference"/>
    <n v="13"/>
  </r>
  <r>
    <s v="07-024-4995"/>
    <x v="23"/>
    <x v="2"/>
    <x v="0"/>
    <s v="Widowed"/>
    <s v="High School"/>
    <s v="Middle"/>
    <s v="Holboo"/>
    <x v="4"/>
    <n v="328.36"/>
    <n v="11"/>
    <x v="1"/>
    <n v="1"/>
    <n v="4"/>
    <n v="2"/>
    <s v="High"/>
    <s v="Very Sensitive"/>
    <n v="0"/>
    <n v="4"/>
    <s v="None"/>
    <x v="0"/>
    <x v="4"/>
    <d v="2024-03-11T00:00:00"/>
    <n v="771"/>
    <b v="0"/>
    <b v="1"/>
    <x v="1"/>
    <s v="Express"/>
    <n v="4"/>
  </r>
  <r>
    <s v="74-478-5950"/>
    <x v="14"/>
    <x v="0"/>
    <x v="0"/>
    <s v="Divorced"/>
    <s v="Bachelor's"/>
    <s v="Middle"/>
    <s v="Luxi"/>
    <x v="3"/>
    <n v="424.39"/>
    <n v="9"/>
    <x v="0"/>
    <n v="3"/>
    <n v="1"/>
    <n v="1"/>
    <s v="High"/>
    <s v="Somewhat Sensitive"/>
    <n v="0"/>
    <n v="7"/>
    <s v="Low"/>
    <x v="1"/>
    <x v="0"/>
    <d v="2024-02-26T00:00:00"/>
    <n v="785"/>
    <b v="1"/>
    <b v="0"/>
    <x v="1"/>
    <s v="No Preference"/>
    <n v="13"/>
  </r>
  <r>
    <s v="31-395-1286"/>
    <x v="26"/>
    <x v="1"/>
    <x v="1"/>
    <s v="Married"/>
    <s v="High School"/>
    <s v="High"/>
    <s v="Ostashkov"/>
    <x v="18"/>
    <n v="197.12"/>
    <n v="10"/>
    <x v="1"/>
    <n v="4"/>
    <n v="4"/>
    <n v="0"/>
    <s v="Low"/>
    <s v="Somewhat Sensitive"/>
    <n v="1"/>
    <n v="1"/>
    <s v="Medium"/>
    <x v="0"/>
    <x v="3"/>
    <d v="2024-06-14T00:00:00"/>
    <n v="676"/>
    <b v="1"/>
    <b v="1"/>
    <x v="1"/>
    <s v="Standard"/>
    <n v="10"/>
  </r>
  <r>
    <s v="60-838-4334"/>
    <x v="5"/>
    <x v="1"/>
    <x v="1"/>
    <s v="Single"/>
    <s v="Bachelor's"/>
    <s v="High"/>
    <s v="Hongshanzui"/>
    <x v="5"/>
    <n v="454.57"/>
    <n v="9"/>
    <x v="0"/>
    <n v="2"/>
    <n v="5"/>
    <n v="1"/>
    <s v="Low"/>
    <s v="Somewhat Sensitive"/>
    <n v="0"/>
    <n v="1"/>
    <s v="Medium"/>
    <x v="1"/>
    <x v="2"/>
    <d v="2024-03-24T00:00:00"/>
    <n v="758"/>
    <b v="1"/>
    <b v="1"/>
    <x v="1"/>
    <s v="Express"/>
    <n v="1"/>
  </r>
  <r>
    <s v="71-197-8227"/>
    <x v="14"/>
    <x v="1"/>
    <x v="0"/>
    <s v="Divorced"/>
    <s v="High School"/>
    <s v="High"/>
    <s v="Tocoa"/>
    <x v="13"/>
    <n v="298.38"/>
    <n v="4"/>
    <x v="0"/>
    <n v="3"/>
    <n v="4"/>
    <n v="2"/>
    <s v="High"/>
    <s v="Very Sensitive"/>
    <n v="0"/>
    <n v="2"/>
    <s v="Low"/>
    <x v="0"/>
    <x v="4"/>
    <d v="2024-04-27T00:00:00"/>
    <n v="724"/>
    <b v="0"/>
    <b v="1"/>
    <x v="0"/>
    <s v="Standard"/>
    <n v="3"/>
  </r>
  <r>
    <s v="15-530-3861"/>
    <x v="15"/>
    <x v="1"/>
    <x v="1"/>
    <s v="Divorced"/>
    <s v="High School"/>
    <s v="High"/>
    <s v="Bayan Tuohai"/>
    <x v="20"/>
    <n v="111.7"/>
    <n v="6"/>
    <x v="2"/>
    <n v="4"/>
    <n v="5"/>
    <n v="0"/>
    <s v="Medium"/>
    <s v="Somewhat Sensitive"/>
    <n v="2"/>
    <n v="5"/>
    <s v="High"/>
    <x v="0"/>
    <x v="0"/>
    <d v="2024-11-07T00:00:00"/>
    <n v="530"/>
    <b v="0"/>
    <b v="0"/>
    <x v="3"/>
    <s v="Standard"/>
    <n v="7"/>
  </r>
  <r>
    <s v="30-567-4471"/>
    <x v="10"/>
    <x v="1"/>
    <x v="0"/>
    <s v="Married"/>
    <s v="Bachelor's"/>
    <s v="Middle"/>
    <s v="Parumasan"/>
    <x v="20"/>
    <n v="373.69"/>
    <n v="10"/>
    <x v="2"/>
    <n v="3"/>
    <n v="2"/>
    <n v="2"/>
    <s v="Medium"/>
    <s v="Not Sensitive"/>
    <n v="1"/>
    <n v="8"/>
    <s v="None"/>
    <x v="0"/>
    <x v="0"/>
    <d v="2024-12-04T00:00:00"/>
    <n v="503"/>
    <b v="0"/>
    <b v="1"/>
    <x v="2"/>
    <s v="Express"/>
    <n v="14"/>
  </r>
  <r>
    <s v="04-465-1819"/>
    <x v="14"/>
    <x v="1"/>
    <x v="1"/>
    <s v="Widowed"/>
    <s v="Master's"/>
    <s v="Middle"/>
    <s v="Karpogory"/>
    <x v="23"/>
    <n v="354.87"/>
    <n v="5"/>
    <x v="1"/>
    <n v="1"/>
    <n v="1"/>
    <n v="0"/>
    <s v="None"/>
    <s v="Not Sensitive"/>
    <n v="2"/>
    <n v="4"/>
    <s v="None"/>
    <x v="2"/>
    <x v="4"/>
    <d v="2024-04-18T00:00:00"/>
    <n v="733"/>
    <b v="0"/>
    <b v="1"/>
    <x v="3"/>
    <s v="Express"/>
    <n v="12"/>
  </r>
  <r>
    <s v="69-692-0614"/>
    <x v="27"/>
    <x v="0"/>
    <x v="0"/>
    <s v="Widowed"/>
    <s v="Bachelor's"/>
    <s v="High"/>
    <s v="ShÄhzÄdpur"/>
    <x v="7"/>
    <n v="214.48"/>
    <n v="2"/>
    <x v="2"/>
    <n v="4"/>
    <n v="2"/>
    <n v="2"/>
    <s v="None"/>
    <s v="Very Sensitive"/>
    <n v="1"/>
    <n v="3"/>
    <s v="None"/>
    <x v="0"/>
    <x v="4"/>
    <d v="2024-04-21T00:00:00"/>
    <n v="730"/>
    <b v="1"/>
    <b v="1"/>
    <x v="1"/>
    <s v="Express"/>
    <n v="2"/>
  </r>
  <r>
    <s v="12-839-8066"/>
    <x v="28"/>
    <x v="1"/>
    <x v="1"/>
    <s v="Divorced"/>
    <s v="Bachelor's"/>
    <s v="Middle"/>
    <s v="Muaratiga"/>
    <x v="14"/>
    <n v="399.58"/>
    <n v="6"/>
    <x v="1"/>
    <n v="3"/>
    <n v="4"/>
    <n v="0"/>
    <s v="None"/>
    <s v="Very Sensitive"/>
    <n v="1"/>
    <n v="8"/>
    <s v="Low"/>
    <x v="0"/>
    <x v="3"/>
    <d v="2024-09-25T00:00:00"/>
    <n v="573"/>
    <b v="1"/>
    <b v="0"/>
    <x v="0"/>
    <s v="Standard"/>
    <n v="7"/>
  </r>
  <r>
    <s v="05-465-8765"/>
    <x v="23"/>
    <x v="0"/>
    <x v="1"/>
    <s v="Widowed"/>
    <s v="High School"/>
    <s v="Middle"/>
    <s v="Gjegjan"/>
    <x v="8"/>
    <n v="380.99"/>
    <n v="7"/>
    <x v="0"/>
    <n v="1"/>
    <n v="2"/>
    <n v="1"/>
    <s v="Low"/>
    <s v="Somewhat Sensitive"/>
    <n v="0"/>
    <n v="1"/>
    <s v="Medium"/>
    <x v="2"/>
    <x v="4"/>
    <d v="2024-12-09T00:00:00"/>
    <n v="498"/>
    <b v="1"/>
    <b v="1"/>
    <x v="0"/>
    <s v="No Preference"/>
    <n v="8"/>
  </r>
  <r>
    <s v="81-580-3810"/>
    <x v="15"/>
    <x v="1"/>
    <x v="0"/>
    <s v="Married"/>
    <s v="High School"/>
    <s v="High"/>
    <s v="CrÃ©teil"/>
    <x v="1"/>
    <n v="79"/>
    <n v="10"/>
    <x v="2"/>
    <n v="1"/>
    <n v="2"/>
    <n v="1"/>
    <s v="Medium"/>
    <s v="Very Sensitive"/>
    <n v="2"/>
    <n v="6"/>
    <s v="Low"/>
    <x v="1"/>
    <x v="4"/>
    <d v="2024-09-14T00:00:00"/>
    <n v="584"/>
    <b v="0"/>
    <b v="1"/>
    <x v="3"/>
    <s v="Standard"/>
    <n v="7"/>
  </r>
  <r>
    <s v="74-353-6312"/>
    <x v="19"/>
    <x v="0"/>
    <x v="0"/>
    <s v="Married"/>
    <s v="Bachelor's"/>
    <s v="Middle"/>
    <s v="Pameungpeuk"/>
    <x v="19"/>
    <n v="113.88"/>
    <n v="2"/>
    <x v="2"/>
    <n v="5"/>
    <n v="2"/>
    <n v="2"/>
    <s v="Medium"/>
    <s v="Not Sensitive"/>
    <n v="2"/>
    <n v="4"/>
    <s v="High"/>
    <x v="0"/>
    <x v="1"/>
    <d v="2024-03-29T00:00:00"/>
    <n v="753"/>
    <b v="0"/>
    <b v="0"/>
    <x v="1"/>
    <s v="Express"/>
    <n v="9"/>
  </r>
  <r>
    <s v="78-824-1887"/>
    <x v="29"/>
    <x v="1"/>
    <x v="0"/>
    <s v="Married"/>
    <s v="High School"/>
    <s v="Middle"/>
    <s v="Junshan"/>
    <x v="22"/>
    <n v="121.57"/>
    <n v="4"/>
    <x v="0"/>
    <n v="1"/>
    <n v="5"/>
    <n v="0"/>
    <s v="High"/>
    <s v="Not Sensitive"/>
    <n v="0"/>
    <n v="4"/>
    <s v="High"/>
    <x v="2"/>
    <x v="3"/>
    <d v="2024-06-06T00:00:00"/>
    <n v="684"/>
    <b v="0"/>
    <b v="1"/>
    <x v="2"/>
    <s v="No Preference"/>
    <n v="13"/>
  </r>
  <r>
    <s v="31-218-0024"/>
    <x v="6"/>
    <x v="0"/>
    <x v="1"/>
    <s v="Divorced"/>
    <s v="High School"/>
    <s v="Middle"/>
    <s v="Lewotola"/>
    <x v="18"/>
    <n v="215.54"/>
    <n v="11"/>
    <x v="2"/>
    <n v="3"/>
    <n v="1"/>
    <n v="2"/>
    <s v="Low"/>
    <s v="Somewhat Sensitive"/>
    <n v="2"/>
    <n v="6"/>
    <s v="High"/>
    <x v="2"/>
    <x v="0"/>
    <d v="2024-04-08T00:00:00"/>
    <n v="743"/>
    <b v="1"/>
    <b v="1"/>
    <x v="3"/>
    <s v="No Preference"/>
    <n v="10"/>
  </r>
  <r>
    <s v="15-711-4107"/>
    <x v="20"/>
    <x v="1"/>
    <x v="1"/>
    <s v="Married"/>
    <s v="Bachelor's"/>
    <s v="High"/>
    <s v="Laocheng"/>
    <x v="4"/>
    <n v="87.03"/>
    <n v="10"/>
    <x v="0"/>
    <n v="1"/>
    <n v="1"/>
    <n v="0"/>
    <s v="Low"/>
    <s v="Very Sensitive"/>
    <n v="1"/>
    <n v="5"/>
    <s v="High"/>
    <x v="2"/>
    <x v="1"/>
    <d v="2024-08-11T00:00:00"/>
    <n v="618"/>
    <b v="0"/>
    <b v="1"/>
    <x v="0"/>
    <s v="No Preference"/>
    <n v="7"/>
  </r>
  <r>
    <s v="76-672-1193"/>
    <x v="24"/>
    <x v="1"/>
    <x v="1"/>
    <s v="Divorced"/>
    <s v="High School"/>
    <s v="High"/>
    <s v="GuacarÃ­"/>
    <x v="22"/>
    <n v="111.75"/>
    <n v="4"/>
    <x v="1"/>
    <n v="1"/>
    <n v="4"/>
    <n v="0"/>
    <s v="High"/>
    <s v="Not Sensitive"/>
    <n v="1"/>
    <n v="6"/>
    <s v="High"/>
    <x v="0"/>
    <x v="2"/>
    <d v="2024-10-10T00:00:00"/>
    <n v="558"/>
    <b v="0"/>
    <b v="1"/>
    <x v="2"/>
    <s v="Standard"/>
    <n v="8"/>
  </r>
  <r>
    <s v="46-503-5589"/>
    <x v="30"/>
    <x v="0"/>
    <x v="1"/>
    <s v="Widowed"/>
    <s v="Master's"/>
    <s v="High"/>
    <s v="Sancang"/>
    <x v="2"/>
    <n v="136.19999999999999"/>
    <n v="2"/>
    <x v="0"/>
    <n v="3"/>
    <n v="2"/>
    <n v="2"/>
    <s v="Low"/>
    <s v="Not Sensitive"/>
    <n v="0"/>
    <n v="1"/>
    <s v="High"/>
    <x v="0"/>
    <x v="1"/>
    <d v="2024-06-15T00:00:00"/>
    <n v="675"/>
    <b v="1"/>
    <b v="1"/>
    <x v="0"/>
    <s v="Express"/>
    <n v="9"/>
  </r>
  <r>
    <s v="87-499-6916"/>
    <x v="18"/>
    <x v="1"/>
    <x v="0"/>
    <s v="Married"/>
    <s v="High School"/>
    <s v="Middle"/>
    <s v="Ndewel"/>
    <x v="1"/>
    <n v="439.31"/>
    <n v="4"/>
    <x v="1"/>
    <n v="3"/>
    <n v="2"/>
    <n v="1"/>
    <s v="Medium"/>
    <s v="Very Sensitive"/>
    <n v="0"/>
    <n v="6"/>
    <s v="Medium"/>
    <x v="1"/>
    <x v="2"/>
    <d v="2024-08-11T00:00:00"/>
    <n v="618"/>
    <b v="0"/>
    <b v="1"/>
    <x v="1"/>
    <s v="No Preference"/>
    <n v="7"/>
  </r>
  <r>
    <s v="30-520-8656"/>
    <x v="24"/>
    <x v="0"/>
    <x v="0"/>
    <s v="Married"/>
    <s v="Bachelor's"/>
    <s v="Middle"/>
    <s v="San Patricio"/>
    <x v="10"/>
    <n v="194.93"/>
    <n v="9"/>
    <x v="2"/>
    <n v="4"/>
    <n v="4"/>
    <n v="1"/>
    <s v="High"/>
    <s v="Somewhat Sensitive"/>
    <n v="0"/>
    <n v="4"/>
    <s v="None"/>
    <x v="0"/>
    <x v="3"/>
    <d v="2024-03-28T00:00:00"/>
    <n v="754"/>
    <b v="1"/>
    <b v="1"/>
    <x v="2"/>
    <s v="No Preference"/>
    <n v="5"/>
  </r>
  <r>
    <s v="36-323-3504"/>
    <x v="3"/>
    <x v="1"/>
    <x v="0"/>
    <s v="Widowed"/>
    <s v="Master's"/>
    <s v="High"/>
    <s v="Fengtai"/>
    <x v="1"/>
    <n v="377.67"/>
    <n v="8"/>
    <x v="2"/>
    <n v="5"/>
    <n v="3"/>
    <n v="0"/>
    <s v="None"/>
    <s v="Very Sensitive"/>
    <n v="2"/>
    <n v="1"/>
    <s v="High"/>
    <x v="2"/>
    <x v="1"/>
    <d v="2024-05-13T00:00:00"/>
    <n v="708"/>
    <b v="1"/>
    <b v="0"/>
    <x v="0"/>
    <s v="No Preference"/>
    <n v="14"/>
  </r>
  <r>
    <s v="93-810-4051"/>
    <x v="29"/>
    <x v="6"/>
    <x v="1"/>
    <s v="Single"/>
    <s v="Master's"/>
    <s v="High"/>
    <s v="á¸awrÄn ad Daydah"/>
    <x v="21"/>
    <n v="108.61"/>
    <n v="10"/>
    <x v="1"/>
    <n v="3"/>
    <n v="2"/>
    <n v="0"/>
    <s v="None"/>
    <s v="Very Sensitive"/>
    <n v="0"/>
    <n v="3"/>
    <s v="Low"/>
    <x v="1"/>
    <x v="4"/>
    <d v="2024-11-23T00:00:00"/>
    <n v="514"/>
    <b v="1"/>
    <b v="1"/>
    <x v="0"/>
    <s v="No Preference"/>
    <n v="14"/>
  </r>
  <r>
    <s v="66-515-3648"/>
    <x v="28"/>
    <x v="0"/>
    <x v="0"/>
    <s v="Married"/>
    <s v="Bachelor's"/>
    <s v="Middle"/>
    <s v="Magdalena"/>
    <x v="10"/>
    <n v="366.77"/>
    <n v="7"/>
    <x v="0"/>
    <n v="4"/>
    <n v="3"/>
    <n v="2"/>
    <s v="Low"/>
    <s v="Not Sensitive"/>
    <n v="0"/>
    <n v="9"/>
    <s v="None"/>
    <x v="1"/>
    <x v="2"/>
    <d v="2024-09-18T00:00:00"/>
    <n v="580"/>
    <b v="0"/>
    <b v="0"/>
    <x v="2"/>
    <s v="Standard"/>
    <n v="1"/>
  </r>
  <r>
    <s v="09-216-1957"/>
    <x v="16"/>
    <x v="0"/>
    <x v="1"/>
    <s v="Divorced"/>
    <s v="Master's"/>
    <s v="Middle"/>
    <s v="LeÅ›nica"/>
    <x v="23"/>
    <n v="178.04"/>
    <n v="5"/>
    <x v="1"/>
    <n v="5"/>
    <n v="1"/>
    <n v="2"/>
    <s v="Medium"/>
    <s v="Somewhat Sensitive"/>
    <n v="0"/>
    <n v="5"/>
    <s v="High"/>
    <x v="0"/>
    <x v="0"/>
    <d v="2024-07-16T00:00:00"/>
    <n v="644"/>
    <b v="0"/>
    <b v="0"/>
    <x v="0"/>
    <s v="No Preference"/>
    <n v="12"/>
  </r>
  <r>
    <s v="23-253-2565"/>
    <x v="25"/>
    <x v="0"/>
    <x v="1"/>
    <s v="Divorced"/>
    <s v="High School"/>
    <s v="High"/>
    <s v="Hinlayagan Ilaud"/>
    <x v="16"/>
    <n v="461.09"/>
    <n v="8"/>
    <x v="2"/>
    <n v="4"/>
    <n v="1"/>
    <n v="0"/>
    <s v="Medium"/>
    <s v="Somewhat Sensitive"/>
    <n v="0"/>
    <n v="4"/>
    <s v="Medium"/>
    <x v="1"/>
    <x v="2"/>
    <d v="2024-08-03T00:00:00"/>
    <n v="626"/>
    <b v="1"/>
    <b v="0"/>
    <x v="0"/>
    <s v="No Preference"/>
    <n v="8"/>
  </r>
  <r>
    <s v="74-509-4985"/>
    <x v="24"/>
    <x v="0"/>
    <x v="1"/>
    <s v="Single"/>
    <s v="High School"/>
    <s v="Middle"/>
    <s v="Forshaga"/>
    <x v="11"/>
    <n v="211.16"/>
    <n v="5"/>
    <x v="1"/>
    <n v="2"/>
    <n v="3"/>
    <n v="1"/>
    <s v="High"/>
    <s v="Very Sensitive"/>
    <n v="0"/>
    <n v="3"/>
    <s v="None"/>
    <x v="1"/>
    <x v="1"/>
    <d v="2024-06-28T00:00:00"/>
    <n v="662"/>
    <b v="0"/>
    <b v="0"/>
    <x v="3"/>
    <s v="Standard"/>
    <n v="2"/>
  </r>
  <r>
    <s v="05-857-1572"/>
    <x v="25"/>
    <x v="0"/>
    <x v="0"/>
    <s v="Widowed"/>
    <s v="Bachelor's"/>
    <s v="High"/>
    <s v="Rakszawa"/>
    <x v="9"/>
    <n v="421.95"/>
    <n v="8"/>
    <x v="0"/>
    <n v="3"/>
    <n v="5"/>
    <n v="0"/>
    <s v="Medium"/>
    <s v="Not Sensitive"/>
    <n v="1"/>
    <n v="1"/>
    <s v="None"/>
    <x v="1"/>
    <x v="3"/>
    <d v="2024-03-18T00:00:00"/>
    <n v="764"/>
    <b v="0"/>
    <b v="1"/>
    <x v="0"/>
    <s v="No Preference"/>
    <n v="7"/>
  </r>
  <r>
    <s v="26-521-8328"/>
    <x v="1"/>
    <x v="0"/>
    <x v="0"/>
    <s v="Divorced"/>
    <s v="Bachelor's"/>
    <s v="High"/>
    <s v="Fengjiang"/>
    <x v="4"/>
    <n v="378.59"/>
    <n v="5"/>
    <x v="2"/>
    <n v="2"/>
    <n v="1"/>
    <n v="0"/>
    <s v="None"/>
    <s v="Somewhat Sensitive"/>
    <n v="0"/>
    <n v="4"/>
    <s v="High"/>
    <x v="2"/>
    <x v="3"/>
    <d v="2024-10-15T00:00:00"/>
    <n v="553"/>
    <b v="0"/>
    <b v="0"/>
    <x v="1"/>
    <s v="No Preference"/>
    <n v="14"/>
  </r>
  <r>
    <s v="31-147-6197"/>
    <x v="25"/>
    <x v="4"/>
    <x v="1"/>
    <s v="Divorced"/>
    <s v="High School"/>
    <s v="High"/>
    <s v="Jiangcun"/>
    <x v="2"/>
    <n v="268.93"/>
    <n v="2"/>
    <x v="0"/>
    <n v="5"/>
    <n v="5"/>
    <n v="1"/>
    <s v="Medium"/>
    <s v="Very Sensitive"/>
    <n v="1"/>
    <n v="3"/>
    <s v="None"/>
    <x v="0"/>
    <x v="2"/>
    <d v="2024-11-23T00:00:00"/>
    <n v="514"/>
    <b v="0"/>
    <b v="0"/>
    <x v="2"/>
    <s v="Express"/>
    <n v="8"/>
  </r>
  <r>
    <s v="90-093-0469"/>
    <x v="21"/>
    <x v="1"/>
    <x v="0"/>
    <s v="Divorced"/>
    <s v="Bachelor's"/>
    <s v="High"/>
    <s v="ÅŒkuchi"/>
    <x v="10"/>
    <n v="444.87"/>
    <n v="11"/>
    <x v="2"/>
    <n v="5"/>
    <n v="4"/>
    <n v="0"/>
    <s v="Medium"/>
    <s v="Not Sensitive"/>
    <n v="1"/>
    <n v="8"/>
    <s v="Low"/>
    <x v="2"/>
    <x v="3"/>
    <d v="2024-11-29T00:00:00"/>
    <n v="508"/>
    <b v="0"/>
    <b v="0"/>
    <x v="1"/>
    <s v="No Preference"/>
    <n v="7"/>
  </r>
  <r>
    <s v="38-935-1865"/>
    <x v="27"/>
    <x v="0"/>
    <x v="1"/>
    <s v="Widowed"/>
    <s v="Bachelor's"/>
    <s v="High"/>
    <s v="Novoukrainskiy"/>
    <x v="21"/>
    <n v="160.82"/>
    <n v="7"/>
    <x v="1"/>
    <n v="3"/>
    <n v="1"/>
    <n v="1"/>
    <s v="High"/>
    <s v="Somewhat Sensitive"/>
    <n v="0"/>
    <n v="1"/>
    <s v="High"/>
    <x v="1"/>
    <x v="4"/>
    <d v="2024-07-09T00:00:00"/>
    <n v="651"/>
    <b v="1"/>
    <b v="1"/>
    <x v="1"/>
    <s v="No Preference"/>
    <n v="3"/>
  </r>
  <r>
    <s v="75-953-8663"/>
    <x v="22"/>
    <x v="1"/>
    <x v="1"/>
    <s v="Single"/>
    <s v="Master's"/>
    <s v="Middle"/>
    <s v="Acobambilla"/>
    <x v="11"/>
    <n v="494.18"/>
    <n v="6"/>
    <x v="0"/>
    <n v="4"/>
    <n v="5"/>
    <n v="1"/>
    <s v="Medium"/>
    <s v="Not Sensitive"/>
    <n v="1"/>
    <n v="2"/>
    <s v="None"/>
    <x v="2"/>
    <x v="4"/>
    <d v="2024-08-03T00:00:00"/>
    <n v="626"/>
    <b v="0"/>
    <b v="0"/>
    <x v="0"/>
    <s v="Standard"/>
    <n v="14"/>
  </r>
  <r>
    <s v="38-478-2681"/>
    <x v="0"/>
    <x v="1"/>
    <x v="0"/>
    <s v="Single"/>
    <s v="Bachelor's"/>
    <s v="Middle"/>
    <s v="Kyonju"/>
    <x v="3"/>
    <n v="177.05"/>
    <n v="5"/>
    <x v="2"/>
    <n v="3"/>
    <n v="1"/>
    <n v="1"/>
    <s v="None"/>
    <s v="Somewhat Sensitive"/>
    <n v="2"/>
    <n v="1"/>
    <s v="Low"/>
    <x v="0"/>
    <x v="4"/>
    <d v="2024-12-04T00:00:00"/>
    <n v="503"/>
    <b v="1"/>
    <b v="1"/>
    <x v="2"/>
    <s v="Standard"/>
    <n v="1"/>
  </r>
  <r>
    <s v="70-895-5298"/>
    <x v="31"/>
    <x v="0"/>
    <x v="0"/>
    <s v="Married"/>
    <s v="Master's"/>
    <s v="High"/>
    <s v="Pomar"/>
    <x v="1"/>
    <n v="450.66"/>
    <n v="7"/>
    <x v="1"/>
    <n v="2"/>
    <n v="5"/>
    <n v="0"/>
    <s v="High"/>
    <s v="Somewhat Sensitive"/>
    <n v="2"/>
    <n v="4"/>
    <s v="Medium"/>
    <x v="0"/>
    <x v="0"/>
    <d v="2024-06-13T00:00:00"/>
    <n v="677"/>
    <b v="0"/>
    <b v="1"/>
    <x v="0"/>
    <s v="No Preference"/>
    <n v="9"/>
  </r>
  <r>
    <s v="02-653-5884"/>
    <x v="21"/>
    <x v="0"/>
    <x v="1"/>
    <s v="Married"/>
    <s v="Bachelor's"/>
    <s v="Middle"/>
    <s v="ZalÅ£an"/>
    <x v="17"/>
    <n v="164.27"/>
    <n v="6"/>
    <x v="2"/>
    <n v="5"/>
    <n v="3"/>
    <n v="2"/>
    <s v="High"/>
    <s v="Not Sensitive"/>
    <n v="2"/>
    <n v="7"/>
    <s v="Low"/>
    <x v="2"/>
    <x v="1"/>
    <d v="2024-07-13T00:00:00"/>
    <n v="647"/>
    <b v="1"/>
    <b v="0"/>
    <x v="1"/>
    <s v="No Preference"/>
    <n v="14"/>
  </r>
  <r>
    <s v="11-719-8800"/>
    <x v="14"/>
    <x v="0"/>
    <x v="0"/>
    <s v="Widowed"/>
    <s v="Master's"/>
    <s v="High"/>
    <s v="TrÃ©lazÃ©"/>
    <x v="1"/>
    <n v="346.36"/>
    <n v="12"/>
    <x v="0"/>
    <n v="4"/>
    <n v="5"/>
    <n v="0"/>
    <s v="Medium"/>
    <s v="Somewhat Sensitive"/>
    <n v="0"/>
    <n v="7"/>
    <s v="Medium"/>
    <x v="1"/>
    <x v="0"/>
    <d v="2024-09-04T00:00:00"/>
    <n v="594"/>
    <b v="0"/>
    <b v="0"/>
    <x v="0"/>
    <s v="Standard"/>
    <n v="14"/>
  </r>
  <r>
    <s v="59-355-5251"/>
    <x v="4"/>
    <x v="0"/>
    <x v="0"/>
    <s v="Widowed"/>
    <s v="High School"/>
    <s v="High"/>
    <s v="Messina"/>
    <x v="9"/>
    <n v="377.77"/>
    <n v="9"/>
    <x v="0"/>
    <n v="4"/>
    <n v="2"/>
    <n v="1"/>
    <s v="Medium"/>
    <s v="Not Sensitive"/>
    <n v="1"/>
    <n v="5"/>
    <s v="Medium"/>
    <x v="0"/>
    <x v="0"/>
    <d v="2024-08-26T00:00:00"/>
    <n v="603"/>
    <b v="1"/>
    <b v="1"/>
    <x v="2"/>
    <s v="Standard"/>
    <n v="3"/>
  </r>
  <r>
    <s v="82-572-9091"/>
    <x v="19"/>
    <x v="0"/>
    <x v="0"/>
    <s v="Widowed"/>
    <s v="High School"/>
    <s v="Middle"/>
    <s v="MrÄ…gowo"/>
    <x v="22"/>
    <n v="163.41"/>
    <n v="2"/>
    <x v="1"/>
    <n v="5"/>
    <n v="5"/>
    <n v="2"/>
    <s v="Low"/>
    <s v="Not Sensitive"/>
    <n v="1"/>
    <n v="8"/>
    <s v="High"/>
    <x v="2"/>
    <x v="3"/>
    <d v="2024-02-25T00:00:00"/>
    <n v="786"/>
    <b v="1"/>
    <b v="1"/>
    <x v="0"/>
    <s v="Express"/>
    <n v="4"/>
  </r>
  <r>
    <s v="86-044-1071"/>
    <x v="12"/>
    <x v="0"/>
    <x v="0"/>
    <s v="Divorced"/>
    <s v="Master's"/>
    <s v="Middle"/>
    <s v="Ngawi"/>
    <x v="11"/>
    <n v="467.58"/>
    <n v="10"/>
    <x v="0"/>
    <n v="1"/>
    <n v="2"/>
    <n v="0"/>
    <s v="None"/>
    <s v="Somewhat Sensitive"/>
    <n v="1"/>
    <n v="6"/>
    <s v="Low"/>
    <x v="2"/>
    <x v="1"/>
    <d v="2024-04-15T00:00:00"/>
    <n v="736"/>
    <b v="1"/>
    <b v="1"/>
    <x v="1"/>
    <s v="Standard"/>
    <n v="7"/>
  </r>
  <r>
    <s v="08-733-0300"/>
    <x v="7"/>
    <x v="0"/>
    <x v="0"/>
    <s v="Widowed"/>
    <s v="Bachelor's"/>
    <s v="High"/>
    <s v="Oslo"/>
    <x v="5"/>
    <n v="247.51"/>
    <n v="10"/>
    <x v="0"/>
    <n v="2"/>
    <n v="1"/>
    <n v="2"/>
    <s v="Low"/>
    <s v="Somewhat Sensitive"/>
    <n v="1"/>
    <n v="8"/>
    <s v="Low"/>
    <x v="0"/>
    <x v="0"/>
    <d v="2024-07-01T00:00:00"/>
    <n v="659"/>
    <b v="1"/>
    <b v="0"/>
    <x v="2"/>
    <s v="Standard"/>
    <n v="2"/>
  </r>
  <r>
    <s v="70-108-1493"/>
    <x v="8"/>
    <x v="0"/>
    <x v="0"/>
    <s v="Single"/>
    <s v="High School"/>
    <s v="High"/>
    <s v="Dobrica"/>
    <x v="2"/>
    <n v="365.1"/>
    <n v="3"/>
    <x v="1"/>
    <n v="2"/>
    <n v="3"/>
    <n v="0"/>
    <s v="None"/>
    <s v="Not Sensitive"/>
    <n v="1"/>
    <n v="3"/>
    <s v="High"/>
    <x v="2"/>
    <x v="2"/>
    <d v="2024-08-30T00:00:00"/>
    <n v="599"/>
    <b v="0"/>
    <b v="1"/>
    <x v="1"/>
    <s v="No Preference"/>
    <n v="1"/>
  </r>
  <r>
    <s v="46-230-8307"/>
    <x v="9"/>
    <x v="0"/>
    <x v="1"/>
    <s v="Single"/>
    <s v="Master's"/>
    <s v="Middle"/>
    <s v="La Roche-sur-Yon"/>
    <x v="10"/>
    <n v="485.42"/>
    <n v="5"/>
    <x v="2"/>
    <n v="1"/>
    <n v="2"/>
    <n v="2"/>
    <s v="High"/>
    <s v="Somewhat Sensitive"/>
    <n v="1"/>
    <n v="6"/>
    <s v="High"/>
    <x v="2"/>
    <x v="3"/>
    <d v="2024-11-13T00:00:00"/>
    <n v="524"/>
    <b v="1"/>
    <b v="0"/>
    <x v="1"/>
    <s v="No Preference"/>
    <n v="4"/>
  </r>
  <r>
    <s v="74-431-0242"/>
    <x v="30"/>
    <x v="0"/>
    <x v="0"/>
    <s v="Widowed"/>
    <s v="Bachelor's"/>
    <s v="High"/>
    <s v="Point Pedro"/>
    <x v="10"/>
    <n v="250.54"/>
    <n v="4"/>
    <x v="1"/>
    <n v="3"/>
    <n v="3"/>
    <n v="1"/>
    <s v="High"/>
    <s v="Not Sensitive"/>
    <n v="2"/>
    <n v="10"/>
    <s v="None"/>
    <x v="2"/>
    <x v="0"/>
    <d v="2024-12-27T00:00:00"/>
    <n v="480"/>
    <b v="0"/>
    <b v="0"/>
    <x v="1"/>
    <s v="No Preference"/>
    <n v="3"/>
  </r>
  <r>
    <s v="78-272-6417"/>
    <x v="1"/>
    <x v="0"/>
    <x v="0"/>
    <s v="Divorced"/>
    <s v="High School"/>
    <s v="High"/>
    <s v="Marseille"/>
    <x v="23"/>
    <n v="163.13999999999999"/>
    <n v="5"/>
    <x v="0"/>
    <n v="5"/>
    <n v="4"/>
    <n v="0"/>
    <s v="Low"/>
    <s v="Somewhat Sensitive"/>
    <n v="1"/>
    <n v="2"/>
    <s v="None"/>
    <x v="2"/>
    <x v="2"/>
    <d v="2024-08-07T00:00:00"/>
    <n v="622"/>
    <b v="1"/>
    <b v="1"/>
    <x v="3"/>
    <s v="No Preference"/>
    <n v="1"/>
  </r>
  <r>
    <s v="13-792-4356"/>
    <x v="6"/>
    <x v="1"/>
    <x v="1"/>
    <s v="Divorced"/>
    <s v="Bachelor's"/>
    <s v="Middle"/>
    <s v="Tianbao"/>
    <x v="0"/>
    <n v="162.31"/>
    <n v="8"/>
    <x v="1"/>
    <n v="5"/>
    <n v="1"/>
    <n v="1"/>
    <s v="High"/>
    <s v="Very Sensitive"/>
    <n v="1"/>
    <n v="2"/>
    <s v="Medium"/>
    <x v="0"/>
    <x v="0"/>
    <d v="2024-10-05T00:00:00"/>
    <n v="563"/>
    <b v="0"/>
    <b v="0"/>
    <x v="0"/>
    <s v="No Preference"/>
    <n v="11"/>
  </r>
  <r>
    <s v="04-563-9091"/>
    <x v="14"/>
    <x v="1"/>
    <x v="0"/>
    <s v="Widowed"/>
    <s v="Master's"/>
    <s v="High"/>
    <s v="Puqian"/>
    <x v="2"/>
    <n v="328.21"/>
    <n v="7"/>
    <x v="0"/>
    <n v="5"/>
    <n v="5"/>
    <n v="2"/>
    <s v="Low"/>
    <s v="Not Sensitive"/>
    <n v="2"/>
    <n v="2"/>
    <s v="Low"/>
    <x v="1"/>
    <x v="0"/>
    <d v="2024-02-14T00:00:00"/>
    <n v="797"/>
    <b v="0"/>
    <b v="0"/>
    <x v="0"/>
    <s v="No Preference"/>
    <n v="12"/>
  </r>
  <r>
    <s v="79-592-5396"/>
    <x v="12"/>
    <x v="0"/>
    <x v="1"/>
    <s v="Married"/>
    <s v="Master's"/>
    <s v="High"/>
    <s v="Binalbagan"/>
    <x v="6"/>
    <n v="268.58999999999997"/>
    <n v="4"/>
    <x v="2"/>
    <n v="3"/>
    <n v="3"/>
    <n v="1"/>
    <s v="High"/>
    <s v="Very Sensitive"/>
    <n v="1"/>
    <n v="1"/>
    <s v="Medium"/>
    <x v="2"/>
    <x v="2"/>
    <d v="2024-04-05T00:00:00"/>
    <n v="746"/>
    <b v="1"/>
    <b v="1"/>
    <x v="0"/>
    <s v="Standard"/>
    <n v="3"/>
  </r>
  <r>
    <s v="39-952-4459"/>
    <x v="27"/>
    <x v="0"/>
    <x v="1"/>
    <s v="Divorced"/>
    <s v="High School"/>
    <s v="High"/>
    <s v="Tessalit"/>
    <x v="13"/>
    <n v="257.37"/>
    <n v="7"/>
    <x v="2"/>
    <n v="3"/>
    <n v="3"/>
    <n v="0"/>
    <s v="Medium"/>
    <s v="Very Sensitive"/>
    <n v="2"/>
    <n v="5"/>
    <s v="Medium"/>
    <x v="1"/>
    <x v="1"/>
    <d v="2024-02-01T00:00:00"/>
    <n v="810"/>
    <b v="1"/>
    <b v="0"/>
    <x v="1"/>
    <s v="Express"/>
    <n v="13"/>
  </r>
  <r>
    <s v="67-935-7964"/>
    <x v="30"/>
    <x v="0"/>
    <x v="0"/>
    <s v="Single"/>
    <s v="High School"/>
    <s v="High"/>
    <s v="Nikolayevsk"/>
    <x v="2"/>
    <n v="205.49"/>
    <n v="4"/>
    <x v="1"/>
    <n v="5"/>
    <n v="3"/>
    <n v="2"/>
    <s v="Low"/>
    <s v="Somewhat Sensitive"/>
    <n v="2"/>
    <n v="2"/>
    <s v="High"/>
    <x v="0"/>
    <x v="4"/>
    <d v="2024-11-09T00:00:00"/>
    <n v="528"/>
    <b v="1"/>
    <b v="0"/>
    <x v="0"/>
    <s v="Express"/>
    <n v="11"/>
  </r>
  <r>
    <s v="26-828-2720"/>
    <x v="13"/>
    <x v="1"/>
    <x v="1"/>
    <s v="Divorced"/>
    <s v="Master's"/>
    <s v="High"/>
    <s v="Dashuipo"/>
    <x v="7"/>
    <n v="407.91"/>
    <n v="7"/>
    <x v="1"/>
    <n v="2"/>
    <n v="5"/>
    <n v="0"/>
    <s v="Low"/>
    <s v="Not Sensitive"/>
    <n v="0"/>
    <n v="5"/>
    <s v="Low"/>
    <x v="0"/>
    <x v="3"/>
    <d v="2024-06-17T00:00:00"/>
    <n v="673"/>
    <b v="1"/>
    <b v="1"/>
    <x v="0"/>
    <s v="Standard"/>
    <n v="14"/>
  </r>
  <r>
    <s v="57-410-7415"/>
    <x v="4"/>
    <x v="0"/>
    <x v="1"/>
    <s v="Divorced"/>
    <s v="Bachelor's"/>
    <s v="High"/>
    <s v="TÃ½n nad Vltavou"/>
    <x v="1"/>
    <n v="254.73"/>
    <n v="6"/>
    <x v="2"/>
    <n v="4"/>
    <n v="3"/>
    <n v="0"/>
    <s v="Medium"/>
    <s v="Very Sensitive"/>
    <n v="0"/>
    <n v="3"/>
    <s v="Low"/>
    <x v="1"/>
    <x v="3"/>
    <d v="2024-06-01T00:00:00"/>
    <n v="689"/>
    <b v="1"/>
    <b v="1"/>
    <x v="2"/>
    <s v="Express"/>
    <n v="3"/>
  </r>
  <r>
    <s v="62-989-8214"/>
    <x v="12"/>
    <x v="0"/>
    <x v="0"/>
    <s v="Divorced"/>
    <s v="Bachelor's"/>
    <s v="High"/>
    <s v="Kaum Kaler"/>
    <x v="20"/>
    <n v="397.78"/>
    <n v="12"/>
    <x v="2"/>
    <n v="3"/>
    <n v="3"/>
    <n v="1"/>
    <s v="Medium"/>
    <s v="Not Sensitive"/>
    <n v="2"/>
    <n v="7"/>
    <s v="Medium"/>
    <x v="1"/>
    <x v="1"/>
    <d v="2024-09-24T00:00:00"/>
    <n v="574"/>
    <b v="0"/>
    <b v="1"/>
    <x v="2"/>
    <s v="No Preference"/>
    <n v="11"/>
  </r>
  <r>
    <s v="73-827-2774"/>
    <x v="4"/>
    <x v="0"/>
    <x v="1"/>
    <s v="Married"/>
    <s v="Bachelor's"/>
    <s v="High"/>
    <s v="Gandapura"/>
    <x v="13"/>
    <n v="305.29000000000002"/>
    <n v="3"/>
    <x v="2"/>
    <n v="2"/>
    <n v="3"/>
    <n v="1"/>
    <s v="Medium"/>
    <s v="Very Sensitive"/>
    <n v="1"/>
    <n v="8"/>
    <s v="Medium"/>
    <x v="2"/>
    <x v="2"/>
    <d v="2024-09-05T00:00:00"/>
    <n v="593"/>
    <b v="1"/>
    <b v="1"/>
    <x v="2"/>
    <s v="Standard"/>
    <n v="10"/>
  </r>
  <r>
    <s v="19-643-1879"/>
    <x v="5"/>
    <x v="1"/>
    <x v="0"/>
    <s v="Divorced"/>
    <s v="High School"/>
    <s v="High"/>
    <s v="Kawangkoan"/>
    <x v="1"/>
    <n v="257.86"/>
    <n v="6"/>
    <x v="2"/>
    <n v="2"/>
    <n v="2"/>
    <n v="0"/>
    <s v="None"/>
    <s v="Somewhat Sensitive"/>
    <n v="0"/>
    <n v="4"/>
    <s v="High"/>
    <x v="0"/>
    <x v="1"/>
    <d v="2024-06-12T00:00:00"/>
    <n v="678"/>
    <b v="1"/>
    <b v="1"/>
    <x v="0"/>
    <s v="Express"/>
    <n v="1"/>
  </r>
  <r>
    <s v="57-345-3921"/>
    <x v="21"/>
    <x v="0"/>
    <x v="1"/>
    <s v="Single"/>
    <s v="High School"/>
    <s v="Middle"/>
    <s v="Mondorf-les-Bains"/>
    <x v="23"/>
    <n v="393.45"/>
    <n v="12"/>
    <x v="1"/>
    <n v="3"/>
    <n v="1"/>
    <n v="0"/>
    <s v="Low"/>
    <s v="Somewhat Sensitive"/>
    <n v="2"/>
    <n v="10"/>
    <s v="Medium"/>
    <x v="2"/>
    <x v="0"/>
    <d v="2024-10-06T00:00:00"/>
    <n v="562"/>
    <b v="0"/>
    <b v="0"/>
    <x v="0"/>
    <s v="Express"/>
    <n v="12"/>
  </r>
  <r>
    <s v="98-817-6731"/>
    <x v="12"/>
    <x v="1"/>
    <x v="1"/>
    <s v="Married"/>
    <s v="Bachelor's"/>
    <s v="Middle"/>
    <s v="Manwakh"/>
    <x v="18"/>
    <n v="58.49"/>
    <n v="6"/>
    <x v="2"/>
    <n v="2"/>
    <n v="2"/>
    <n v="0"/>
    <s v="Medium"/>
    <s v="Very Sensitive"/>
    <n v="0"/>
    <n v="8"/>
    <s v="High"/>
    <x v="0"/>
    <x v="3"/>
    <d v="2024-07-29T00:00:00"/>
    <n v="631"/>
    <b v="1"/>
    <b v="1"/>
    <x v="3"/>
    <s v="Express"/>
    <n v="7"/>
  </r>
  <r>
    <s v="31-788-0864"/>
    <x v="21"/>
    <x v="1"/>
    <x v="0"/>
    <s v="Single"/>
    <s v="High School"/>
    <s v="Middle"/>
    <s v="Karlstad"/>
    <x v="21"/>
    <n v="226.48"/>
    <n v="11"/>
    <x v="1"/>
    <n v="5"/>
    <n v="3"/>
    <n v="2"/>
    <s v="None"/>
    <s v="Not Sensitive"/>
    <n v="2"/>
    <n v="7"/>
    <s v="High"/>
    <x v="0"/>
    <x v="2"/>
    <d v="2024-10-18T00:00:00"/>
    <n v="550"/>
    <b v="1"/>
    <b v="0"/>
    <x v="0"/>
    <s v="Express"/>
    <n v="11"/>
  </r>
  <r>
    <s v="27-806-4972"/>
    <x v="29"/>
    <x v="0"/>
    <x v="1"/>
    <s v="Single"/>
    <s v="Master's"/>
    <s v="Middle"/>
    <s v="Obong"/>
    <x v="10"/>
    <n v="469.22"/>
    <n v="6"/>
    <x v="1"/>
    <n v="1"/>
    <n v="1"/>
    <n v="1"/>
    <s v="High"/>
    <s v="Not Sensitive"/>
    <n v="0"/>
    <n v="1"/>
    <s v="Low"/>
    <x v="0"/>
    <x v="0"/>
    <d v="2024-08-07T00:00:00"/>
    <n v="622"/>
    <b v="0"/>
    <b v="0"/>
    <x v="1"/>
    <s v="No Preference"/>
    <n v="7"/>
  </r>
  <r>
    <s v="48-343-1220"/>
    <x v="21"/>
    <x v="0"/>
    <x v="1"/>
    <s v="Divorced"/>
    <s v="High School"/>
    <s v="High"/>
    <s v="Kolsko"/>
    <x v="23"/>
    <n v="335.32"/>
    <n v="6"/>
    <x v="0"/>
    <n v="3"/>
    <n v="3"/>
    <n v="1"/>
    <s v="None"/>
    <s v="Not Sensitive"/>
    <n v="0"/>
    <n v="1"/>
    <s v="Low"/>
    <x v="2"/>
    <x v="3"/>
    <d v="2024-08-12T00:00:00"/>
    <n v="617"/>
    <b v="1"/>
    <b v="0"/>
    <x v="3"/>
    <s v="No Preference"/>
    <n v="10"/>
  </r>
  <r>
    <s v="15-640-6493"/>
    <x v="16"/>
    <x v="1"/>
    <x v="1"/>
    <s v="Divorced"/>
    <s v="High School"/>
    <s v="Middle"/>
    <s v="DÄlbandÄ«n"/>
    <x v="9"/>
    <n v="184.74"/>
    <n v="5"/>
    <x v="1"/>
    <n v="4"/>
    <n v="4"/>
    <n v="0"/>
    <s v="Medium"/>
    <s v="Very Sensitive"/>
    <n v="1"/>
    <n v="5"/>
    <s v="High"/>
    <x v="0"/>
    <x v="2"/>
    <d v="2024-11-27T00:00:00"/>
    <n v="510"/>
    <b v="0"/>
    <b v="1"/>
    <x v="2"/>
    <s v="No Preference"/>
    <n v="10"/>
  </r>
  <r>
    <s v="64-846-7450"/>
    <x v="14"/>
    <x v="7"/>
    <x v="1"/>
    <s v="Divorced"/>
    <s v="Bachelor's"/>
    <s v="Middle"/>
    <s v="Shazi"/>
    <x v="22"/>
    <n v="442.18"/>
    <n v="5"/>
    <x v="1"/>
    <n v="4"/>
    <n v="3"/>
    <n v="1"/>
    <s v="None"/>
    <s v="Very Sensitive"/>
    <n v="2"/>
    <n v="10"/>
    <s v="High"/>
    <x v="1"/>
    <x v="1"/>
    <d v="2024-01-25T00:00:00"/>
    <n v="817"/>
    <b v="0"/>
    <b v="0"/>
    <x v="2"/>
    <s v="Express"/>
    <n v="12"/>
  </r>
  <r>
    <s v="58-788-8938"/>
    <x v="1"/>
    <x v="1"/>
    <x v="1"/>
    <s v="Married"/>
    <s v="High School"/>
    <s v="Middle"/>
    <s v="HachiÅji"/>
    <x v="18"/>
    <n v="427.1"/>
    <n v="8"/>
    <x v="0"/>
    <n v="1"/>
    <n v="2"/>
    <n v="1"/>
    <s v="High"/>
    <s v="Somewhat Sensitive"/>
    <n v="0"/>
    <n v="2"/>
    <s v="Medium"/>
    <x v="2"/>
    <x v="1"/>
    <d v="2024-05-10T00:00:00"/>
    <n v="711"/>
    <b v="0"/>
    <b v="1"/>
    <x v="3"/>
    <s v="No Preference"/>
    <n v="5"/>
  </r>
  <r>
    <s v="52-240-3825"/>
    <x v="10"/>
    <x v="1"/>
    <x v="1"/>
    <s v="Widowed"/>
    <s v="High School"/>
    <s v="High"/>
    <s v="Jolo"/>
    <x v="3"/>
    <n v="326.82"/>
    <n v="4"/>
    <x v="0"/>
    <n v="3"/>
    <n v="2"/>
    <n v="1"/>
    <s v="High"/>
    <s v="Somewhat Sensitive"/>
    <n v="2"/>
    <n v="5"/>
    <s v="Medium"/>
    <x v="0"/>
    <x v="0"/>
    <d v="2024-04-22T00:00:00"/>
    <n v="729"/>
    <b v="1"/>
    <b v="0"/>
    <x v="3"/>
    <s v="Standard"/>
    <n v="4"/>
  </r>
  <r>
    <s v="60-618-2561"/>
    <x v="30"/>
    <x v="1"/>
    <x v="1"/>
    <s v="Widowed"/>
    <s v="High School"/>
    <s v="Middle"/>
    <s v="Pedra Azul"/>
    <x v="11"/>
    <n v="98.97"/>
    <n v="12"/>
    <x v="1"/>
    <n v="2"/>
    <n v="5"/>
    <n v="2"/>
    <s v="None"/>
    <s v="Very Sensitive"/>
    <n v="1"/>
    <n v="7"/>
    <s v="High"/>
    <x v="0"/>
    <x v="3"/>
    <d v="2024-03-19T00:00:00"/>
    <n v="763"/>
    <b v="1"/>
    <b v="1"/>
    <x v="2"/>
    <s v="No Preference"/>
    <n v="11"/>
  </r>
  <r>
    <s v="94-969-6819"/>
    <x v="4"/>
    <x v="1"/>
    <x v="1"/>
    <s v="Single"/>
    <s v="High School"/>
    <s v="High"/>
    <s v="Gustavsberg"/>
    <x v="10"/>
    <n v="77.650000000000006"/>
    <n v="6"/>
    <x v="2"/>
    <n v="1"/>
    <n v="4"/>
    <n v="1"/>
    <s v="Medium"/>
    <s v="Somewhat Sensitive"/>
    <n v="2"/>
    <n v="3"/>
    <s v="None"/>
    <x v="0"/>
    <x v="4"/>
    <d v="2024-01-24T00:00:00"/>
    <n v="818"/>
    <b v="1"/>
    <b v="1"/>
    <x v="3"/>
    <s v="No Preference"/>
    <n v="1"/>
  </r>
  <r>
    <s v="76-982-8107"/>
    <x v="26"/>
    <x v="0"/>
    <x v="0"/>
    <s v="Widowed"/>
    <s v="Master's"/>
    <s v="High"/>
    <s v="La Mohammedia"/>
    <x v="13"/>
    <n v="85.61"/>
    <n v="2"/>
    <x v="2"/>
    <n v="4"/>
    <n v="2"/>
    <n v="1"/>
    <s v="High"/>
    <s v="Not Sensitive"/>
    <n v="1"/>
    <n v="3"/>
    <s v="Low"/>
    <x v="2"/>
    <x v="3"/>
    <d v="2024-10-04T00:00:00"/>
    <n v="564"/>
    <b v="1"/>
    <b v="1"/>
    <x v="0"/>
    <s v="Standard"/>
    <n v="5"/>
  </r>
  <r>
    <s v="52-779-8972"/>
    <x v="26"/>
    <x v="1"/>
    <x v="1"/>
    <s v="Widowed"/>
    <s v="High School"/>
    <s v="High"/>
    <s v="Florida"/>
    <x v="1"/>
    <n v="164.79"/>
    <n v="4"/>
    <x v="1"/>
    <n v="3"/>
    <n v="2"/>
    <n v="0"/>
    <s v="None"/>
    <s v="Somewhat Sensitive"/>
    <n v="2"/>
    <n v="5"/>
    <s v="High"/>
    <x v="0"/>
    <x v="0"/>
    <d v="2024-05-23T00:00:00"/>
    <n v="698"/>
    <b v="1"/>
    <b v="1"/>
    <x v="2"/>
    <s v="No Preference"/>
    <n v="1"/>
  </r>
  <r>
    <s v="40-520-3271"/>
    <x v="3"/>
    <x v="0"/>
    <x v="1"/>
    <s v="Widowed"/>
    <s v="High School"/>
    <s v="High"/>
    <s v="Zhongcheng"/>
    <x v="18"/>
    <n v="235.46"/>
    <n v="10"/>
    <x v="1"/>
    <n v="3"/>
    <n v="4"/>
    <n v="2"/>
    <s v="None"/>
    <s v="Not Sensitive"/>
    <n v="0"/>
    <n v="7"/>
    <s v="None"/>
    <x v="2"/>
    <x v="0"/>
    <d v="2024-11-13T00:00:00"/>
    <n v="524"/>
    <b v="0"/>
    <b v="1"/>
    <x v="2"/>
    <s v="No Preference"/>
    <n v="2"/>
  </r>
  <r>
    <s v="79-884-5600"/>
    <x v="15"/>
    <x v="0"/>
    <x v="1"/>
    <s v="Widowed"/>
    <s v="Master's"/>
    <s v="Middle"/>
    <s v="Goiatuba"/>
    <x v="5"/>
    <n v="245.14"/>
    <n v="4"/>
    <x v="2"/>
    <n v="4"/>
    <n v="5"/>
    <n v="1"/>
    <s v="High"/>
    <s v="Very Sensitive"/>
    <n v="1"/>
    <n v="4"/>
    <s v="Medium"/>
    <x v="1"/>
    <x v="1"/>
    <d v="2024-03-03T00:00:00"/>
    <n v="779"/>
    <b v="1"/>
    <b v="0"/>
    <x v="2"/>
    <s v="Standard"/>
    <n v="3"/>
  </r>
  <r>
    <s v="80-607-9947"/>
    <x v="20"/>
    <x v="1"/>
    <x v="1"/>
    <s v="Divorced"/>
    <s v="Bachelor's"/>
    <s v="Middle"/>
    <s v="Krajan Kidul Rojopolo"/>
    <x v="16"/>
    <n v="439.91"/>
    <n v="5"/>
    <x v="2"/>
    <n v="1"/>
    <n v="4"/>
    <n v="2"/>
    <s v="Low"/>
    <s v="Somewhat Sensitive"/>
    <n v="0"/>
    <n v="9"/>
    <s v="Medium"/>
    <x v="1"/>
    <x v="3"/>
    <d v="2024-03-03T00:00:00"/>
    <n v="779"/>
    <b v="0"/>
    <b v="0"/>
    <x v="0"/>
    <s v="Express"/>
    <n v="10"/>
  </r>
  <r>
    <s v="87-290-8263"/>
    <x v="16"/>
    <x v="1"/>
    <x v="1"/>
    <s v="Widowed"/>
    <s v="High School"/>
    <s v="High"/>
    <s v="Metchosin"/>
    <x v="3"/>
    <n v="309.22000000000003"/>
    <n v="5"/>
    <x v="0"/>
    <n v="3"/>
    <n v="5"/>
    <n v="2"/>
    <s v="Low"/>
    <s v="Not Sensitive"/>
    <n v="2"/>
    <n v="4"/>
    <s v="None"/>
    <x v="0"/>
    <x v="4"/>
    <d v="2024-03-24T00:00:00"/>
    <n v="758"/>
    <b v="0"/>
    <b v="0"/>
    <x v="3"/>
    <s v="Standard"/>
    <n v="10"/>
  </r>
  <r>
    <s v="99-316-9993"/>
    <x v="23"/>
    <x v="1"/>
    <x v="0"/>
    <s v="Widowed"/>
    <s v="Master's"/>
    <s v="Middle"/>
    <s v="Staritsa"/>
    <x v="19"/>
    <n v="146.59"/>
    <n v="10"/>
    <x v="0"/>
    <n v="5"/>
    <n v="1"/>
    <n v="2"/>
    <s v="Low"/>
    <s v="Very Sensitive"/>
    <n v="0"/>
    <n v="2"/>
    <s v="None"/>
    <x v="1"/>
    <x v="4"/>
    <d v="2024-01-22T00:00:00"/>
    <n v="820"/>
    <b v="0"/>
    <b v="1"/>
    <x v="2"/>
    <s v="No Preference"/>
    <n v="3"/>
  </r>
  <r>
    <s v="54-164-2243"/>
    <x v="18"/>
    <x v="1"/>
    <x v="0"/>
    <s v="Single"/>
    <s v="High School"/>
    <s v="Middle"/>
    <s v="Benito Juarez"/>
    <x v="11"/>
    <n v="298.73"/>
    <n v="4"/>
    <x v="2"/>
    <n v="1"/>
    <n v="5"/>
    <n v="1"/>
    <s v="High"/>
    <s v="Not Sensitive"/>
    <n v="0"/>
    <n v="2"/>
    <s v="Low"/>
    <x v="0"/>
    <x v="2"/>
    <d v="2024-11-02T00:00:00"/>
    <n v="535"/>
    <b v="0"/>
    <b v="1"/>
    <x v="0"/>
    <s v="No Preference"/>
    <n v="4"/>
  </r>
  <r>
    <s v="14-784-5606"/>
    <x v="24"/>
    <x v="7"/>
    <x v="1"/>
    <s v="Single"/>
    <s v="Bachelor's"/>
    <s v="High"/>
    <s v="ManÃ­"/>
    <x v="1"/>
    <n v="395.01"/>
    <n v="2"/>
    <x v="0"/>
    <n v="1"/>
    <n v="2"/>
    <n v="2"/>
    <s v="Medium"/>
    <s v="Very Sensitive"/>
    <n v="0"/>
    <n v="6"/>
    <s v="Medium"/>
    <x v="2"/>
    <x v="0"/>
    <d v="2024-04-18T00:00:00"/>
    <n v="733"/>
    <b v="1"/>
    <b v="0"/>
    <x v="1"/>
    <s v="Standard"/>
    <n v="3"/>
  </r>
  <r>
    <s v="47-992-7446"/>
    <x v="30"/>
    <x v="1"/>
    <x v="0"/>
    <s v="Married"/>
    <s v="Bachelor's"/>
    <s v="High"/>
    <s v="Vitali"/>
    <x v="13"/>
    <n v="371.19"/>
    <n v="10"/>
    <x v="0"/>
    <n v="1"/>
    <n v="2"/>
    <n v="2"/>
    <s v="High"/>
    <s v="Somewhat Sensitive"/>
    <n v="1"/>
    <n v="8"/>
    <s v="Medium"/>
    <x v="2"/>
    <x v="0"/>
    <d v="2024-08-27T00:00:00"/>
    <n v="602"/>
    <b v="0"/>
    <b v="0"/>
    <x v="3"/>
    <s v="Express"/>
    <n v="1"/>
  </r>
  <r>
    <s v="37-513-5073"/>
    <x v="4"/>
    <x v="0"/>
    <x v="0"/>
    <s v="Married"/>
    <s v="Master's"/>
    <s v="High"/>
    <s v="Mizque"/>
    <x v="13"/>
    <n v="193.76"/>
    <n v="10"/>
    <x v="0"/>
    <n v="4"/>
    <n v="3"/>
    <n v="1"/>
    <s v="Medium"/>
    <s v="Not Sensitive"/>
    <n v="0"/>
    <n v="2"/>
    <s v="Low"/>
    <x v="2"/>
    <x v="2"/>
    <d v="2024-02-03T00:00:00"/>
    <n v="808"/>
    <b v="0"/>
    <b v="0"/>
    <x v="1"/>
    <s v="No Preference"/>
    <n v="12"/>
  </r>
  <r>
    <s v="93-473-7248"/>
    <x v="20"/>
    <x v="1"/>
    <x v="0"/>
    <s v="Divorced"/>
    <s v="Master's"/>
    <s v="High"/>
    <s v="Zgornje PirniÄe"/>
    <x v="15"/>
    <n v="424.27"/>
    <n v="6"/>
    <x v="2"/>
    <n v="1"/>
    <n v="4"/>
    <n v="2"/>
    <s v="None"/>
    <s v="Not Sensitive"/>
    <n v="2"/>
    <n v="8"/>
    <s v="Low"/>
    <x v="0"/>
    <x v="4"/>
    <d v="2024-09-15T00:00:00"/>
    <n v="583"/>
    <b v="1"/>
    <b v="1"/>
    <x v="3"/>
    <s v="Standard"/>
    <n v="12"/>
  </r>
  <r>
    <s v="72-830-1211"/>
    <x v="9"/>
    <x v="1"/>
    <x v="1"/>
    <s v="Single"/>
    <s v="Bachelor's"/>
    <s v="High"/>
    <s v="Cipolletti"/>
    <x v="23"/>
    <n v="496.11"/>
    <n v="2"/>
    <x v="0"/>
    <n v="2"/>
    <n v="3"/>
    <n v="1"/>
    <s v="High"/>
    <s v="Somewhat Sensitive"/>
    <n v="2"/>
    <n v="8"/>
    <s v="High"/>
    <x v="1"/>
    <x v="1"/>
    <d v="2024-06-08T00:00:00"/>
    <n v="682"/>
    <b v="1"/>
    <b v="0"/>
    <x v="2"/>
    <s v="Standard"/>
    <n v="12"/>
  </r>
  <r>
    <s v="87-934-6762"/>
    <x v="30"/>
    <x v="1"/>
    <x v="1"/>
    <s v="Widowed"/>
    <s v="Bachelor's"/>
    <s v="Middle"/>
    <s v="SollefteÃ¥"/>
    <x v="15"/>
    <n v="341.91"/>
    <n v="3"/>
    <x v="2"/>
    <n v="4"/>
    <n v="4"/>
    <n v="0"/>
    <s v="Low"/>
    <s v="Not Sensitive"/>
    <n v="1"/>
    <n v="9"/>
    <s v="None"/>
    <x v="0"/>
    <x v="4"/>
    <d v="2024-05-31T00:00:00"/>
    <n v="690"/>
    <b v="0"/>
    <b v="0"/>
    <x v="2"/>
    <s v="Express"/>
    <n v="7"/>
  </r>
  <r>
    <s v="71-975-9564"/>
    <x v="13"/>
    <x v="1"/>
    <x v="1"/>
    <s v="Married"/>
    <s v="Master's"/>
    <s v="High"/>
    <s v="Klonowa"/>
    <x v="0"/>
    <n v="127.66"/>
    <n v="11"/>
    <x v="2"/>
    <n v="1"/>
    <n v="2"/>
    <n v="2"/>
    <s v="Low"/>
    <s v="Not Sensitive"/>
    <n v="2"/>
    <n v="7"/>
    <s v="None"/>
    <x v="1"/>
    <x v="0"/>
    <d v="2024-02-23T00:00:00"/>
    <n v="788"/>
    <b v="0"/>
    <b v="1"/>
    <x v="3"/>
    <s v="Standard"/>
    <n v="7"/>
  </r>
  <r>
    <s v="40-232-5631"/>
    <x v="26"/>
    <x v="3"/>
    <x v="0"/>
    <s v="Single"/>
    <s v="Bachelor's"/>
    <s v="Middle"/>
    <s v="Suvorov"/>
    <x v="14"/>
    <n v="227.47"/>
    <n v="2"/>
    <x v="2"/>
    <n v="2"/>
    <n v="2"/>
    <n v="2"/>
    <s v="Low"/>
    <s v="Very Sensitive"/>
    <n v="1"/>
    <n v="4"/>
    <s v="High"/>
    <x v="0"/>
    <x v="3"/>
    <d v="2024-10-30T00:00:00"/>
    <n v="538"/>
    <b v="1"/>
    <b v="0"/>
    <x v="0"/>
    <s v="Express"/>
    <n v="9"/>
  </r>
  <r>
    <s v="22-414-4955"/>
    <x v="22"/>
    <x v="1"/>
    <x v="1"/>
    <s v="Widowed"/>
    <s v="Bachelor's"/>
    <s v="High"/>
    <s v="Dragash"/>
    <x v="18"/>
    <n v="342.99"/>
    <n v="3"/>
    <x v="1"/>
    <n v="4"/>
    <n v="2"/>
    <n v="2"/>
    <s v="Low"/>
    <s v="Very Sensitive"/>
    <n v="0"/>
    <n v="6"/>
    <s v="Medium"/>
    <x v="1"/>
    <x v="3"/>
    <d v="2024-11-22T00:00:00"/>
    <n v="515"/>
    <b v="0"/>
    <b v="1"/>
    <x v="2"/>
    <s v="Express"/>
    <n v="6"/>
  </r>
  <r>
    <s v="99-089-1930"/>
    <x v="1"/>
    <x v="4"/>
    <x v="1"/>
    <s v="Married"/>
    <s v="Master's"/>
    <s v="Middle"/>
    <s v="Freiburg im Breisgau"/>
    <x v="12"/>
    <n v="306.48"/>
    <n v="5"/>
    <x v="0"/>
    <n v="1"/>
    <n v="3"/>
    <n v="0"/>
    <s v="Medium"/>
    <s v="Very Sensitive"/>
    <n v="0"/>
    <n v="9"/>
    <s v="Low"/>
    <x v="0"/>
    <x v="0"/>
    <d v="2024-09-15T00:00:00"/>
    <n v="583"/>
    <b v="0"/>
    <b v="1"/>
    <x v="0"/>
    <s v="Standard"/>
    <n v="14"/>
  </r>
  <r>
    <s v="62-198-2511"/>
    <x v="0"/>
    <x v="1"/>
    <x v="0"/>
    <s v="Divorced"/>
    <s v="Master's"/>
    <s v="High"/>
    <s v="Macau"/>
    <x v="3"/>
    <n v="308.54000000000002"/>
    <n v="3"/>
    <x v="0"/>
    <n v="1"/>
    <n v="3"/>
    <n v="0"/>
    <s v="High"/>
    <s v="Not Sensitive"/>
    <n v="1"/>
    <n v="5"/>
    <s v="High"/>
    <x v="2"/>
    <x v="0"/>
    <d v="2024-09-29T00:00:00"/>
    <n v="569"/>
    <b v="0"/>
    <b v="1"/>
    <x v="1"/>
    <s v="Standard"/>
    <n v="7"/>
  </r>
  <r>
    <s v="21-297-1223"/>
    <x v="1"/>
    <x v="1"/>
    <x v="1"/>
    <s v="Single"/>
    <s v="Master's"/>
    <s v="Middle"/>
    <s v="Pancas"/>
    <x v="22"/>
    <n v="124.17"/>
    <n v="12"/>
    <x v="0"/>
    <n v="5"/>
    <n v="2"/>
    <n v="2"/>
    <s v="High"/>
    <s v="Very Sensitive"/>
    <n v="2"/>
    <n v="4"/>
    <s v="High"/>
    <x v="1"/>
    <x v="2"/>
    <d v="2024-11-16T00:00:00"/>
    <n v="521"/>
    <b v="1"/>
    <b v="1"/>
    <x v="3"/>
    <s v="Standard"/>
    <n v="6"/>
  </r>
  <r>
    <s v="10-961-9336"/>
    <x v="23"/>
    <x v="0"/>
    <x v="0"/>
    <s v="Married"/>
    <s v="Master's"/>
    <s v="Middle"/>
    <s v="Dayapan"/>
    <x v="22"/>
    <n v="78"/>
    <n v="5"/>
    <x v="2"/>
    <n v="1"/>
    <n v="5"/>
    <n v="0"/>
    <s v="None"/>
    <s v="Not Sensitive"/>
    <n v="1"/>
    <n v="1"/>
    <s v="Low"/>
    <x v="2"/>
    <x v="2"/>
    <d v="2024-11-09T00:00:00"/>
    <n v="528"/>
    <b v="1"/>
    <b v="0"/>
    <x v="1"/>
    <s v="No Preference"/>
    <n v="11"/>
  </r>
  <r>
    <s v="71-473-2656"/>
    <x v="23"/>
    <x v="0"/>
    <x v="1"/>
    <s v="Married"/>
    <s v="Bachelor's"/>
    <s v="Middle"/>
    <s v="Gordon Town"/>
    <x v="10"/>
    <n v="393.03"/>
    <n v="4"/>
    <x v="0"/>
    <n v="4"/>
    <n v="4"/>
    <n v="0"/>
    <s v="High"/>
    <s v="Somewhat Sensitive"/>
    <n v="1"/>
    <n v="3"/>
    <s v="Medium"/>
    <x v="1"/>
    <x v="4"/>
    <d v="2024-09-03T00:00:00"/>
    <n v="595"/>
    <b v="1"/>
    <b v="1"/>
    <x v="3"/>
    <s v="Standard"/>
    <n v="7"/>
  </r>
  <r>
    <s v="84-954-2973"/>
    <x v="14"/>
    <x v="0"/>
    <x v="1"/>
    <s v="Single"/>
    <s v="Master's"/>
    <s v="Middle"/>
    <s v="Proptisht"/>
    <x v="11"/>
    <n v="102.09"/>
    <n v="3"/>
    <x v="0"/>
    <n v="1"/>
    <n v="4"/>
    <n v="0"/>
    <s v="None"/>
    <s v="Very Sensitive"/>
    <n v="1"/>
    <n v="9"/>
    <s v="Medium"/>
    <x v="0"/>
    <x v="1"/>
    <d v="2024-03-13T00:00:00"/>
    <n v="769"/>
    <b v="0"/>
    <b v="1"/>
    <x v="0"/>
    <s v="Express"/>
    <n v="1"/>
  </r>
  <r>
    <s v="22-382-9636"/>
    <x v="11"/>
    <x v="1"/>
    <x v="0"/>
    <s v="Married"/>
    <s v="Bachelor's"/>
    <s v="High"/>
    <s v="Kamal"/>
    <x v="10"/>
    <n v="426.21"/>
    <n v="3"/>
    <x v="0"/>
    <n v="1"/>
    <n v="4"/>
    <n v="2"/>
    <s v="High"/>
    <s v="Somewhat Sensitive"/>
    <n v="2"/>
    <n v="5"/>
    <s v="High"/>
    <x v="1"/>
    <x v="3"/>
    <d v="2024-04-18T00:00:00"/>
    <n v="733"/>
    <b v="0"/>
    <b v="1"/>
    <x v="1"/>
    <s v="Standard"/>
    <n v="2"/>
  </r>
  <r>
    <s v="89-724-2536"/>
    <x v="21"/>
    <x v="1"/>
    <x v="0"/>
    <s v="Widowed"/>
    <s v="Master's"/>
    <s v="High"/>
    <s v="Kouvola"/>
    <x v="17"/>
    <n v="140.31"/>
    <n v="2"/>
    <x v="2"/>
    <n v="2"/>
    <n v="4"/>
    <n v="1"/>
    <s v="Low"/>
    <s v="Very Sensitive"/>
    <n v="2"/>
    <n v="5"/>
    <s v="None"/>
    <x v="2"/>
    <x v="4"/>
    <d v="2024-05-21T00:00:00"/>
    <n v="700"/>
    <b v="1"/>
    <b v="1"/>
    <x v="2"/>
    <s v="Express"/>
    <n v="8"/>
  </r>
  <r>
    <s v="85-391-1888"/>
    <x v="27"/>
    <x v="0"/>
    <x v="1"/>
    <s v="Widowed"/>
    <s v="Master's"/>
    <s v="Middle"/>
    <s v="Zhongdong"/>
    <x v="14"/>
    <n v="413.7"/>
    <n v="8"/>
    <x v="0"/>
    <n v="3"/>
    <n v="3"/>
    <n v="0.3"/>
    <s v="Low"/>
    <s v="Very Sensitive"/>
    <n v="0"/>
    <n v="9"/>
    <s v="High"/>
    <x v="2"/>
    <x v="3"/>
    <d v="2024-06-17T00:00:00"/>
    <n v="673"/>
    <b v="0"/>
    <b v="1"/>
    <x v="0"/>
    <s v="No Preference"/>
    <n v="6"/>
  </r>
  <r>
    <s v="84-934-2483"/>
    <x v="1"/>
    <x v="1"/>
    <x v="1"/>
    <s v="Widowed"/>
    <s v="Master's"/>
    <s v="Middle"/>
    <s v="Betong"/>
    <x v="17"/>
    <n v="348.63"/>
    <n v="4"/>
    <x v="2"/>
    <n v="5"/>
    <n v="2"/>
    <n v="0"/>
    <s v="High"/>
    <s v="Somewhat Sensitive"/>
    <n v="0"/>
    <n v="7"/>
    <s v="None"/>
    <x v="1"/>
    <x v="2"/>
    <d v="2024-04-01T00:00:00"/>
    <n v="750"/>
    <b v="0"/>
    <b v="0"/>
    <x v="3"/>
    <s v="No Preference"/>
    <n v="6"/>
  </r>
  <r>
    <s v="96-229-1698"/>
    <x v="25"/>
    <x v="0"/>
    <x v="0"/>
    <s v="Widowed"/>
    <s v="High School"/>
    <s v="Middle"/>
    <s v="Jinping"/>
    <x v="9"/>
    <n v="91.27"/>
    <n v="7"/>
    <x v="1"/>
    <n v="5"/>
    <n v="1"/>
    <n v="0"/>
    <s v="High"/>
    <s v="Not Sensitive"/>
    <n v="2"/>
    <n v="6"/>
    <s v="None"/>
    <x v="0"/>
    <x v="4"/>
    <d v="2024-06-21T00:00:00"/>
    <n v="669"/>
    <b v="1"/>
    <b v="1"/>
    <x v="3"/>
    <s v="Express"/>
    <n v="13"/>
  </r>
  <r>
    <s v="36-948-6994"/>
    <x v="3"/>
    <x v="0"/>
    <x v="1"/>
    <s v="Divorced"/>
    <s v="Bachelor's"/>
    <s v="High"/>
    <s v="Mgachi"/>
    <x v="8"/>
    <n v="359.94"/>
    <n v="11"/>
    <x v="0"/>
    <n v="2"/>
    <n v="5"/>
    <n v="2"/>
    <s v="None"/>
    <s v="Very Sensitive"/>
    <n v="1"/>
    <n v="8"/>
    <s v="Low"/>
    <x v="1"/>
    <x v="4"/>
    <d v="2024-12-19T00:00:00"/>
    <n v="488"/>
    <b v="0"/>
    <b v="1"/>
    <x v="1"/>
    <s v="Express"/>
    <n v="9"/>
  </r>
  <r>
    <s v="43-172-9431"/>
    <x v="8"/>
    <x v="1"/>
    <x v="0"/>
    <s v="Divorced"/>
    <s v="High School"/>
    <s v="Middle"/>
    <s v="Lameira"/>
    <x v="0"/>
    <n v="138.19999999999999"/>
    <n v="8"/>
    <x v="1"/>
    <n v="1"/>
    <n v="2"/>
    <n v="2"/>
    <s v="High"/>
    <s v="Not Sensitive"/>
    <n v="0"/>
    <n v="6"/>
    <s v="Low"/>
    <x v="2"/>
    <x v="2"/>
    <d v="2024-03-02T00:00:00"/>
    <n v="780"/>
    <b v="0"/>
    <b v="1"/>
    <x v="0"/>
    <s v="No Preference"/>
    <n v="12"/>
  </r>
  <r>
    <s v="53-690-5759"/>
    <x v="9"/>
    <x v="6"/>
    <x v="1"/>
    <s v="Divorced"/>
    <s v="High School"/>
    <s v="High"/>
    <s v="Medicine Hat"/>
    <x v="3"/>
    <n v="196.33"/>
    <n v="11"/>
    <x v="2"/>
    <n v="4"/>
    <n v="3"/>
    <n v="1"/>
    <s v="Medium"/>
    <s v="Not Sensitive"/>
    <n v="0"/>
    <n v="5"/>
    <s v="None"/>
    <x v="2"/>
    <x v="2"/>
    <d v="2024-06-29T00:00:00"/>
    <n v="661"/>
    <b v="1"/>
    <b v="1"/>
    <x v="3"/>
    <s v="Standard"/>
    <n v="11"/>
  </r>
  <r>
    <s v="00-496-3067"/>
    <x v="11"/>
    <x v="0"/>
    <x v="0"/>
    <s v="Widowed"/>
    <s v="Bachelor's"/>
    <s v="Middle"/>
    <s v="Oslo"/>
    <x v="12"/>
    <n v="249.24"/>
    <n v="8"/>
    <x v="1"/>
    <n v="4"/>
    <n v="3"/>
    <n v="1"/>
    <s v="Medium"/>
    <s v="Somewhat Sensitive"/>
    <n v="2"/>
    <n v="3"/>
    <s v="High"/>
    <x v="1"/>
    <x v="4"/>
    <d v="2024-08-29T00:00:00"/>
    <n v="600"/>
    <b v="0"/>
    <b v="1"/>
    <x v="0"/>
    <s v="Standard"/>
    <n v="7"/>
  </r>
  <r>
    <s v="10-330-6387"/>
    <x v="5"/>
    <x v="1"/>
    <x v="1"/>
    <s v="Divorced"/>
    <s v="High School"/>
    <s v="High"/>
    <s v="YenikÃ¶y"/>
    <x v="4"/>
    <n v="129.1"/>
    <n v="12"/>
    <x v="0"/>
    <n v="5"/>
    <n v="3"/>
    <n v="2"/>
    <s v="Low"/>
    <s v="Not Sensitive"/>
    <n v="0"/>
    <n v="8"/>
    <s v="High"/>
    <x v="2"/>
    <x v="0"/>
    <d v="2024-04-15T00:00:00"/>
    <n v="736"/>
    <b v="1"/>
    <b v="0"/>
    <x v="3"/>
    <s v="No Preference"/>
    <n v="7"/>
  </r>
  <r>
    <s v="87-590-8963"/>
    <x v="5"/>
    <x v="0"/>
    <x v="1"/>
    <s v="Married"/>
    <s v="Master's"/>
    <s v="High"/>
    <s v="Peer"/>
    <x v="15"/>
    <n v="112.69"/>
    <n v="10"/>
    <x v="1"/>
    <n v="1"/>
    <n v="4"/>
    <n v="0"/>
    <s v="High"/>
    <s v="Not Sensitive"/>
    <n v="0"/>
    <n v="7"/>
    <s v="Medium"/>
    <x v="1"/>
    <x v="2"/>
    <d v="2024-08-27T00:00:00"/>
    <n v="602"/>
    <b v="0"/>
    <b v="1"/>
    <x v="0"/>
    <s v="Standard"/>
    <n v="1"/>
  </r>
  <r>
    <s v="47-931-2642"/>
    <x v="19"/>
    <x v="1"/>
    <x v="0"/>
    <s v="Widowed"/>
    <s v="Bachelor's"/>
    <s v="High"/>
    <s v="BelÅ«sovka"/>
    <x v="21"/>
    <n v="267.85000000000002"/>
    <n v="5"/>
    <x v="2"/>
    <n v="5"/>
    <n v="2"/>
    <n v="2"/>
    <s v="Medium"/>
    <s v="Somewhat Sensitive"/>
    <n v="1"/>
    <n v="5"/>
    <s v="High"/>
    <x v="1"/>
    <x v="0"/>
    <d v="2024-03-20T00:00:00"/>
    <n v="762"/>
    <b v="0"/>
    <b v="1"/>
    <x v="0"/>
    <s v="Standard"/>
    <n v="7"/>
  </r>
  <r>
    <s v="76-501-6422"/>
    <x v="2"/>
    <x v="1"/>
    <x v="0"/>
    <s v="Divorced"/>
    <s v="High School"/>
    <s v="Middle"/>
    <s v="Houston"/>
    <x v="3"/>
    <n v="205.36"/>
    <n v="12"/>
    <x v="2"/>
    <n v="1"/>
    <n v="5"/>
    <n v="2"/>
    <s v="High"/>
    <s v="Very Sensitive"/>
    <n v="0"/>
    <n v="1"/>
    <s v="Low"/>
    <x v="0"/>
    <x v="0"/>
    <d v="2024-04-27T00:00:00"/>
    <n v="724"/>
    <b v="0"/>
    <b v="0"/>
    <x v="2"/>
    <s v="Express"/>
    <n v="5"/>
  </r>
  <r>
    <s v="39-274-2175"/>
    <x v="18"/>
    <x v="5"/>
    <x v="1"/>
    <s v="Divorced"/>
    <s v="Master's"/>
    <s v="High"/>
    <s v="Hengdian"/>
    <x v="18"/>
    <n v="79.099999999999994"/>
    <n v="10"/>
    <x v="1"/>
    <n v="5"/>
    <n v="3"/>
    <n v="1"/>
    <s v="None"/>
    <s v="Not Sensitive"/>
    <n v="0"/>
    <n v="9"/>
    <s v="Medium"/>
    <x v="0"/>
    <x v="2"/>
    <d v="2024-05-05T00:00:00"/>
    <n v="716"/>
    <b v="1"/>
    <b v="0"/>
    <x v="0"/>
    <s v="Express"/>
    <n v="4"/>
  </r>
  <r>
    <s v="62-493-5282"/>
    <x v="22"/>
    <x v="1"/>
    <x v="1"/>
    <s v="Widowed"/>
    <s v="High School"/>
    <s v="Middle"/>
    <s v="Shuigou"/>
    <x v="10"/>
    <n v="256.63"/>
    <n v="12"/>
    <x v="1"/>
    <n v="1"/>
    <n v="4"/>
    <n v="0"/>
    <s v="High"/>
    <s v="Somewhat Sensitive"/>
    <n v="2"/>
    <n v="2"/>
    <s v="None"/>
    <x v="1"/>
    <x v="2"/>
    <d v="2024-06-16T00:00:00"/>
    <n v="674"/>
    <b v="1"/>
    <b v="1"/>
    <x v="2"/>
    <s v="Standard"/>
    <n v="10"/>
  </r>
  <r>
    <s v="18-841-7253"/>
    <x v="17"/>
    <x v="0"/>
    <x v="1"/>
    <s v="Divorced"/>
    <s v="High School"/>
    <s v="Middle"/>
    <s v="Xingxi"/>
    <x v="5"/>
    <n v="409.98"/>
    <n v="12"/>
    <x v="0"/>
    <n v="5"/>
    <n v="4"/>
    <n v="0"/>
    <s v="None"/>
    <s v="Not Sensitive"/>
    <n v="2"/>
    <n v="1"/>
    <s v="Medium"/>
    <x v="2"/>
    <x v="1"/>
    <d v="2024-10-15T00:00:00"/>
    <n v="553"/>
    <b v="1"/>
    <b v="0"/>
    <x v="1"/>
    <s v="Express"/>
    <n v="8"/>
  </r>
  <r>
    <s v="18-097-5707"/>
    <x v="10"/>
    <x v="1"/>
    <x v="0"/>
    <s v="Widowed"/>
    <s v="High School"/>
    <s v="High"/>
    <s v="DhÄ«bÄ«n"/>
    <x v="6"/>
    <n v="291.60000000000002"/>
    <n v="2"/>
    <x v="1"/>
    <n v="3"/>
    <n v="3"/>
    <n v="2"/>
    <s v="High"/>
    <s v="Somewhat Sensitive"/>
    <n v="0"/>
    <n v="7"/>
    <s v="None"/>
    <x v="2"/>
    <x v="4"/>
    <d v="2024-08-01T00:00:00"/>
    <n v="628"/>
    <b v="0"/>
    <b v="1"/>
    <x v="0"/>
    <s v="Standard"/>
    <n v="3"/>
  </r>
  <r>
    <s v="83-792-5141"/>
    <x v="17"/>
    <x v="0"/>
    <x v="0"/>
    <s v="Single"/>
    <s v="Bachelor's"/>
    <s v="Middle"/>
    <s v="Chengguan"/>
    <x v="3"/>
    <n v="101.7"/>
    <n v="7"/>
    <x v="2"/>
    <n v="3"/>
    <n v="4"/>
    <n v="2"/>
    <s v="Medium"/>
    <s v="Not Sensitive"/>
    <n v="2"/>
    <n v="2"/>
    <s v="None"/>
    <x v="0"/>
    <x v="2"/>
    <d v="2024-06-25T00:00:00"/>
    <n v="665"/>
    <b v="0"/>
    <b v="1"/>
    <x v="1"/>
    <s v="Standard"/>
    <n v="4"/>
  </r>
  <r>
    <s v="65-036-2410"/>
    <x v="17"/>
    <x v="0"/>
    <x v="0"/>
    <s v="Single"/>
    <s v="High School"/>
    <s v="Middle"/>
    <s v="Paris 09"/>
    <x v="10"/>
    <n v="369.73"/>
    <n v="2"/>
    <x v="2"/>
    <n v="1"/>
    <n v="2"/>
    <n v="2"/>
    <s v="None"/>
    <s v="Not Sensitive"/>
    <n v="0"/>
    <n v="3"/>
    <s v="None"/>
    <x v="0"/>
    <x v="2"/>
    <d v="2024-02-04T00:00:00"/>
    <n v="807"/>
    <b v="1"/>
    <b v="1"/>
    <x v="1"/>
    <s v="No Preference"/>
    <n v="12"/>
  </r>
  <r>
    <s v="67-593-9579"/>
    <x v="19"/>
    <x v="1"/>
    <x v="0"/>
    <s v="Single"/>
    <s v="Bachelor's"/>
    <s v="High"/>
    <s v="Rozhdestveno"/>
    <x v="15"/>
    <n v="71"/>
    <n v="12"/>
    <x v="2"/>
    <n v="1"/>
    <n v="5"/>
    <n v="2"/>
    <s v="High"/>
    <s v="Not Sensitive"/>
    <n v="2"/>
    <n v="9"/>
    <s v="Low"/>
    <x v="1"/>
    <x v="4"/>
    <d v="2024-06-26T00:00:00"/>
    <n v="664"/>
    <b v="0"/>
    <b v="0"/>
    <x v="1"/>
    <s v="No Preference"/>
    <n v="13"/>
  </r>
  <r>
    <s v="33-484-6674"/>
    <x v="26"/>
    <x v="1"/>
    <x v="0"/>
    <s v="Single"/>
    <s v="Master's"/>
    <s v="Middle"/>
    <s v="Porangatu"/>
    <x v="12"/>
    <n v="280.05"/>
    <n v="10"/>
    <x v="1"/>
    <n v="4"/>
    <n v="1"/>
    <n v="2"/>
    <s v="Medium"/>
    <s v="Very Sensitive"/>
    <n v="1"/>
    <n v="2"/>
    <s v="High"/>
    <x v="1"/>
    <x v="0"/>
    <d v="2024-07-06T00:00:00"/>
    <n v="654"/>
    <b v="1"/>
    <b v="0"/>
    <x v="1"/>
    <s v="No Preference"/>
    <n v="11"/>
  </r>
  <r>
    <s v="65-249-5416"/>
    <x v="22"/>
    <x v="1"/>
    <x v="1"/>
    <s v="Widowed"/>
    <s v="Master's"/>
    <s v="Middle"/>
    <s v="Shalkar"/>
    <x v="23"/>
    <n v="54.71"/>
    <n v="4"/>
    <x v="0"/>
    <n v="5"/>
    <n v="2"/>
    <n v="1"/>
    <s v="Low"/>
    <s v="Very Sensitive"/>
    <n v="1"/>
    <n v="3"/>
    <s v="None"/>
    <x v="2"/>
    <x v="1"/>
    <d v="2024-10-26T00:00:00"/>
    <n v="542"/>
    <b v="1"/>
    <b v="1"/>
    <x v="0"/>
    <s v="Express"/>
    <n v="3"/>
  </r>
  <r>
    <s v="17-328-4678"/>
    <x v="23"/>
    <x v="1"/>
    <x v="1"/>
    <s v="Widowed"/>
    <s v="Bachelor's"/>
    <s v="Middle"/>
    <s v="Quimbaya"/>
    <x v="12"/>
    <n v="119.51"/>
    <n v="11"/>
    <x v="0"/>
    <n v="5"/>
    <n v="5"/>
    <n v="2"/>
    <s v="Low"/>
    <s v="Very Sensitive"/>
    <n v="2"/>
    <n v="8"/>
    <s v="Low"/>
    <x v="2"/>
    <x v="1"/>
    <d v="2024-05-07T00:00:00"/>
    <n v="714"/>
    <b v="0"/>
    <b v="0"/>
    <x v="3"/>
    <s v="No Preference"/>
    <n v="1"/>
  </r>
  <r>
    <s v="00-733-8770"/>
    <x v="14"/>
    <x v="0"/>
    <x v="1"/>
    <s v="Single"/>
    <s v="Master's"/>
    <s v="High"/>
    <s v="Narok"/>
    <x v="17"/>
    <n v="57.5"/>
    <n v="12"/>
    <x v="2"/>
    <n v="5"/>
    <n v="1"/>
    <n v="1"/>
    <s v="None"/>
    <s v="Not Sensitive"/>
    <n v="0"/>
    <n v="3"/>
    <s v="None"/>
    <x v="2"/>
    <x v="4"/>
    <d v="2024-12-08T00:00:00"/>
    <n v="499"/>
    <b v="1"/>
    <b v="1"/>
    <x v="2"/>
    <s v="No Preference"/>
    <n v="13"/>
  </r>
  <r>
    <s v="47-501-3435"/>
    <x v="9"/>
    <x v="0"/>
    <x v="1"/>
    <s v="Married"/>
    <s v="Bachelor's"/>
    <s v="High"/>
    <s v="Gimcheon"/>
    <x v="5"/>
    <n v="225.05"/>
    <n v="5"/>
    <x v="0"/>
    <n v="2"/>
    <n v="1"/>
    <n v="1"/>
    <s v="High"/>
    <s v="Somewhat Sensitive"/>
    <n v="1"/>
    <n v="1"/>
    <s v="Low"/>
    <x v="2"/>
    <x v="0"/>
    <d v="2024-06-27T00:00:00"/>
    <n v="663"/>
    <b v="0"/>
    <b v="0"/>
    <x v="0"/>
    <s v="No Preference"/>
    <n v="10"/>
  </r>
  <r>
    <s v="46-779-7065"/>
    <x v="30"/>
    <x v="0"/>
    <x v="1"/>
    <s v="Divorced"/>
    <s v="High School"/>
    <s v="High"/>
    <s v="Visaginas"/>
    <x v="1"/>
    <n v="441.15"/>
    <n v="7"/>
    <x v="2"/>
    <n v="3"/>
    <n v="1"/>
    <n v="1"/>
    <s v="Low"/>
    <s v="Somewhat Sensitive"/>
    <n v="1"/>
    <n v="1"/>
    <s v="None"/>
    <x v="1"/>
    <x v="2"/>
    <d v="2024-08-31T00:00:00"/>
    <n v="598"/>
    <b v="0"/>
    <b v="0"/>
    <x v="0"/>
    <s v="No Preference"/>
    <n v="8"/>
  </r>
  <r>
    <s v="91-603-1565"/>
    <x v="18"/>
    <x v="1"/>
    <x v="0"/>
    <s v="Divorced"/>
    <s v="High School"/>
    <s v="Middle"/>
    <s v="Shostka"/>
    <x v="9"/>
    <n v="481.21"/>
    <n v="3"/>
    <x v="0"/>
    <n v="1"/>
    <n v="2"/>
    <n v="1"/>
    <s v="High"/>
    <s v="Not Sensitive"/>
    <n v="0"/>
    <n v="1"/>
    <s v="None"/>
    <x v="2"/>
    <x v="0"/>
    <d v="2024-11-13T00:00:00"/>
    <n v="524"/>
    <b v="0"/>
    <b v="0"/>
    <x v="1"/>
    <s v="No Preference"/>
    <n v="11"/>
  </r>
  <r>
    <s v="35-122-5020"/>
    <x v="18"/>
    <x v="0"/>
    <x v="1"/>
    <s v="Married"/>
    <s v="Bachelor's"/>
    <s v="Middle"/>
    <s v="Pukekohe East"/>
    <x v="17"/>
    <n v="102.96"/>
    <n v="3"/>
    <x v="0"/>
    <n v="1"/>
    <n v="1"/>
    <n v="1"/>
    <s v="Low"/>
    <s v="Very Sensitive"/>
    <n v="0"/>
    <n v="7"/>
    <s v="Low"/>
    <x v="2"/>
    <x v="1"/>
    <d v="2024-12-19T00:00:00"/>
    <n v="488"/>
    <b v="0"/>
    <b v="1"/>
    <x v="1"/>
    <s v="Standard"/>
    <n v="4"/>
  </r>
  <r>
    <s v="63-684-4073"/>
    <x v="5"/>
    <x v="0"/>
    <x v="1"/>
    <s v="Divorced"/>
    <s v="Bachelor's"/>
    <s v="High"/>
    <s v="Blokdesa Situgede"/>
    <x v="13"/>
    <n v="331.57"/>
    <n v="11"/>
    <x v="0"/>
    <n v="3"/>
    <n v="1"/>
    <n v="0"/>
    <s v="Low"/>
    <s v="Somewhat Sensitive"/>
    <n v="1"/>
    <n v="6"/>
    <s v="Medium"/>
    <x v="2"/>
    <x v="2"/>
    <d v="2024-05-06T00:00:00"/>
    <n v="715"/>
    <b v="0"/>
    <b v="0"/>
    <x v="2"/>
    <s v="Express"/>
    <n v="14"/>
  </r>
  <r>
    <s v="74-483-2893"/>
    <x v="29"/>
    <x v="4"/>
    <x v="0"/>
    <s v="Widowed"/>
    <s v="High School"/>
    <s v="Middle"/>
    <s v="Yueyang"/>
    <x v="13"/>
    <n v="101.29"/>
    <n v="11"/>
    <x v="1"/>
    <n v="1"/>
    <n v="1"/>
    <n v="2"/>
    <s v="Medium"/>
    <s v="Not Sensitive"/>
    <n v="2"/>
    <n v="7"/>
    <s v="Medium"/>
    <x v="1"/>
    <x v="4"/>
    <d v="2024-10-30T00:00:00"/>
    <n v="538"/>
    <b v="0"/>
    <b v="1"/>
    <x v="0"/>
    <s v="No Preference"/>
    <n v="4"/>
  </r>
  <r>
    <s v="72-728-4406"/>
    <x v="17"/>
    <x v="0"/>
    <x v="0"/>
    <s v="Single"/>
    <s v="Master's"/>
    <s v="High"/>
    <s v="Liutan"/>
    <x v="12"/>
    <n v="143.52000000000001"/>
    <n v="9"/>
    <x v="1"/>
    <n v="2"/>
    <n v="5"/>
    <n v="1"/>
    <s v="Medium"/>
    <s v="Somewhat Sensitive"/>
    <n v="2"/>
    <n v="3"/>
    <s v="None"/>
    <x v="0"/>
    <x v="0"/>
    <d v="2024-04-11T00:00:00"/>
    <n v="740"/>
    <b v="1"/>
    <b v="0"/>
    <x v="2"/>
    <s v="Express"/>
    <n v="12"/>
  </r>
  <r>
    <s v="13-588-2488"/>
    <x v="7"/>
    <x v="1"/>
    <x v="0"/>
    <s v="Widowed"/>
    <s v="Bachelor's"/>
    <s v="Middle"/>
    <s v="Huanggang"/>
    <x v="6"/>
    <n v="276.48"/>
    <n v="3"/>
    <x v="0"/>
    <n v="1"/>
    <n v="2"/>
    <n v="1"/>
    <s v="None"/>
    <s v="Somewhat Sensitive"/>
    <n v="0"/>
    <n v="4"/>
    <s v="Low"/>
    <x v="2"/>
    <x v="4"/>
    <d v="2024-05-05T00:00:00"/>
    <n v="716"/>
    <b v="0"/>
    <b v="0"/>
    <x v="0"/>
    <s v="Express"/>
    <n v="7"/>
  </r>
  <r>
    <s v="79-861-6506"/>
    <x v="28"/>
    <x v="1"/>
    <x v="1"/>
    <s v="Widowed"/>
    <s v="High School"/>
    <s v="High"/>
    <s v="BaturitÃ©"/>
    <x v="16"/>
    <n v="352.87"/>
    <n v="11"/>
    <x v="1"/>
    <n v="5"/>
    <n v="3"/>
    <n v="0"/>
    <s v="High"/>
    <s v="Not Sensitive"/>
    <n v="0"/>
    <n v="6"/>
    <s v="High"/>
    <x v="0"/>
    <x v="1"/>
    <d v="2024-02-19T00:00:00"/>
    <n v="792"/>
    <b v="0"/>
    <b v="0"/>
    <x v="1"/>
    <s v="Standard"/>
    <n v="12"/>
  </r>
  <r>
    <s v="66-974-6707"/>
    <x v="18"/>
    <x v="1"/>
    <x v="0"/>
    <s v="Married"/>
    <s v="Master's"/>
    <s v="Middle"/>
    <s v="Miâ€™ersi"/>
    <x v="7"/>
    <n v="228.68"/>
    <n v="3"/>
    <x v="0"/>
    <n v="2"/>
    <n v="1"/>
    <n v="2"/>
    <s v="Low"/>
    <s v="Very Sensitive"/>
    <n v="1"/>
    <n v="4"/>
    <s v="None"/>
    <x v="0"/>
    <x v="2"/>
    <d v="2024-10-09T00:00:00"/>
    <n v="559"/>
    <b v="1"/>
    <b v="0"/>
    <x v="3"/>
    <s v="Standard"/>
    <n v="4"/>
  </r>
  <r>
    <s v="95-112-6724"/>
    <x v="16"/>
    <x v="0"/>
    <x v="0"/>
    <s v="Divorced"/>
    <s v="Master's"/>
    <s v="High"/>
    <s v="Xuedian"/>
    <x v="1"/>
    <n v="301.39"/>
    <n v="6"/>
    <x v="2"/>
    <n v="2"/>
    <n v="1"/>
    <n v="0"/>
    <s v="None"/>
    <s v="Very Sensitive"/>
    <n v="1"/>
    <n v="4"/>
    <s v="Low"/>
    <x v="2"/>
    <x v="2"/>
    <d v="2024-04-21T00:00:00"/>
    <n v="730"/>
    <b v="0"/>
    <b v="0"/>
    <x v="0"/>
    <s v="No Preference"/>
    <n v="11"/>
  </r>
  <r>
    <s v="27-262-6874"/>
    <x v="8"/>
    <x v="0"/>
    <x v="0"/>
    <s v="Married"/>
    <s v="Bachelor's"/>
    <s v="High"/>
    <s v="Yuyapichis"/>
    <x v="5"/>
    <n v="473.5"/>
    <n v="11"/>
    <x v="0"/>
    <n v="2"/>
    <n v="4"/>
    <n v="1"/>
    <s v="Low"/>
    <s v="Somewhat Sensitive"/>
    <n v="2"/>
    <n v="3"/>
    <s v="High"/>
    <x v="0"/>
    <x v="3"/>
    <d v="2024-07-24T00:00:00"/>
    <n v="636"/>
    <b v="0"/>
    <b v="1"/>
    <x v="2"/>
    <s v="Express"/>
    <n v="10"/>
  </r>
  <r>
    <s v="92-908-5062"/>
    <x v="27"/>
    <x v="6"/>
    <x v="0"/>
    <s v="Single"/>
    <s v="Bachelor's"/>
    <s v="High"/>
    <s v="Shiroishi"/>
    <x v="3"/>
    <n v="72.8"/>
    <n v="11"/>
    <x v="1"/>
    <n v="2"/>
    <n v="4"/>
    <n v="1"/>
    <s v="High"/>
    <s v="Somewhat Sensitive"/>
    <n v="2"/>
    <n v="10"/>
    <s v="High"/>
    <x v="2"/>
    <x v="1"/>
    <d v="2024-08-20T00:00:00"/>
    <n v="609"/>
    <b v="1"/>
    <b v="0"/>
    <x v="0"/>
    <s v="Express"/>
    <n v="3"/>
  </r>
  <r>
    <s v="70-014-6406"/>
    <x v="27"/>
    <x v="1"/>
    <x v="0"/>
    <s v="Divorced"/>
    <s v="Bachelor's"/>
    <s v="High"/>
    <s v="Kobe"/>
    <x v="12"/>
    <n v="171.72"/>
    <n v="3"/>
    <x v="2"/>
    <n v="5"/>
    <n v="3"/>
    <n v="1"/>
    <s v="Low"/>
    <s v="Very Sensitive"/>
    <n v="1"/>
    <n v="2"/>
    <s v="None"/>
    <x v="2"/>
    <x v="1"/>
    <d v="2024-03-24T00:00:00"/>
    <n v="758"/>
    <b v="0"/>
    <b v="1"/>
    <x v="2"/>
    <s v="Standard"/>
    <n v="12"/>
  </r>
  <r>
    <s v="52-908-9971"/>
    <x v="16"/>
    <x v="1"/>
    <x v="0"/>
    <s v="Widowed"/>
    <s v="High School"/>
    <s v="Middle"/>
    <s v="Gulou"/>
    <x v="14"/>
    <n v="467.5"/>
    <n v="6"/>
    <x v="1"/>
    <n v="2"/>
    <n v="1"/>
    <n v="0"/>
    <s v="None"/>
    <s v="Somewhat Sensitive"/>
    <n v="1"/>
    <n v="1"/>
    <s v="High"/>
    <x v="2"/>
    <x v="1"/>
    <d v="2024-04-04T00:00:00"/>
    <n v="747"/>
    <b v="0"/>
    <b v="0"/>
    <x v="3"/>
    <s v="No Preference"/>
    <n v="6"/>
  </r>
  <r>
    <s v="57-623-5362"/>
    <x v="20"/>
    <x v="7"/>
    <x v="1"/>
    <s v="Married"/>
    <s v="Bachelor's"/>
    <s v="High"/>
    <s v="Jilin"/>
    <x v="4"/>
    <n v="209.79"/>
    <n v="6"/>
    <x v="0"/>
    <n v="5"/>
    <n v="1"/>
    <n v="2"/>
    <s v="High"/>
    <s v="Not Sensitive"/>
    <n v="1"/>
    <n v="9"/>
    <s v="Low"/>
    <x v="0"/>
    <x v="3"/>
    <d v="2024-09-13T00:00:00"/>
    <n v="585"/>
    <b v="1"/>
    <b v="1"/>
    <x v="0"/>
    <s v="Standard"/>
    <n v="10"/>
  </r>
  <r>
    <s v="48-315-0196"/>
    <x v="25"/>
    <x v="1"/>
    <x v="0"/>
    <s v="Single"/>
    <s v="High School"/>
    <s v="Middle"/>
    <s v="Balboa"/>
    <x v="2"/>
    <n v="150.33000000000001"/>
    <n v="9"/>
    <x v="1"/>
    <n v="4"/>
    <n v="4"/>
    <n v="2"/>
    <s v="None"/>
    <s v="Somewhat Sensitive"/>
    <n v="2"/>
    <n v="9"/>
    <s v="Medium"/>
    <x v="2"/>
    <x v="2"/>
    <d v="2024-04-24T00:00:00"/>
    <n v="727"/>
    <b v="1"/>
    <b v="0"/>
    <x v="1"/>
    <s v="Express"/>
    <n v="6"/>
  </r>
  <r>
    <s v="71-959-3896"/>
    <x v="3"/>
    <x v="1"/>
    <x v="1"/>
    <s v="Married"/>
    <s v="Bachelor's"/>
    <s v="High"/>
    <s v="Cipari"/>
    <x v="8"/>
    <n v="98.63"/>
    <n v="7"/>
    <x v="2"/>
    <n v="4"/>
    <n v="5"/>
    <n v="2"/>
    <s v="High"/>
    <s v="Somewhat Sensitive"/>
    <n v="1"/>
    <n v="3"/>
    <s v="Low"/>
    <x v="0"/>
    <x v="3"/>
    <d v="2024-01-09T00:00:00"/>
    <n v="833"/>
    <b v="0"/>
    <b v="1"/>
    <x v="3"/>
    <s v="Standard"/>
    <n v="6"/>
  </r>
  <r>
    <s v="29-987-3969"/>
    <x v="6"/>
    <x v="0"/>
    <x v="0"/>
    <s v="Divorced"/>
    <s v="Master's"/>
    <s v="Middle"/>
    <s v="Orlando"/>
    <x v="21"/>
    <n v="193.3"/>
    <n v="11"/>
    <x v="0"/>
    <n v="4"/>
    <n v="2"/>
    <n v="2"/>
    <s v="None"/>
    <s v="Very Sensitive"/>
    <n v="2"/>
    <n v="1"/>
    <s v="Medium"/>
    <x v="0"/>
    <x v="3"/>
    <d v="2024-06-03T00:00:00"/>
    <n v="687"/>
    <b v="1"/>
    <b v="1"/>
    <x v="3"/>
    <s v="No Preference"/>
    <n v="12"/>
  </r>
  <r>
    <s v="78-613-1546"/>
    <x v="1"/>
    <x v="0"/>
    <x v="0"/>
    <s v="Single"/>
    <s v="High School"/>
    <s v="Middle"/>
    <s v="Torsby"/>
    <x v="8"/>
    <n v="145.02000000000001"/>
    <n v="7"/>
    <x v="1"/>
    <n v="3"/>
    <n v="2"/>
    <n v="0"/>
    <s v="High"/>
    <s v="Very Sensitive"/>
    <n v="1"/>
    <n v="1"/>
    <s v="Medium"/>
    <x v="2"/>
    <x v="0"/>
    <d v="2024-06-23T00:00:00"/>
    <n v="667"/>
    <b v="1"/>
    <b v="1"/>
    <x v="1"/>
    <s v="Express"/>
    <n v="9"/>
  </r>
  <r>
    <s v="43-664-4451"/>
    <x v="12"/>
    <x v="0"/>
    <x v="0"/>
    <s v="Divorced"/>
    <s v="Master's"/>
    <s v="Middle"/>
    <s v="San Pablo"/>
    <x v="18"/>
    <n v="294.99"/>
    <n v="4"/>
    <x v="2"/>
    <n v="3"/>
    <n v="5"/>
    <n v="2"/>
    <s v="Low"/>
    <s v="Somewhat Sensitive"/>
    <n v="1"/>
    <n v="4"/>
    <s v="High"/>
    <x v="2"/>
    <x v="1"/>
    <d v="2024-11-30T00:00:00"/>
    <n v="507"/>
    <b v="0"/>
    <b v="0"/>
    <x v="0"/>
    <s v="Standard"/>
    <n v="5"/>
  </r>
  <r>
    <s v="34-095-3364"/>
    <x v="16"/>
    <x v="5"/>
    <x v="0"/>
    <s v="Divorced"/>
    <s v="High School"/>
    <s v="Middle"/>
    <s v="Daszewice"/>
    <x v="2"/>
    <n v="305.45"/>
    <n v="2"/>
    <x v="0"/>
    <n v="5"/>
    <n v="5"/>
    <n v="1"/>
    <s v="None"/>
    <s v="Very Sensitive"/>
    <n v="1"/>
    <n v="1"/>
    <s v="High"/>
    <x v="1"/>
    <x v="1"/>
    <d v="2024-10-24T00:00:00"/>
    <n v="544"/>
    <b v="0"/>
    <b v="1"/>
    <x v="2"/>
    <s v="Express"/>
    <n v="9"/>
  </r>
  <r>
    <s v="72-393-6893"/>
    <x v="17"/>
    <x v="0"/>
    <x v="0"/>
    <s v="Widowed"/>
    <s v="High School"/>
    <s v="Middle"/>
    <s v="Villa ConcepciÃ³n del TÃ­o"/>
    <x v="16"/>
    <n v="432.42"/>
    <n v="2"/>
    <x v="1"/>
    <n v="4"/>
    <n v="4"/>
    <n v="0"/>
    <s v="Medium"/>
    <s v="Not Sensitive"/>
    <n v="0"/>
    <n v="8"/>
    <s v="None"/>
    <x v="0"/>
    <x v="1"/>
    <d v="2024-04-21T00:00:00"/>
    <n v="730"/>
    <b v="0"/>
    <b v="1"/>
    <x v="0"/>
    <s v="Express"/>
    <n v="13"/>
  </r>
  <r>
    <s v="73-707-2809"/>
    <x v="22"/>
    <x v="0"/>
    <x v="0"/>
    <s v="Single"/>
    <s v="Bachelor's"/>
    <s v="High"/>
    <s v="Hacienda La Calera"/>
    <x v="0"/>
    <n v="227.58"/>
    <n v="11"/>
    <x v="0"/>
    <n v="3"/>
    <n v="1"/>
    <n v="1"/>
    <s v="None"/>
    <s v="Not Sensitive"/>
    <n v="1"/>
    <n v="8"/>
    <s v="High"/>
    <x v="1"/>
    <x v="0"/>
    <d v="2024-01-23T00:00:00"/>
    <n v="819"/>
    <b v="0"/>
    <b v="1"/>
    <x v="0"/>
    <s v="Express"/>
    <n v="6"/>
  </r>
  <r>
    <s v="04-609-7885"/>
    <x v="15"/>
    <x v="1"/>
    <x v="0"/>
    <s v="Single"/>
    <s v="High School"/>
    <s v="High"/>
    <s v="Oslo"/>
    <x v="16"/>
    <n v="160.88999999999999"/>
    <n v="10"/>
    <x v="2"/>
    <n v="5"/>
    <n v="5"/>
    <n v="2"/>
    <s v="None"/>
    <s v="Somewhat Sensitive"/>
    <n v="2"/>
    <n v="6"/>
    <s v="Medium"/>
    <x v="2"/>
    <x v="1"/>
    <d v="2024-06-23T00:00:00"/>
    <n v="667"/>
    <b v="1"/>
    <b v="1"/>
    <x v="3"/>
    <s v="No Preference"/>
    <n v="13"/>
  </r>
  <r>
    <s v="73-139-4306"/>
    <x v="2"/>
    <x v="0"/>
    <x v="0"/>
    <s v="Married"/>
    <s v="Master's"/>
    <s v="High"/>
    <s v="Puerto LÃ³pez"/>
    <x v="8"/>
    <n v="139.1"/>
    <n v="7"/>
    <x v="2"/>
    <n v="2"/>
    <n v="5"/>
    <n v="0"/>
    <s v="Low"/>
    <s v="Somewhat Sensitive"/>
    <n v="2"/>
    <n v="3"/>
    <s v="Medium"/>
    <x v="2"/>
    <x v="1"/>
    <d v="2024-03-20T00:00:00"/>
    <n v="762"/>
    <b v="0"/>
    <b v="0"/>
    <x v="2"/>
    <s v="No Preference"/>
    <n v="8"/>
  </r>
  <r>
    <s v="23-794-8196"/>
    <x v="15"/>
    <x v="3"/>
    <x v="1"/>
    <s v="Married"/>
    <s v="Master's"/>
    <s v="Middle"/>
    <s v="Xinchengzi"/>
    <x v="4"/>
    <n v="268.27999999999997"/>
    <n v="9"/>
    <x v="0"/>
    <n v="5"/>
    <n v="2"/>
    <n v="2"/>
    <s v="High"/>
    <s v="Very Sensitive"/>
    <n v="2"/>
    <n v="2"/>
    <s v="High"/>
    <x v="1"/>
    <x v="0"/>
    <d v="2024-04-09T00:00:00"/>
    <n v="742"/>
    <b v="0"/>
    <b v="1"/>
    <x v="0"/>
    <s v="Standard"/>
    <n v="8"/>
  </r>
  <r>
    <s v="66-050-6391"/>
    <x v="5"/>
    <x v="0"/>
    <x v="0"/>
    <s v="Single"/>
    <s v="Master's"/>
    <s v="High"/>
    <s v="TecpÃ¡n Guatemala"/>
    <x v="6"/>
    <n v="64.489999999999995"/>
    <n v="6"/>
    <x v="2"/>
    <n v="2"/>
    <n v="1"/>
    <n v="0"/>
    <s v="None"/>
    <s v="Very Sensitive"/>
    <n v="1"/>
    <n v="10"/>
    <s v="None"/>
    <x v="0"/>
    <x v="3"/>
    <d v="2024-10-19T00:00:00"/>
    <n v="549"/>
    <b v="0"/>
    <b v="0"/>
    <x v="3"/>
    <s v="Express"/>
    <n v="7"/>
  </r>
  <r>
    <s v="22-311-5460"/>
    <x v="32"/>
    <x v="1"/>
    <x v="0"/>
    <s v="Widowed"/>
    <s v="High School"/>
    <s v="Middle"/>
    <s v="Bronnitsy"/>
    <x v="17"/>
    <n v="80.17"/>
    <n v="10"/>
    <x v="2"/>
    <n v="1"/>
    <n v="1"/>
    <n v="1"/>
    <s v="High"/>
    <s v="Not Sensitive"/>
    <n v="1"/>
    <n v="8"/>
    <s v="None"/>
    <x v="0"/>
    <x v="0"/>
    <d v="2024-05-10T00:00:00"/>
    <n v="711"/>
    <b v="1"/>
    <b v="1"/>
    <x v="3"/>
    <s v="No Preference"/>
    <n v="6"/>
  </r>
  <r>
    <s v="51-917-0766"/>
    <x v="31"/>
    <x v="1"/>
    <x v="1"/>
    <s v="Married"/>
    <s v="Master's"/>
    <s v="High"/>
    <s v="Araci"/>
    <x v="19"/>
    <n v="277.52"/>
    <n v="11"/>
    <x v="1"/>
    <n v="4"/>
    <n v="1"/>
    <n v="0"/>
    <s v="None"/>
    <s v="Not Sensitive"/>
    <n v="1"/>
    <n v="7"/>
    <s v="Medium"/>
    <x v="1"/>
    <x v="1"/>
    <d v="2024-05-14T00:00:00"/>
    <n v="707"/>
    <b v="1"/>
    <b v="0"/>
    <x v="0"/>
    <s v="Standard"/>
    <n v="11"/>
  </r>
  <r>
    <s v="53-013-1026"/>
    <x v="13"/>
    <x v="1"/>
    <x v="1"/>
    <s v="Widowed"/>
    <s v="Master's"/>
    <s v="Middle"/>
    <s v="Duyure"/>
    <x v="18"/>
    <n v="53.67"/>
    <n v="7"/>
    <x v="2"/>
    <n v="3"/>
    <n v="5"/>
    <n v="1"/>
    <s v="High"/>
    <s v="Not Sensitive"/>
    <n v="0"/>
    <n v="2"/>
    <s v="High"/>
    <x v="2"/>
    <x v="1"/>
    <d v="2024-04-13T00:00:00"/>
    <n v="738"/>
    <b v="0"/>
    <b v="0"/>
    <x v="3"/>
    <s v="Express"/>
    <n v="11"/>
  </r>
  <r>
    <s v="29-779-3457"/>
    <x v="1"/>
    <x v="0"/>
    <x v="0"/>
    <s v="Widowed"/>
    <s v="Bachelor's"/>
    <s v="High"/>
    <s v="Huangni"/>
    <x v="2"/>
    <n v="323.39"/>
    <n v="10"/>
    <x v="1"/>
    <n v="2"/>
    <n v="3"/>
    <n v="2"/>
    <s v="None"/>
    <s v="Very Sensitive"/>
    <n v="0"/>
    <n v="7"/>
    <s v="High"/>
    <x v="0"/>
    <x v="4"/>
    <d v="2024-01-04T00:00:00"/>
    <n v="838"/>
    <b v="1"/>
    <b v="1"/>
    <x v="0"/>
    <s v="No Preference"/>
    <n v="11"/>
  </r>
  <r>
    <s v="18-047-5540"/>
    <x v="17"/>
    <x v="0"/>
    <x v="1"/>
    <s v="Single"/>
    <s v="Bachelor's"/>
    <s v="High"/>
    <s v="Kuala Lumpur"/>
    <x v="6"/>
    <n v="98.02"/>
    <n v="5"/>
    <x v="1"/>
    <n v="3"/>
    <n v="3"/>
    <n v="1"/>
    <s v="Low"/>
    <s v="Not Sensitive"/>
    <n v="0"/>
    <n v="3"/>
    <s v="High"/>
    <x v="2"/>
    <x v="2"/>
    <d v="2024-06-30T00:00:00"/>
    <n v="660"/>
    <b v="1"/>
    <b v="0"/>
    <x v="3"/>
    <s v="No Preference"/>
    <n v="10"/>
  </r>
  <r>
    <s v="89-438-5310"/>
    <x v="2"/>
    <x v="1"/>
    <x v="1"/>
    <s v="Divorced"/>
    <s v="Bachelor's"/>
    <s v="High"/>
    <s v="SeleuÅ¡"/>
    <x v="22"/>
    <n v="231.26"/>
    <n v="10"/>
    <x v="1"/>
    <n v="5"/>
    <n v="1"/>
    <n v="2"/>
    <s v="Low"/>
    <s v="Very Sensitive"/>
    <n v="2"/>
    <n v="5"/>
    <s v="Low"/>
    <x v="2"/>
    <x v="4"/>
    <d v="2024-04-30T00:00:00"/>
    <n v="721"/>
    <b v="0"/>
    <b v="1"/>
    <x v="2"/>
    <s v="No Preference"/>
    <n v="10"/>
  </r>
  <r>
    <s v="23-985-3535"/>
    <x v="29"/>
    <x v="1"/>
    <x v="1"/>
    <s v="Single"/>
    <s v="Master's"/>
    <s v="Middle"/>
    <s v="Monrovia"/>
    <x v="1"/>
    <n v="382.49"/>
    <n v="6"/>
    <x v="1"/>
    <n v="4"/>
    <n v="2"/>
    <n v="2"/>
    <s v="None"/>
    <s v="Very Sensitive"/>
    <n v="2"/>
    <n v="3"/>
    <s v="Medium"/>
    <x v="0"/>
    <x v="2"/>
    <d v="2024-02-01T00:00:00"/>
    <n v="810"/>
    <b v="1"/>
    <b v="0"/>
    <x v="2"/>
    <s v="No Preference"/>
    <n v="1"/>
  </r>
  <r>
    <s v="67-939-2463"/>
    <x v="31"/>
    <x v="1"/>
    <x v="0"/>
    <s v="Divorced"/>
    <s v="Master's"/>
    <s v="High"/>
    <s v="Kristinehamn"/>
    <x v="22"/>
    <n v="255.42"/>
    <n v="9"/>
    <x v="0"/>
    <n v="5"/>
    <n v="5"/>
    <n v="2"/>
    <s v="None"/>
    <s v="Somewhat Sensitive"/>
    <n v="1"/>
    <n v="9"/>
    <s v="None"/>
    <x v="0"/>
    <x v="1"/>
    <d v="2024-07-01T00:00:00"/>
    <n v="659"/>
    <b v="1"/>
    <b v="1"/>
    <x v="2"/>
    <s v="Standard"/>
    <n v="11"/>
  </r>
  <r>
    <s v="03-623-6767"/>
    <x v="18"/>
    <x v="0"/>
    <x v="0"/>
    <s v="Single"/>
    <s v="High School"/>
    <s v="High"/>
    <s v="Huancabamba"/>
    <x v="16"/>
    <n v="423.23"/>
    <n v="12"/>
    <x v="1"/>
    <n v="3"/>
    <n v="3"/>
    <n v="2"/>
    <s v="High"/>
    <s v="Somewhat Sensitive"/>
    <n v="0"/>
    <n v="7"/>
    <s v="Low"/>
    <x v="0"/>
    <x v="2"/>
    <d v="2024-11-05T00:00:00"/>
    <n v="532"/>
    <b v="0"/>
    <b v="0"/>
    <x v="3"/>
    <s v="Standard"/>
    <n v="6"/>
  </r>
  <r>
    <s v="86-749-6914"/>
    <x v="26"/>
    <x v="1"/>
    <x v="0"/>
    <s v="Single"/>
    <s v="High School"/>
    <s v="High"/>
    <s v="San JosÃ© Acatempa"/>
    <x v="21"/>
    <n v="276.08"/>
    <n v="4"/>
    <x v="0"/>
    <n v="4"/>
    <n v="5"/>
    <n v="0.3"/>
    <s v="High"/>
    <s v="Somewhat Sensitive"/>
    <n v="2"/>
    <n v="10"/>
    <s v="Low"/>
    <x v="1"/>
    <x v="0"/>
    <d v="2024-01-29T00:00:00"/>
    <n v="813"/>
    <b v="0"/>
    <b v="1"/>
    <x v="0"/>
    <s v="No Preference"/>
    <n v="10"/>
  </r>
  <r>
    <s v="03-977-8103"/>
    <x v="8"/>
    <x v="1"/>
    <x v="0"/>
    <s v="Widowed"/>
    <s v="Bachelor's"/>
    <s v="Middle"/>
    <s v="Quebrada Canoa"/>
    <x v="5"/>
    <n v="333.56"/>
    <n v="3"/>
    <x v="0"/>
    <n v="4"/>
    <n v="5"/>
    <n v="1"/>
    <s v="Low"/>
    <s v="Not Sensitive"/>
    <n v="2"/>
    <n v="2"/>
    <s v="High"/>
    <x v="1"/>
    <x v="3"/>
    <d v="2024-10-25T00:00:00"/>
    <n v="543"/>
    <b v="1"/>
    <b v="1"/>
    <x v="2"/>
    <s v="No Preference"/>
    <n v="14"/>
  </r>
  <r>
    <s v="03-827-4021"/>
    <x v="7"/>
    <x v="1"/>
    <x v="1"/>
    <s v="Divorced"/>
    <s v="Bachelor's"/>
    <s v="Middle"/>
    <s v="Moate"/>
    <x v="19"/>
    <n v="129.82"/>
    <n v="12"/>
    <x v="0"/>
    <n v="1"/>
    <n v="2"/>
    <n v="0"/>
    <s v="High"/>
    <s v="Not Sensitive"/>
    <n v="2"/>
    <n v="1"/>
    <s v="High"/>
    <x v="0"/>
    <x v="4"/>
    <d v="2024-06-03T00:00:00"/>
    <n v="687"/>
    <b v="0"/>
    <b v="0"/>
    <x v="2"/>
    <s v="Standard"/>
    <n v="8"/>
  </r>
  <r>
    <s v="68-507-4747"/>
    <x v="30"/>
    <x v="0"/>
    <x v="1"/>
    <s v="Widowed"/>
    <s v="High School"/>
    <s v="High"/>
    <s v="Kubangwaru"/>
    <x v="20"/>
    <n v="278.77999999999997"/>
    <n v="3"/>
    <x v="0"/>
    <n v="5"/>
    <n v="2"/>
    <n v="0"/>
    <s v="Medium"/>
    <s v="Not Sensitive"/>
    <n v="0"/>
    <n v="1"/>
    <s v="Low"/>
    <x v="2"/>
    <x v="0"/>
    <d v="2024-06-14T00:00:00"/>
    <n v="676"/>
    <b v="1"/>
    <b v="0"/>
    <x v="1"/>
    <s v="Standard"/>
    <n v="2"/>
  </r>
  <r>
    <s v="73-942-8440"/>
    <x v="14"/>
    <x v="1"/>
    <x v="0"/>
    <s v="Married"/>
    <s v="Bachelor's"/>
    <s v="High"/>
    <s v="ÐœÐ°Ñ€Ð¸Ð½Ð¾"/>
    <x v="0"/>
    <n v="112.55"/>
    <n v="5"/>
    <x v="1"/>
    <n v="1"/>
    <n v="4"/>
    <n v="2"/>
    <s v="None"/>
    <s v="Very Sensitive"/>
    <n v="2"/>
    <n v="1"/>
    <s v="Low"/>
    <x v="2"/>
    <x v="0"/>
    <d v="2024-10-22T00:00:00"/>
    <n v="546"/>
    <b v="1"/>
    <b v="0"/>
    <x v="3"/>
    <s v="Standard"/>
    <n v="2"/>
  </r>
  <r>
    <s v="21-821-6398"/>
    <x v="17"/>
    <x v="0"/>
    <x v="0"/>
    <s v="Divorced"/>
    <s v="Bachelor's"/>
    <s v="High"/>
    <s v="Xinquan"/>
    <x v="16"/>
    <n v="142.02000000000001"/>
    <n v="7"/>
    <x v="1"/>
    <n v="1"/>
    <n v="5"/>
    <n v="0"/>
    <s v="Low"/>
    <s v="Very Sensitive"/>
    <n v="1"/>
    <n v="9"/>
    <s v="Medium"/>
    <x v="2"/>
    <x v="4"/>
    <d v="2024-07-09T00:00:00"/>
    <n v="651"/>
    <b v="1"/>
    <b v="0"/>
    <x v="2"/>
    <s v="Standard"/>
    <n v="3"/>
  </r>
  <r>
    <s v="64-641-7874"/>
    <x v="4"/>
    <x v="0"/>
    <x v="1"/>
    <s v="Widowed"/>
    <s v="High School"/>
    <s v="High"/>
    <s v="Providence"/>
    <x v="12"/>
    <n v="481.84"/>
    <n v="10"/>
    <x v="1"/>
    <n v="1"/>
    <n v="4"/>
    <n v="2"/>
    <s v="High"/>
    <s v="Somewhat Sensitive"/>
    <n v="1"/>
    <n v="1"/>
    <s v="Medium"/>
    <x v="0"/>
    <x v="4"/>
    <d v="2024-08-14T00:00:00"/>
    <n v="615"/>
    <b v="0"/>
    <b v="0"/>
    <x v="1"/>
    <s v="Express"/>
    <n v="9"/>
  </r>
  <r>
    <s v="53-459-7870"/>
    <x v="17"/>
    <x v="6"/>
    <x v="1"/>
    <s v="Divorced"/>
    <s v="Master's"/>
    <s v="Middle"/>
    <s v="Autun"/>
    <x v="12"/>
    <n v="165.01"/>
    <n v="10"/>
    <x v="0"/>
    <n v="1"/>
    <n v="2"/>
    <n v="1"/>
    <s v="Medium"/>
    <s v="Somewhat Sensitive"/>
    <n v="1"/>
    <n v="5"/>
    <s v="Medium"/>
    <x v="2"/>
    <x v="1"/>
    <d v="2024-04-17T00:00:00"/>
    <n v="734"/>
    <b v="1"/>
    <b v="0"/>
    <x v="2"/>
    <s v="No Preference"/>
    <n v="10"/>
  </r>
  <r>
    <s v="36-240-3240"/>
    <x v="8"/>
    <x v="1"/>
    <x v="0"/>
    <s v="Divorced"/>
    <s v="High School"/>
    <s v="Middle"/>
    <s v="Shilin"/>
    <x v="15"/>
    <n v="56.85"/>
    <n v="5"/>
    <x v="2"/>
    <n v="2"/>
    <n v="1"/>
    <n v="2"/>
    <s v="None"/>
    <s v="Very Sensitive"/>
    <n v="0"/>
    <n v="1"/>
    <s v="High"/>
    <x v="1"/>
    <x v="4"/>
    <d v="2024-11-16T00:00:00"/>
    <n v="521"/>
    <b v="1"/>
    <b v="0"/>
    <x v="1"/>
    <s v="Standard"/>
    <n v="14"/>
  </r>
  <r>
    <s v="54-936-4361"/>
    <x v="10"/>
    <x v="6"/>
    <x v="1"/>
    <s v="Single"/>
    <s v="Bachelor's"/>
    <s v="High"/>
    <s v="Paris 17"/>
    <x v="11"/>
    <n v="182.89"/>
    <n v="2"/>
    <x v="0"/>
    <n v="5"/>
    <n v="3"/>
    <n v="1"/>
    <s v="Low"/>
    <s v="Not Sensitive"/>
    <n v="1"/>
    <n v="9"/>
    <s v="Low"/>
    <x v="1"/>
    <x v="1"/>
    <d v="2024-08-12T00:00:00"/>
    <n v="617"/>
    <b v="0"/>
    <b v="0"/>
    <x v="1"/>
    <s v="Express"/>
    <n v="5"/>
  </r>
  <r>
    <s v="67-209-0990"/>
    <x v="7"/>
    <x v="1"/>
    <x v="1"/>
    <s v="Widowed"/>
    <s v="High School"/>
    <s v="High"/>
    <s v="Stoczek Åukowski"/>
    <x v="5"/>
    <n v="373.01"/>
    <n v="5"/>
    <x v="1"/>
    <n v="5"/>
    <n v="5"/>
    <n v="1"/>
    <s v="Low"/>
    <s v="Somewhat Sensitive"/>
    <n v="1"/>
    <n v="4"/>
    <s v="Medium"/>
    <x v="1"/>
    <x v="1"/>
    <d v="2024-07-27T00:00:00"/>
    <n v="633"/>
    <b v="0"/>
    <b v="1"/>
    <x v="2"/>
    <s v="Express"/>
    <n v="8"/>
  </r>
  <r>
    <s v="19-667-0201"/>
    <x v="30"/>
    <x v="1"/>
    <x v="0"/>
    <s v="Single"/>
    <s v="Master's"/>
    <s v="Middle"/>
    <s v="Ormstown"/>
    <x v="3"/>
    <n v="220.77"/>
    <n v="7"/>
    <x v="2"/>
    <n v="4"/>
    <n v="2"/>
    <n v="2"/>
    <s v="Low"/>
    <s v="Not Sensitive"/>
    <n v="2"/>
    <n v="1"/>
    <s v="None"/>
    <x v="1"/>
    <x v="2"/>
    <d v="2024-04-15T00:00:00"/>
    <n v="736"/>
    <b v="1"/>
    <b v="1"/>
    <x v="0"/>
    <s v="Standard"/>
    <n v="11"/>
  </r>
  <r>
    <s v="36-274-5269"/>
    <x v="23"/>
    <x v="1"/>
    <x v="0"/>
    <s v="Married"/>
    <s v="Master's"/>
    <s v="High"/>
    <s v="Ponte"/>
    <x v="11"/>
    <n v="291.08999999999997"/>
    <n v="11"/>
    <x v="2"/>
    <n v="2"/>
    <n v="2"/>
    <n v="2"/>
    <s v="None"/>
    <s v="Somewhat Sensitive"/>
    <n v="0"/>
    <n v="9"/>
    <s v="High"/>
    <x v="1"/>
    <x v="1"/>
    <d v="2024-10-06T00:00:00"/>
    <n v="562"/>
    <b v="1"/>
    <b v="0"/>
    <x v="0"/>
    <s v="No Preference"/>
    <n v="1"/>
  </r>
  <r>
    <s v="09-948-3150"/>
    <x v="25"/>
    <x v="6"/>
    <x v="1"/>
    <s v="Married"/>
    <s v="Bachelor's"/>
    <s v="Middle"/>
    <s v="Boshkengash"/>
    <x v="14"/>
    <n v="414.06"/>
    <n v="9"/>
    <x v="0"/>
    <n v="1"/>
    <n v="4"/>
    <n v="2"/>
    <s v="Medium"/>
    <s v="Somewhat Sensitive"/>
    <n v="2"/>
    <n v="4"/>
    <s v="High"/>
    <x v="2"/>
    <x v="1"/>
    <d v="2024-11-26T00:00:00"/>
    <n v="511"/>
    <b v="1"/>
    <b v="0"/>
    <x v="3"/>
    <s v="Express"/>
    <n v="2"/>
  </r>
  <r>
    <s v="19-873-9468"/>
    <x v="14"/>
    <x v="1"/>
    <x v="0"/>
    <s v="Widowed"/>
    <s v="Bachelor's"/>
    <s v="Middle"/>
    <s v="Äáº¡ Táº»h"/>
    <x v="9"/>
    <n v="408.51"/>
    <n v="9"/>
    <x v="2"/>
    <n v="2"/>
    <n v="1"/>
    <n v="2"/>
    <s v="High"/>
    <s v="Very Sensitive"/>
    <n v="0"/>
    <n v="7"/>
    <s v="Medium"/>
    <x v="1"/>
    <x v="0"/>
    <d v="2024-05-26T00:00:00"/>
    <n v="695"/>
    <b v="1"/>
    <b v="0"/>
    <x v="1"/>
    <s v="Express"/>
    <n v="1"/>
  </r>
  <r>
    <s v="37-748-4988"/>
    <x v="6"/>
    <x v="1"/>
    <x v="0"/>
    <s v="Married"/>
    <s v="High School"/>
    <s v="High"/>
    <s v="RadÄâ€˜"/>
    <x v="4"/>
    <n v="103.4"/>
    <n v="9"/>
    <x v="1"/>
    <n v="4"/>
    <n v="1"/>
    <n v="2"/>
    <s v="High"/>
    <s v="Not Sensitive"/>
    <n v="1"/>
    <n v="9"/>
    <s v="Medium"/>
    <x v="1"/>
    <x v="2"/>
    <d v="2024-11-04T00:00:00"/>
    <n v="533"/>
    <b v="1"/>
    <b v="0"/>
    <x v="3"/>
    <s v="Standard"/>
    <n v="9"/>
  </r>
  <r>
    <s v="08-755-1170"/>
    <x v="26"/>
    <x v="1"/>
    <x v="0"/>
    <s v="Single"/>
    <s v="High School"/>
    <s v="High"/>
    <s v="Sinarwangi"/>
    <x v="4"/>
    <n v="67.92"/>
    <n v="3"/>
    <x v="1"/>
    <n v="1"/>
    <n v="3"/>
    <n v="0"/>
    <s v="Low"/>
    <s v="Not Sensitive"/>
    <n v="1"/>
    <n v="8"/>
    <s v="Low"/>
    <x v="0"/>
    <x v="4"/>
    <d v="2024-10-18T00:00:00"/>
    <n v="550"/>
    <b v="0"/>
    <b v="1"/>
    <x v="2"/>
    <s v="Express"/>
    <n v="10"/>
  </r>
  <r>
    <s v="07-402-7433"/>
    <x v="21"/>
    <x v="6"/>
    <x v="0"/>
    <s v="Single"/>
    <s v="High School"/>
    <s v="Middle"/>
    <s v="Dagup"/>
    <x v="18"/>
    <n v="354.16"/>
    <n v="8"/>
    <x v="1"/>
    <n v="1"/>
    <n v="1"/>
    <n v="1"/>
    <s v="Low"/>
    <s v="Not Sensitive"/>
    <n v="2"/>
    <n v="3"/>
    <s v="Low"/>
    <x v="2"/>
    <x v="0"/>
    <d v="2024-06-13T00:00:00"/>
    <n v="677"/>
    <b v="1"/>
    <b v="0"/>
    <x v="3"/>
    <s v="Express"/>
    <n v="5"/>
  </r>
  <r>
    <s v="60-073-3575"/>
    <x v="12"/>
    <x v="1"/>
    <x v="0"/>
    <s v="Widowed"/>
    <s v="Bachelor's"/>
    <s v="Middle"/>
    <s v="EÅ‚k"/>
    <x v="5"/>
    <n v="276.77"/>
    <n v="2"/>
    <x v="0"/>
    <n v="1"/>
    <n v="1"/>
    <n v="2"/>
    <s v="Low"/>
    <s v="Very Sensitive"/>
    <n v="1"/>
    <n v="2"/>
    <s v="High"/>
    <x v="1"/>
    <x v="4"/>
    <d v="2024-03-03T00:00:00"/>
    <n v="779"/>
    <b v="1"/>
    <b v="1"/>
    <x v="1"/>
    <s v="No Preference"/>
    <n v="4"/>
  </r>
  <r>
    <s v="97-237-3483"/>
    <x v="1"/>
    <x v="1"/>
    <x v="0"/>
    <s v="Single"/>
    <s v="High School"/>
    <s v="Middle"/>
    <s v="Moju"/>
    <x v="10"/>
    <n v="190.25"/>
    <n v="6"/>
    <x v="0"/>
    <n v="4"/>
    <n v="2"/>
    <n v="2"/>
    <s v="None"/>
    <s v="Very Sensitive"/>
    <n v="2"/>
    <n v="9"/>
    <s v="None"/>
    <x v="0"/>
    <x v="1"/>
    <d v="2024-06-03T00:00:00"/>
    <n v="687"/>
    <b v="0"/>
    <b v="0"/>
    <x v="3"/>
    <s v="Express"/>
    <n v="13"/>
  </r>
  <r>
    <s v="93-675-1619"/>
    <x v="31"/>
    <x v="0"/>
    <x v="0"/>
    <s v="Married"/>
    <s v="Master's"/>
    <s v="Middle"/>
    <s v="VÃ­lia"/>
    <x v="9"/>
    <n v="203.49"/>
    <n v="7"/>
    <x v="1"/>
    <n v="4"/>
    <n v="1"/>
    <n v="2"/>
    <s v="Medium"/>
    <s v="Not Sensitive"/>
    <n v="1"/>
    <n v="8"/>
    <s v="High"/>
    <x v="0"/>
    <x v="4"/>
    <d v="2024-08-10T00:00:00"/>
    <n v="619"/>
    <b v="0"/>
    <b v="1"/>
    <x v="0"/>
    <s v="Express"/>
    <n v="11"/>
  </r>
  <r>
    <s v="43-884-2577"/>
    <x v="2"/>
    <x v="1"/>
    <x v="0"/>
    <s v="Single"/>
    <s v="High School"/>
    <s v="High"/>
    <s v="Prince Rupert"/>
    <x v="18"/>
    <n v="263.5"/>
    <n v="6"/>
    <x v="0"/>
    <n v="3"/>
    <n v="2"/>
    <n v="2"/>
    <s v="None"/>
    <s v="Not Sensitive"/>
    <n v="0"/>
    <n v="8"/>
    <s v="Low"/>
    <x v="0"/>
    <x v="2"/>
    <d v="2024-11-18T00:00:00"/>
    <n v="519"/>
    <b v="0"/>
    <b v="0"/>
    <x v="3"/>
    <s v="Standard"/>
    <n v="1"/>
  </r>
  <r>
    <s v="33-200-7615"/>
    <x v="13"/>
    <x v="0"/>
    <x v="1"/>
    <s v="Divorced"/>
    <s v="Bachelor's"/>
    <s v="Middle"/>
    <s v="Jiangmen"/>
    <x v="17"/>
    <n v="247.3"/>
    <n v="2"/>
    <x v="1"/>
    <n v="4"/>
    <n v="4"/>
    <n v="2"/>
    <s v="Low"/>
    <s v="Very Sensitive"/>
    <n v="0"/>
    <n v="1"/>
    <s v="Medium"/>
    <x v="2"/>
    <x v="0"/>
    <d v="2024-02-08T00:00:00"/>
    <n v="803"/>
    <b v="1"/>
    <b v="1"/>
    <x v="1"/>
    <s v="No Preference"/>
    <n v="11"/>
  </r>
  <r>
    <s v="63-631-8261"/>
    <x v="27"/>
    <x v="1"/>
    <x v="1"/>
    <s v="Married"/>
    <s v="Bachelor's"/>
    <s v="Middle"/>
    <s v="Alung"/>
    <x v="16"/>
    <n v="50.71"/>
    <n v="12"/>
    <x v="2"/>
    <n v="4"/>
    <n v="3"/>
    <n v="0.3"/>
    <s v="None"/>
    <s v="Not Sensitive"/>
    <n v="0"/>
    <n v="9"/>
    <s v="Medium"/>
    <x v="1"/>
    <x v="2"/>
    <d v="2024-03-17T00:00:00"/>
    <n v="765"/>
    <b v="1"/>
    <b v="1"/>
    <x v="1"/>
    <s v="No Preference"/>
    <n v="8"/>
  </r>
  <r>
    <s v="34-016-7909"/>
    <x v="21"/>
    <x v="1"/>
    <x v="1"/>
    <s v="Married"/>
    <s v="High School"/>
    <s v="Middle"/>
    <s v="Osorno"/>
    <x v="2"/>
    <n v="131.85"/>
    <n v="4"/>
    <x v="0"/>
    <n v="5"/>
    <n v="4"/>
    <n v="2"/>
    <s v="Low"/>
    <s v="Somewhat Sensitive"/>
    <n v="1"/>
    <n v="5"/>
    <s v="Medium"/>
    <x v="1"/>
    <x v="2"/>
    <d v="2024-01-04T00:00:00"/>
    <n v="838"/>
    <b v="1"/>
    <b v="0"/>
    <x v="0"/>
    <s v="No Preference"/>
    <n v="6"/>
  </r>
  <r>
    <s v="82-304-6495"/>
    <x v="24"/>
    <x v="1"/>
    <x v="1"/>
    <s v="Married"/>
    <s v="Master's"/>
    <s v="High"/>
    <s v="Labo"/>
    <x v="21"/>
    <n v="459.39"/>
    <n v="6"/>
    <x v="0"/>
    <n v="2"/>
    <n v="2"/>
    <n v="0.3"/>
    <s v="Low"/>
    <s v="Very Sensitive"/>
    <n v="2"/>
    <n v="4"/>
    <s v="High"/>
    <x v="0"/>
    <x v="0"/>
    <d v="2024-09-29T00:00:00"/>
    <n v="569"/>
    <b v="0"/>
    <b v="0"/>
    <x v="3"/>
    <s v="No Preference"/>
    <n v="14"/>
  </r>
  <r>
    <s v="70-207-6999"/>
    <x v="15"/>
    <x v="0"/>
    <x v="1"/>
    <s v="Divorced"/>
    <s v="High School"/>
    <s v="Middle"/>
    <s v="Dakingari"/>
    <x v="2"/>
    <n v="383.33"/>
    <n v="6"/>
    <x v="2"/>
    <n v="3"/>
    <n v="4"/>
    <n v="2"/>
    <s v="Medium"/>
    <s v="Very Sensitive"/>
    <n v="1"/>
    <n v="3"/>
    <s v="None"/>
    <x v="1"/>
    <x v="0"/>
    <d v="2024-08-05T00:00:00"/>
    <n v="624"/>
    <b v="0"/>
    <b v="0"/>
    <x v="3"/>
    <s v="Standard"/>
    <n v="12"/>
  </r>
  <r>
    <s v="71-780-8195"/>
    <x v="29"/>
    <x v="0"/>
    <x v="1"/>
    <s v="Widowed"/>
    <s v="Bachelor's"/>
    <s v="High"/>
    <s v="Selasari"/>
    <x v="16"/>
    <n v="212.08"/>
    <n v="8"/>
    <x v="1"/>
    <n v="5"/>
    <n v="5"/>
    <n v="2"/>
    <s v="Low"/>
    <s v="Very Sensitive"/>
    <n v="1"/>
    <n v="9"/>
    <s v="None"/>
    <x v="0"/>
    <x v="0"/>
    <d v="2024-05-07T00:00:00"/>
    <n v="714"/>
    <b v="0"/>
    <b v="0"/>
    <x v="0"/>
    <s v="Standard"/>
    <n v="13"/>
  </r>
  <r>
    <s v="93-356-8589"/>
    <x v="22"/>
    <x v="0"/>
    <x v="1"/>
    <s v="Married"/>
    <s v="Master's"/>
    <s v="High"/>
    <s v="Besko"/>
    <x v="17"/>
    <n v="370.73"/>
    <n v="7"/>
    <x v="2"/>
    <n v="3"/>
    <n v="2"/>
    <n v="1"/>
    <s v="High"/>
    <s v="Not Sensitive"/>
    <n v="0"/>
    <n v="9"/>
    <s v="High"/>
    <x v="1"/>
    <x v="2"/>
    <d v="2024-08-18T00:00:00"/>
    <n v="611"/>
    <b v="0"/>
    <b v="1"/>
    <x v="0"/>
    <s v="No Preference"/>
    <n v="7"/>
  </r>
  <r>
    <s v="92-142-9480"/>
    <x v="7"/>
    <x v="1"/>
    <x v="1"/>
    <s v="Divorced"/>
    <s v="Master's"/>
    <s v="Middle"/>
    <s v="Aubergenville"/>
    <x v="20"/>
    <n v="319.66000000000003"/>
    <n v="7"/>
    <x v="0"/>
    <n v="4"/>
    <n v="2"/>
    <n v="1"/>
    <s v="High"/>
    <s v="Not Sensitive"/>
    <n v="1"/>
    <n v="10"/>
    <s v="None"/>
    <x v="2"/>
    <x v="2"/>
    <d v="2024-02-18T00:00:00"/>
    <n v="793"/>
    <b v="0"/>
    <b v="0"/>
    <x v="1"/>
    <s v="Express"/>
    <n v="3"/>
  </r>
  <r>
    <s v="53-042-5685"/>
    <x v="32"/>
    <x v="0"/>
    <x v="0"/>
    <s v="Widowed"/>
    <s v="Bachelor's"/>
    <s v="High"/>
    <s v="Sula"/>
    <x v="23"/>
    <n v="373.05"/>
    <n v="3"/>
    <x v="1"/>
    <n v="3"/>
    <n v="4"/>
    <n v="0.3"/>
    <s v="Low"/>
    <s v="Not Sensitive"/>
    <n v="1"/>
    <n v="10"/>
    <s v="Medium"/>
    <x v="0"/>
    <x v="4"/>
    <d v="2024-03-14T00:00:00"/>
    <n v="768"/>
    <b v="0"/>
    <b v="1"/>
    <x v="3"/>
    <s v="Standard"/>
    <n v="7"/>
  </r>
  <r>
    <s v="35-853-2222"/>
    <x v="24"/>
    <x v="0"/>
    <x v="1"/>
    <s v="Married"/>
    <s v="Bachelor's"/>
    <s v="High"/>
    <s v="Valongo"/>
    <x v="6"/>
    <n v="393.78"/>
    <n v="6"/>
    <x v="2"/>
    <n v="3"/>
    <n v="4"/>
    <n v="1"/>
    <s v="Medium"/>
    <s v="Very Sensitive"/>
    <n v="0"/>
    <n v="5"/>
    <s v="Low"/>
    <x v="0"/>
    <x v="3"/>
    <d v="2024-03-25T00:00:00"/>
    <n v="757"/>
    <b v="1"/>
    <b v="0"/>
    <x v="0"/>
    <s v="No Preference"/>
    <n v="14"/>
  </r>
  <r>
    <s v="83-670-9273"/>
    <x v="23"/>
    <x v="0"/>
    <x v="1"/>
    <s v="Widowed"/>
    <s v="Master's"/>
    <s v="High"/>
    <s v="Al KhÄnkah"/>
    <x v="20"/>
    <n v="245.04"/>
    <n v="4"/>
    <x v="2"/>
    <n v="3"/>
    <n v="2"/>
    <n v="0"/>
    <s v="High"/>
    <s v="Not Sensitive"/>
    <n v="2"/>
    <n v="6"/>
    <s v="High"/>
    <x v="0"/>
    <x v="3"/>
    <d v="2024-12-03T00:00:00"/>
    <n v="504"/>
    <b v="1"/>
    <b v="1"/>
    <x v="0"/>
    <s v="Standard"/>
    <n v="10"/>
  </r>
  <r>
    <s v="37-783-6086"/>
    <x v="29"/>
    <x v="0"/>
    <x v="1"/>
    <s v="Divorced"/>
    <s v="Master's"/>
    <s v="Middle"/>
    <s v="MÃ©rtola"/>
    <x v="21"/>
    <n v="111.27"/>
    <n v="3"/>
    <x v="2"/>
    <n v="1"/>
    <n v="3"/>
    <n v="1"/>
    <s v="High"/>
    <s v="Very Sensitive"/>
    <n v="2"/>
    <n v="10"/>
    <s v="None"/>
    <x v="1"/>
    <x v="1"/>
    <d v="2024-05-13T00:00:00"/>
    <n v="708"/>
    <b v="0"/>
    <b v="0"/>
    <x v="2"/>
    <s v="No Preference"/>
    <n v="12"/>
  </r>
  <r>
    <s v="79-902-8144"/>
    <x v="29"/>
    <x v="0"/>
    <x v="1"/>
    <s v="Single"/>
    <s v="Bachelor's"/>
    <s v="Middle"/>
    <s v="Rates"/>
    <x v="15"/>
    <n v="93.29"/>
    <n v="11"/>
    <x v="2"/>
    <n v="2"/>
    <n v="2"/>
    <n v="0"/>
    <s v="High"/>
    <s v="Very Sensitive"/>
    <n v="0"/>
    <n v="7"/>
    <s v="Low"/>
    <x v="0"/>
    <x v="3"/>
    <d v="2024-07-25T00:00:00"/>
    <n v="635"/>
    <b v="1"/>
    <b v="0"/>
    <x v="2"/>
    <s v="No Preference"/>
    <n v="9"/>
  </r>
  <r>
    <s v="41-009-7879"/>
    <x v="23"/>
    <x v="0"/>
    <x v="1"/>
    <s v="Married"/>
    <s v="High School"/>
    <s v="Middle"/>
    <s v="Anyang"/>
    <x v="11"/>
    <n v="156.5"/>
    <n v="5"/>
    <x v="0"/>
    <n v="1"/>
    <n v="1"/>
    <n v="1"/>
    <s v="High"/>
    <s v="Very Sensitive"/>
    <n v="0"/>
    <n v="3"/>
    <s v="High"/>
    <x v="2"/>
    <x v="3"/>
    <d v="2024-01-10T00:00:00"/>
    <n v="832"/>
    <b v="1"/>
    <b v="0"/>
    <x v="1"/>
    <s v="Standard"/>
    <n v="14"/>
  </r>
  <r>
    <s v="89-302-8461"/>
    <x v="14"/>
    <x v="1"/>
    <x v="0"/>
    <s v="Single"/>
    <s v="Master's"/>
    <s v="Middle"/>
    <s v="Nymburk"/>
    <x v="12"/>
    <n v="290.11"/>
    <n v="8"/>
    <x v="0"/>
    <n v="4"/>
    <n v="4"/>
    <n v="1"/>
    <s v="Medium"/>
    <s v="Very Sensitive"/>
    <n v="1"/>
    <n v="4"/>
    <s v="Medium"/>
    <x v="1"/>
    <x v="1"/>
    <d v="2024-10-30T00:00:00"/>
    <n v="538"/>
    <b v="0"/>
    <b v="0"/>
    <x v="2"/>
    <s v="No Preference"/>
    <n v="14"/>
  </r>
  <r>
    <s v="23-066-1915"/>
    <x v="25"/>
    <x v="0"/>
    <x v="0"/>
    <s v="Single"/>
    <s v="Bachelor's"/>
    <s v="Middle"/>
    <s v="Jiangcun"/>
    <x v="14"/>
    <n v="355.28"/>
    <n v="3"/>
    <x v="0"/>
    <n v="5"/>
    <n v="5"/>
    <n v="0"/>
    <s v="Low"/>
    <s v="Very Sensitive"/>
    <n v="1"/>
    <n v="4"/>
    <s v="Low"/>
    <x v="1"/>
    <x v="0"/>
    <d v="2024-09-17T00:00:00"/>
    <n v="581"/>
    <b v="1"/>
    <b v="1"/>
    <x v="3"/>
    <s v="No Preference"/>
    <n v="5"/>
  </r>
  <r>
    <s v="39-090-0124"/>
    <x v="16"/>
    <x v="2"/>
    <x v="0"/>
    <s v="Single"/>
    <s v="Bachelor's"/>
    <s v="High"/>
    <s v="Tafo"/>
    <x v="0"/>
    <n v="73.739999999999995"/>
    <n v="7"/>
    <x v="2"/>
    <n v="4"/>
    <n v="2"/>
    <n v="0.3"/>
    <s v="High"/>
    <s v="Not Sensitive"/>
    <n v="1"/>
    <n v="3"/>
    <s v="Medium"/>
    <x v="1"/>
    <x v="3"/>
    <d v="2024-08-17T00:00:00"/>
    <n v="612"/>
    <b v="0"/>
    <b v="0"/>
    <x v="1"/>
    <s v="Standard"/>
    <n v="13"/>
  </r>
  <r>
    <s v="41-854-0707"/>
    <x v="6"/>
    <x v="0"/>
    <x v="0"/>
    <s v="Widowed"/>
    <s v="Master's"/>
    <s v="Middle"/>
    <s v="Cibaregbeg"/>
    <x v="6"/>
    <n v="170.35"/>
    <n v="10"/>
    <x v="1"/>
    <n v="2"/>
    <n v="1"/>
    <n v="1"/>
    <s v="Medium"/>
    <s v="Very Sensitive"/>
    <n v="1"/>
    <n v="10"/>
    <s v="Low"/>
    <x v="2"/>
    <x v="4"/>
    <d v="2024-06-03T00:00:00"/>
    <n v="687"/>
    <b v="1"/>
    <b v="1"/>
    <x v="0"/>
    <s v="Standard"/>
    <n v="1"/>
  </r>
  <r>
    <s v="04-352-1558"/>
    <x v="15"/>
    <x v="0"/>
    <x v="1"/>
    <s v="Single"/>
    <s v="Master's"/>
    <s v="Middle"/>
    <s v="Wang Yang"/>
    <x v="3"/>
    <n v="123.7"/>
    <n v="6"/>
    <x v="2"/>
    <n v="2"/>
    <n v="5"/>
    <n v="0"/>
    <s v="High"/>
    <s v="Very Sensitive"/>
    <n v="1"/>
    <n v="5"/>
    <s v="None"/>
    <x v="1"/>
    <x v="3"/>
    <d v="2024-07-28T00:00:00"/>
    <n v="632"/>
    <b v="0"/>
    <b v="0"/>
    <x v="2"/>
    <s v="Express"/>
    <n v="2"/>
  </r>
  <r>
    <s v="93-867-8303"/>
    <x v="6"/>
    <x v="0"/>
    <x v="0"/>
    <s v="Single"/>
    <s v="Master's"/>
    <s v="High"/>
    <s v="Liangnong"/>
    <x v="0"/>
    <n v="201.6"/>
    <n v="9"/>
    <x v="1"/>
    <n v="1"/>
    <n v="4"/>
    <n v="2"/>
    <s v="Medium"/>
    <s v="Very Sensitive"/>
    <n v="1"/>
    <n v="4"/>
    <s v="High"/>
    <x v="1"/>
    <x v="1"/>
    <d v="2024-10-24T00:00:00"/>
    <n v="544"/>
    <b v="0"/>
    <b v="0"/>
    <x v="2"/>
    <s v="Express"/>
    <n v="14"/>
  </r>
  <r>
    <s v="31-088-6950"/>
    <x v="23"/>
    <x v="0"/>
    <x v="0"/>
    <s v="Single"/>
    <s v="Master's"/>
    <s v="High"/>
    <s v="Hengshi"/>
    <x v="4"/>
    <n v="116.14"/>
    <n v="11"/>
    <x v="0"/>
    <n v="1"/>
    <n v="4"/>
    <n v="1"/>
    <s v="High"/>
    <s v="Somewhat Sensitive"/>
    <n v="0"/>
    <n v="8"/>
    <s v="Medium"/>
    <x v="2"/>
    <x v="0"/>
    <d v="2024-04-01T00:00:00"/>
    <n v="750"/>
    <b v="0"/>
    <b v="1"/>
    <x v="1"/>
    <s v="Express"/>
    <n v="14"/>
  </r>
  <r>
    <s v="43-616-8365"/>
    <x v="3"/>
    <x v="0"/>
    <x v="0"/>
    <s v="Single"/>
    <s v="Master's"/>
    <s v="High"/>
    <s v="Kandangan"/>
    <x v="23"/>
    <n v="483.38"/>
    <n v="9"/>
    <x v="2"/>
    <n v="2"/>
    <n v="1"/>
    <n v="0"/>
    <s v="High"/>
    <s v="Somewhat Sensitive"/>
    <n v="2"/>
    <n v="3"/>
    <s v="High"/>
    <x v="2"/>
    <x v="3"/>
    <d v="2024-06-09T00:00:00"/>
    <n v="681"/>
    <b v="0"/>
    <b v="1"/>
    <x v="0"/>
    <s v="Standard"/>
    <n v="8"/>
  </r>
  <r>
    <s v="71-876-9118"/>
    <x v="2"/>
    <x v="1"/>
    <x v="0"/>
    <s v="Single"/>
    <s v="High School"/>
    <s v="Middle"/>
    <s v="Naranjal"/>
    <x v="18"/>
    <n v="418.62"/>
    <n v="9"/>
    <x v="1"/>
    <n v="1"/>
    <n v="2"/>
    <n v="0"/>
    <s v="Low"/>
    <s v="Not Sensitive"/>
    <n v="0"/>
    <n v="9"/>
    <s v="None"/>
    <x v="1"/>
    <x v="3"/>
    <d v="2024-11-14T00:00:00"/>
    <n v="523"/>
    <b v="1"/>
    <b v="0"/>
    <x v="0"/>
    <s v="Standard"/>
    <n v="11"/>
  </r>
  <r>
    <s v="18-263-0366"/>
    <x v="4"/>
    <x v="0"/>
    <x v="0"/>
    <s v="Divorced"/>
    <s v="Bachelor's"/>
    <s v="Middle"/>
    <s v="Abiko"/>
    <x v="5"/>
    <n v="139.83000000000001"/>
    <n v="12"/>
    <x v="2"/>
    <n v="2"/>
    <n v="4"/>
    <n v="2"/>
    <s v="None"/>
    <s v="Not Sensitive"/>
    <n v="0"/>
    <n v="1"/>
    <s v="None"/>
    <x v="0"/>
    <x v="4"/>
    <d v="2024-10-08T00:00:00"/>
    <n v="560"/>
    <b v="0"/>
    <b v="0"/>
    <x v="2"/>
    <s v="Express"/>
    <n v="10"/>
  </r>
  <r>
    <s v="25-502-1415"/>
    <x v="9"/>
    <x v="0"/>
    <x v="1"/>
    <s v="Married"/>
    <s v="Master's"/>
    <s v="Middle"/>
    <s v="Longhuashan"/>
    <x v="17"/>
    <n v="54.17"/>
    <n v="4"/>
    <x v="0"/>
    <n v="4"/>
    <n v="5"/>
    <n v="0"/>
    <s v="Medium"/>
    <s v="Somewhat Sensitive"/>
    <n v="2"/>
    <n v="2"/>
    <s v="Medium"/>
    <x v="2"/>
    <x v="0"/>
    <d v="2024-01-11T00:00:00"/>
    <n v="831"/>
    <b v="0"/>
    <b v="1"/>
    <x v="3"/>
    <s v="No Preference"/>
    <n v="7"/>
  </r>
  <r>
    <s v="50-000-9588"/>
    <x v="26"/>
    <x v="1"/>
    <x v="1"/>
    <s v="Divorced"/>
    <s v="Master's"/>
    <s v="High"/>
    <s v="Zhovkva"/>
    <x v="23"/>
    <n v="437.59"/>
    <n v="10"/>
    <x v="1"/>
    <n v="1"/>
    <n v="4"/>
    <n v="0"/>
    <s v="None"/>
    <s v="Very Sensitive"/>
    <n v="0"/>
    <n v="4"/>
    <s v="High"/>
    <x v="0"/>
    <x v="0"/>
    <d v="2024-02-26T00:00:00"/>
    <n v="785"/>
    <b v="1"/>
    <b v="1"/>
    <x v="2"/>
    <s v="Express"/>
    <n v="9"/>
  </r>
  <r>
    <s v="32-338-5967"/>
    <x v="11"/>
    <x v="1"/>
    <x v="0"/>
    <s v="Widowed"/>
    <s v="Bachelor's"/>
    <s v="High"/>
    <s v="Lebak"/>
    <x v="11"/>
    <n v="113.57"/>
    <n v="5"/>
    <x v="2"/>
    <n v="4"/>
    <n v="4"/>
    <n v="2"/>
    <s v="Medium"/>
    <s v="Very Sensitive"/>
    <n v="1"/>
    <n v="1"/>
    <s v="High"/>
    <x v="0"/>
    <x v="4"/>
    <d v="2024-11-01T00:00:00"/>
    <n v="536"/>
    <b v="0"/>
    <b v="1"/>
    <x v="1"/>
    <s v="Standard"/>
    <n v="8"/>
  </r>
  <r>
    <s v="19-311-9149"/>
    <x v="6"/>
    <x v="2"/>
    <x v="1"/>
    <s v="Single"/>
    <s v="High School"/>
    <s v="High"/>
    <s v="Gereshk"/>
    <x v="12"/>
    <n v="305.54000000000002"/>
    <n v="6"/>
    <x v="1"/>
    <n v="3"/>
    <n v="5"/>
    <n v="0"/>
    <s v="Medium"/>
    <s v="Somewhat Sensitive"/>
    <n v="0"/>
    <n v="5"/>
    <s v="Medium"/>
    <x v="1"/>
    <x v="3"/>
    <d v="2024-03-28T00:00:00"/>
    <n v="754"/>
    <b v="1"/>
    <b v="0"/>
    <x v="1"/>
    <s v="No Preference"/>
    <n v="7"/>
  </r>
  <r>
    <s v="94-212-7169"/>
    <x v="25"/>
    <x v="0"/>
    <x v="1"/>
    <s v="Divorced"/>
    <s v="High School"/>
    <s v="High"/>
    <s v="Yonghe"/>
    <x v="1"/>
    <n v="339.12"/>
    <n v="2"/>
    <x v="1"/>
    <n v="4"/>
    <n v="4"/>
    <n v="0"/>
    <s v="Medium"/>
    <s v="Not Sensitive"/>
    <n v="0"/>
    <n v="5"/>
    <s v="Low"/>
    <x v="1"/>
    <x v="1"/>
    <d v="2024-01-08T00:00:00"/>
    <n v="834"/>
    <b v="0"/>
    <b v="0"/>
    <x v="2"/>
    <s v="No Preference"/>
    <n v="1"/>
  </r>
  <r>
    <s v="17-246-6194"/>
    <x v="5"/>
    <x v="4"/>
    <x v="0"/>
    <s v="Divorced"/>
    <s v="Bachelor's"/>
    <s v="High"/>
    <s v="Dabai"/>
    <x v="23"/>
    <n v="323.39999999999998"/>
    <n v="11"/>
    <x v="0"/>
    <n v="2"/>
    <n v="3"/>
    <n v="2"/>
    <s v="Low"/>
    <s v="Very Sensitive"/>
    <n v="0"/>
    <n v="8"/>
    <s v="None"/>
    <x v="1"/>
    <x v="0"/>
    <d v="2024-02-28T00:00:00"/>
    <n v="783"/>
    <b v="1"/>
    <b v="1"/>
    <x v="0"/>
    <s v="Standard"/>
    <n v="10"/>
  </r>
  <r>
    <s v="26-672-1285"/>
    <x v="2"/>
    <x v="3"/>
    <x v="0"/>
    <s v="Married"/>
    <s v="High School"/>
    <s v="Middle"/>
    <s v="Moutnice"/>
    <x v="20"/>
    <n v="472.61"/>
    <n v="9"/>
    <x v="1"/>
    <n v="5"/>
    <n v="5"/>
    <n v="2"/>
    <s v="None"/>
    <s v="Very Sensitive"/>
    <n v="1"/>
    <n v="4"/>
    <s v="None"/>
    <x v="1"/>
    <x v="1"/>
    <d v="2024-09-15T00:00:00"/>
    <n v="583"/>
    <b v="1"/>
    <b v="1"/>
    <x v="2"/>
    <s v="Express"/>
    <n v="5"/>
  </r>
  <r>
    <s v="00-265-0556"/>
    <x v="28"/>
    <x v="0"/>
    <x v="0"/>
    <s v="Widowed"/>
    <s v="High School"/>
    <s v="Middle"/>
    <s v="Qiryat Yam"/>
    <x v="4"/>
    <n v="68.02"/>
    <n v="10"/>
    <x v="2"/>
    <n v="3"/>
    <n v="2"/>
    <n v="1"/>
    <s v="None"/>
    <s v="Very Sensitive"/>
    <n v="1"/>
    <n v="6"/>
    <s v="None"/>
    <x v="0"/>
    <x v="0"/>
    <d v="2024-11-01T00:00:00"/>
    <n v="536"/>
    <b v="1"/>
    <b v="1"/>
    <x v="0"/>
    <s v="Express"/>
    <n v="6"/>
  </r>
  <r>
    <s v="76-397-3294"/>
    <x v="23"/>
    <x v="1"/>
    <x v="1"/>
    <s v="Single"/>
    <s v="Master's"/>
    <s v="Middle"/>
    <s v="PiranÃ©"/>
    <x v="16"/>
    <n v="199.44"/>
    <n v="7"/>
    <x v="2"/>
    <n v="2"/>
    <n v="1"/>
    <n v="2"/>
    <s v="None"/>
    <s v="Very Sensitive"/>
    <n v="0"/>
    <n v="3"/>
    <s v="None"/>
    <x v="0"/>
    <x v="4"/>
    <d v="2024-07-14T00:00:00"/>
    <n v="646"/>
    <b v="0"/>
    <b v="1"/>
    <x v="0"/>
    <s v="Standard"/>
    <n v="1"/>
  </r>
  <r>
    <s v="43-612-8079"/>
    <x v="26"/>
    <x v="1"/>
    <x v="1"/>
    <s v="Divorced"/>
    <s v="High School"/>
    <s v="Middle"/>
    <s v="Colima"/>
    <x v="6"/>
    <n v="250.73"/>
    <n v="4"/>
    <x v="2"/>
    <n v="3"/>
    <n v="2"/>
    <n v="1"/>
    <s v="Low"/>
    <s v="Somewhat Sensitive"/>
    <n v="1"/>
    <n v="10"/>
    <s v="None"/>
    <x v="2"/>
    <x v="4"/>
    <d v="2024-04-24T00:00:00"/>
    <n v="727"/>
    <b v="0"/>
    <b v="1"/>
    <x v="3"/>
    <s v="No Preference"/>
    <n v="10"/>
  </r>
  <r>
    <s v="17-213-2834"/>
    <x v="10"/>
    <x v="1"/>
    <x v="0"/>
    <s v="Single"/>
    <s v="High School"/>
    <s v="Middle"/>
    <s v="Marshintsy"/>
    <x v="20"/>
    <n v="372.49"/>
    <n v="12"/>
    <x v="2"/>
    <n v="4"/>
    <n v="3"/>
    <n v="0"/>
    <s v="High"/>
    <s v="Very Sensitive"/>
    <n v="0"/>
    <n v="5"/>
    <s v="Medium"/>
    <x v="2"/>
    <x v="2"/>
    <d v="2024-08-22T00:00:00"/>
    <n v="607"/>
    <b v="1"/>
    <b v="0"/>
    <x v="3"/>
    <s v="No Preference"/>
    <n v="7"/>
  </r>
  <r>
    <s v="36-214-1586"/>
    <x v="30"/>
    <x v="1"/>
    <x v="1"/>
    <s v="Widowed"/>
    <s v="High School"/>
    <s v="High"/>
    <s v="HalinÃ³w"/>
    <x v="5"/>
    <n v="186.85"/>
    <n v="2"/>
    <x v="2"/>
    <n v="3"/>
    <n v="1"/>
    <n v="2"/>
    <s v="High"/>
    <s v="Not Sensitive"/>
    <n v="2"/>
    <n v="8"/>
    <s v="Low"/>
    <x v="1"/>
    <x v="3"/>
    <d v="2024-02-20T00:00:00"/>
    <n v="791"/>
    <b v="1"/>
    <b v="0"/>
    <x v="2"/>
    <s v="Express"/>
    <n v="12"/>
  </r>
  <r>
    <s v="32-414-1466"/>
    <x v="29"/>
    <x v="1"/>
    <x v="1"/>
    <s v="Widowed"/>
    <s v="Master's"/>
    <s v="Middle"/>
    <s v="Hallsberg"/>
    <x v="6"/>
    <n v="73.319999999999993"/>
    <n v="10"/>
    <x v="1"/>
    <n v="5"/>
    <n v="1"/>
    <n v="1"/>
    <s v="None"/>
    <s v="Not Sensitive"/>
    <n v="1"/>
    <n v="1"/>
    <s v="Medium"/>
    <x v="1"/>
    <x v="2"/>
    <d v="2024-01-27T00:00:00"/>
    <n v="815"/>
    <b v="1"/>
    <b v="0"/>
    <x v="1"/>
    <s v="Standard"/>
    <n v="14"/>
  </r>
  <r>
    <s v="12-699-6543"/>
    <x v="1"/>
    <x v="1"/>
    <x v="0"/>
    <s v="Widowed"/>
    <s v="Bachelor's"/>
    <s v="Middle"/>
    <s v="Celso Ramos"/>
    <x v="20"/>
    <n v="214.59"/>
    <n v="6"/>
    <x v="2"/>
    <n v="1"/>
    <n v="1"/>
    <n v="0"/>
    <s v="None"/>
    <s v="Somewhat Sensitive"/>
    <n v="1"/>
    <n v="8"/>
    <s v="Low"/>
    <x v="0"/>
    <x v="3"/>
    <d v="2024-02-09T00:00:00"/>
    <n v="802"/>
    <b v="1"/>
    <b v="0"/>
    <x v="1"/>
    <s v="Standard"/>
    <n v="9"/>
  </r>
  <r>
    <s v="83-427-3218"/>
    <x v="26"/>
    <x v="0"/>
    <x v="0"/>
    <s v="Widowed"/>
    <s v="High School"/>
    <s v="Middle"/>
    <s v="White River"/>
    <x v="4"/>
    <n v="467.32"/>
    <n v="12"/>
    <x v="1"/>
    <n v="4"/>
    <n v="4"/>
    <n v="2"/>
    <s v="Medium"/>
    <s v="Somewhat Sensitive"/>
    <n v="2"/>
    <n v="4"/>
    <s v="Low"/>
    <x v="1"/>
    <x v="1"/>
    <d v="2024-01-28T00:00:00"/>
    <n v="814"/>
    <b v="0"/>
    <b v="1"/>
    <x v="0"/>
    <s v="No Preference"/>
    <n v="11"/>
  </r>
  <r>
    <s v="61-663-9008"/>
    <x v="27"/>
    <x v="1"/>
    <x v="0"/>
    <s v="Married"/>
    <s v="Master's"/>
    <s v="Middle"/>
    <s v="Taishihe"/>
    <x v="22"/>
    <n v="475.65"/>
    <n v="4"/>
    <x v="1"/>
    <n v="4"/>
    <n v="5"/>
    <n v="0"/>
    <s v="High"/>
    <s v="Somewhat Sensitive"/>
    <n v="2"/>
    <n v="6"/>
    <s v="Low"/>
    <x v="1"/>
    <x v="1"/>
    <d v="2024-06-23T00:00:00"/>
    <n v="667"/>
    <b v="1"/>
    <b v="1"/>
    <x v="1"/>
    <s v="Express"/>
    <n v="14"/>
  </r>
  <r>
    <s v="86-917-7481"/>
    <x v="18"/>
    <x v="0"/>
    <x v="0"/>
    <s v="Widowed"/>
    <s v="Master's"/>
    <s v="High"/>
    <s v="Shanghu"/>
    <x v="9"/>
    <n v="161.38"/>
    <n v="11"/>
    <x v="0"/>
    <n v="5"/>
    <n v="3"/>
    <n v="0"/>
    <s v="None"/>
    <s v="Very Sensitive"/>
    <n v="1"/>
    <n v="10"/>
    <s v="High"/>
    <x v="0"/>
    <x v="2"/>
    <d v="2024-08-20T00:00:00"/>
    <n v="609"/>
    <b v="1"/>
    <b v="1"/>
    <x v="2"/>
    <s v="Standard"/>
    <n v="10"/>
  </r>
  <r>
    <s v="66-086-2306"/>
    <x v="24"/>
    <x v="1"/>
    <x v="0"/>
    <s v="Single"/>
    <s v="Bachelor's"/>
    <s v="Middle"/>
    <s v="Brandsen"/>
    <x v="15"/>
    <n v="249.78"/>
    <n v="4"/>
    <x v="1"/>
    <n v="5"/>
    <n v="4"/>
    <n v="0"/>
    <s v="Low"/>
    <s v="Very Sensitive"/>
    <n v="0"/>
    <n v="1"/>
    <s v="None"/>
    <x v="2"/>
    <x v="1"/>
    <d v="2024-11-24T00:00:00"/>
    <n v="513"/>
    <b v="0"/>
    <b v="0"/>
    <x v="1"/>
    <s v="No Preference"/>
    <n v="11"/>
  </r>
  <r>
    <s v="43-671-9834"/>
    <x v="7"/>
    <x v="0"/>
    <x v="0"/>
    <s v="Divorced"/>
    <s v="High School"/>
    <s v="High"/>
    <s v="Ranot"/>
    <x v="20"/>
    <n v="149.88"/>
    <n v="9"/>
    <x v="0"/>
    <n v="3"/>
    <n v="2"/>
    <n v="0"/>
    <s v="Low"/>
    <s v="Somewhat Sensitive"/>
    <n v="1"/>
    <n v="10"/>
    <s v="Low"/>
    <x v="1"/>
    <x v="2"/>
    <d v="2024-04-19T00:00:00"/>
    <n v="732"/>
    <b v="0"/>
    <b v="0"/>
    <x v="2"/>
    <s v="Standard"/>
    <n v="4"/>
  </r>
  <r>
    <s v="90-888-8726"/>
    <x v="18"/>
    <x v="0"/>
    <x v="1"/>
    <s v="Divorced"/>
    <s v="Master's"/>
    <s v="Middle"/>
    <s v="Saint-Jouan-des-GuÃ©rets"/>
    <x v="23"/>
    <n v="347.09"/>
    <n v="5"/>
    <x v="1"/>
    <n v="5"/>
    <n v="2"/>
    <n v="0"/>
    <s v="Medium"/>
    <s v="Somewhat Sensitive"/>
    <n v="2"/>
    <n v="1"/>
    <s v="None"/>
    <x v="1"/>
    <x v="3"/>
    <d v="2024-01-26T00:00:00"/>
    <n v="816"/>
    <b v="0"/>
    <b v="0"/>
    <x v="3"/>
    <s v="No Preference"/>
    <n v="7"/>
  </r>
  <r>
    <s v="23-085-0811"/>
    <x v="20"/>
    <x v="0"/>
    <x v="1"/>
    <s v="Widowed"/>
    <s v="Master's"/>
    <s v="High"/>
    <s v="Daâ€™an"/>
    <x v="10"/>
    <n v="345.49"/>
    <n v="9"/>
    <x v="0"/>
    <n v="3"/>
    <n v="1"/>
    <n v="2"/>
    <s v="High"/>
    <s v="Not Sensitive"/>
    <n v="0"/>
    <n v="10"/>
    <s v="Medium"/>
    <x v="0"/>
    <x v="1"/>
    <d v="2024-09-06T00:00:00"/>
    <n v="592"/>
    <b v="1"/>
    <b v="0"/>
    <x v="2"/>
    <s v="Express"/>
    <n v="3"/>
  </r>
  <r>
    <s v="85-192-9218"/>
    <x v="16"/>
    <x v="0"/>
    <x v="1"/>
    <s v="Divorced"/>
    <s v="Bachelor's"/>
    <s v="High"/>
    <s v="Kisovec"/>
    <x v="10"/>
    <n v="297.24"/>
    <n v="2"/>
    <x v="0"/>
    <n v="1"/>
    <n v="4"/>
    <n v="0"/>
    <s v="Medium"/>
    <s v="Not Sensitive"/>
    <n v="0"/>
    <n v="9"/>
    <s v="High"/>
    <x v="2"/>
    <x v="1"/>
    <d v="2024-06-29T00:00:00"/>
    <n v="661"/>
    <b v="1"/>
    <b v="1"/>
    <x v="3"/>
    <s v="Express"/>
    <n v="7"/>
  </r>
  <r>
    <s v="82-671-7236"/>
    <x v="31"/>
    <x v="0"/>
    <x v="0"/>
    <s v="Divorced"/>
    <s v="Bachelor's"/>
    <s v="High"/>
    <s v="Ä€bdÄnÄn"/>
    <x v="3"/>
    <n v="494.34"/>
    <n v="12"/>
    <x v="2"/>
    <n v="5"/>
    <n v="3"/>
    <n v="0.25"/>
    <s v="High"/>
    <s v="Very Sensitive"/>
    <n v="1"/>
    <n v="8"/>
    <s v="Low"/>
    <x v="2"/>
    <x v="2"/>
    <d v="2024-03-03T00:00:00"/>
    <n v="779"/>
    <b v="0"/>
    <b v="0"/>
    <x v="1"/>
    <s v="Express"/>
    <n v="3"/>
  </r>
  <r>
    <s v="42-674-3987"/>
    <x v="3"/>
    <x v="7"/>
    <x v="0"/>
    <s v="Married"/>
    <s v="Master's"/>
    <s v="High"/>
    <s v="Dafeng"/>
    <x v="9"/>
    <n v="443.52"/>
    <n v="5"/>
    <x v="1"/>
    <n v="5"/>
    <n v="3"/>
    <n v="0"/>
    <s v="None"/>
    <s v="Somewhat Sensitive"/>
    <n v="0"/>
    <n v="7"/>
    <s v="Low"/>
    <x v="0"/>
    <x v="4"/>
    <d v="2024-05-10T00:00:00"/>
    <n v="711"/>
    <b v="1"/>
    <b v="0"/>
    <x v="0"/>
    <s v="Standard"/>
    <n v="9"/>
  </r>
  <r>
    <s v="41-934-7739"/>
    <x v="5"/>
    <x v="3"/>
    <x v="0"/>
    <s v="Divorced"/>
    <s v="High School"/>
    <s v="High"/>
    <s v="Campo Maior"/>
    <x v="23"/>
    <n v="457.18"/>
    <n v="7"/>
    <x v="1"/>
    <n v="4"/>
    <n v="3"/>
    <n v="2"/>
    <s v="High"/>
    <s v="Very Sensitive"/>
    <n v="2"/>
    <n v="6"/>
    <s v="Medium"/>
    <x v="1"/>
    <x v="3"/>
    <d v="2024-08-20T00:00:00"/>
    <n v="609"/>
    <b v="1"/>
    <b v="1"/>
    <x v="1"/>
    <s v="Express"/>
    <n v="10"/>
  </r>
  <r>
    <s v="48-825-0400"/>
    <x v="9"/>
    <x v="1"/>
    <x v="0"/>
    <s v="Single"/>
    <s v="Master's"/>
    <s v="High"/>
    <s v="SÃ¤vedalen"/>
    <x v="5"/>
    <n v="407.88"/>
    <n v="4"/>
    <x v="1"/>
    <n v="1"/>
    <n v="3"/>
    <n v="1"/>
    <s v="None"/>
    <s v="Very Sensitive"/>
    <n v="1"/>
    <n v="10"/>
    <s v="Medium"/>
    <x v="0"/>
    <x v="4"/>
    <d v="2024-11-11T00:00:00"/>
    <n v="526"/>
    <b v="0"/>
    <b v="0"/>
    <x v="3"/>
    <s v="Standard"/>
    <n v="14"/>
  </r>
  <r>
    <s v="30-133-5120"/>
    <x v="12"/>
    <x v="1"/>
    <x v="0"/>
    <s v="Widowed"/>
    <s v="Bachelor's"/>
    <s v="Middle"/>
    <s v="Brikcha"/>
    <x v="5"/>
    <n v="448.68"/>
    <n v="8"/>
    <x v="1"/>
    <n v="4"/>
    <n v="4"/>
    <n v="2"/>
    <s v="High"/>
    <s v="Somewhat Sensitive"/>
    <n v="1"/>
    <n v="3"/>
    <s v="Medium"/>
    <x v="0"/>
    <x v="2"/>
    <d v="2024-05-25T00:00:00"/>
    <n v="696"/>
    <b v="1"/>
    <b v="0"/>
    <x v="1"/>
    <s v="Express"/>
    <n v="8"/>
  </r>
  <r>
    <s v="29-827-8515"/>
    <x v="13"/>
    <x v="0"/>
    <x v="1"/>
    <s v="Widowed"/>
    <s v="Bachelor's"/>
    <s v="High"/>
    <s v="Xidianzi"/>
    <x v="13"/>
    <n v="255.96"/>
    <n v="7"/>
    <x v="2"/>
    <n v="5"/>
    <n v="1"/>
    <n v="1"/>
    <s v="High"/>
    <s v="Very Sensitive"/>
    <n v="0"/>
    <n v="10"/>
    <s v="None"/>
    <x v="0"/>
    <x v="4"/>
    <d v="2024-12-23T00:00:00"/>
    <n v="484"/>
    <b v="0"/>
    <b v="0"/>
    <x v="0"/>
    <s v="No Preference"/>
    <n v="13"/>
  </r>
  <r>
    <s v="91-724-4633"/>
    <x v="5"/>
    <x v="1"/>
    <x v="0"/>
    <s v="Married"/>
    <s v="High School"/>
    <s v="High"/>
    <s v="La UniÃ³n"/>
    <x v="8"/>
    <n v="146.07"/>
    <n v="7"/>
    <x v="1"/>
    <n v="4"/>
    <n v="2"/>
    <n v="1"/>
    <s v="Low"/>
    <s v="Very Sensitive"/>
    <n v="1"/>
    <n v="6"/>
    <s v="None"/>
    <x v="0"/>
    <x v="0"/>
    <d v="2024-07-07T00:00:00"/>
    <n v="653"/>
    <b v="1"/>
    <b v="1"/>
    <x v="0"/>
    <s v="Standard"/>
    <n v="1"/>
  </r>
  <r>
    <s v="10-328-5732"/>
    <x v="32"/>
    <x v="0"/>
    <x v="1"/>
    <s v="Single"/>
    <s v="High School"/>
    <s v="Middle"/>
    <s v="Kliteh"/>
    <x v="18"/>
    <n v="311.89999999999998"/>
    <n v="4"/>
    <x v="1"/>
    <n v="2"/>
    <n v="4"/>
    <n v="2"/>
    <s v="Low"/>
    <s v="Very Sensitive"/>
    <n v="0"/>
    <n v="6"/>
    <s v="High"/>
    <x v="1"/>
    <x v="0"/>
    <d v="2024-12-30T00:00:00"/>
    <n v="477"/>
    <b v="0"/>
    <b v="1"/>
    <x v="3"/>
    <s v="No Preference"/>
    <n v="2"/>
  </r>
  <r>
    <s v="38-912-1128"/>
    <x v="9"/>
    <x v="0"/>
    <x v="0"/>
    <s v="Widowed"/>
    <s v="High School"/>
    <s v="Middle"/>
    <s v="BÃ©ja"/>
    <x v="0"/>
    <n v="301.60000000000002"/>
    <n v="4"/>
    <x v="0"/>
    <n v="4"/>
    <n v="5"/>
    <n v="1"/>
    <s v="Low"/>
    <s v="Not Sensitive"/>
    <n v="2"/>
    <n v="10"/>
    <s v="High"/>
    <x v="2"/>
    <x v="0"/>
    <d v="2024-03-11T00:00:00"/>
    <n v="771"/>
    <b v="0"/>
    <b v="0"/>
    <x v="2"/>
    <s v="Standard"/>
    <n v="13"/>
  </r>
  <r>
    <s v="07-751-9620"/>
    <x v="25"/>
    <x v="5"/>
    <x v="0"/>
    <s v="Widowed"/>
    <s v="Bachelor's"/>
    <s v="High"/>
    <s v="Ferreira do Alentejo"/>
    <x v="14"/>
    <n v="297.45"/>
    <n v="3"/>
    <x v="0"/>
    <n v="1"/>
    <n v="5"/>
    <n v="0"/>
    <s v="Medium"/>
    <s v="Very Sensitive"/>
    <n v="0"/>
    <n v="7"/>
    <s v="Low"/>
    <x v="0"/>
    <x v="2"/>
    <d v="2024-07-07T00:00:00"/>
    <n v="653"/>
    <b v="0"/>
    <b v="0"/>
    <x v="3"/>
    <s v="No Preference"/>
    <n v="4"/>
  </r>
  <r>
    <s v="81-877-9170"/>
    <x v="12"/>
    <x v="7"/>
    <x v="1"/>
    <s v="Widowed"/>
    <s v="Bachelor's"/>
    <s v="High"/>
    <s v="Gegernoong"/>
    <x v="6"/>
    <n v="157.26"/>
    <n v="3"/>
    <x v="2"/>
    <n v="1"/>
    <n v="3"/>
    <n v="1"/>
    <s v="Medium"/>
    <s v="Not Sensitive"/>
    <n v="1"/>
    <n v="1"/>
    <s v="None"/>
    <x v="2"/>
    <x v="4"/>
    <d v="2024-07-24T00:00:00"/>
    <n v="636"/>
    <b v="0"/>
    <b v="0"/>
    <x v="0"/>
    <s v="Standard"/>
    <n v="8"/>
  </r>
  <r>
    <s v="19-885-2597"/>
    <x v="21"/>
    <x v="1"/>
    <x v="1"/>
    <s v="Widowed"/>
    <s v="Master's"/>
    <s v="Middle"/>
    <s v="La MontaÃ±ita"/>
    <x v="18"/>
    <n v="239.46"/>
    <n v="3"/>
    <x v="0"/>
    <n v="3"/>
    <n v="1"/>
    <n v="0"/>
    <s v="Low"/>
    <s v="Not Sensitive"/>
    <n v="2"/>
    <n v="8"/>
    <s v="High"/>
    <x v="2"/>
    <x v="3"/>
    <d v="2024-08-04T00:00:00"/>
    <n v="625"/>
    <b v="1"/>
    <b v="1"/>
    <x v="3"/>
    <s v="Standard"/>
    <n v="7"/>
  </r>
  <r>
    <s v="82-389-2029"/>
    <x v="31"/>
    <x v="0"/>
    <x v="1"/>
    <s v="Widowed"/>
    <s v="High School"/>
    <s v="High"/>
    <s v="SarishÄbÄri"/>
    <x v="0"/>
    <n v="240.82"/>
    <n v="10"/>
    <x v="0"/>
    <n v="1"/>
    <n v="3"/>
    <n v="2"/>
    <s v="High"/>
    <s v="Somewhat Sensitive"/>
    <n v="0"/>
    <n v="3"/>
    <s v="Medium"/>
    <x v="0"/>
    <x v="1"/>
    <d v="2024-01-02T00:00:00"/>
    <n v="840"/>
    <b v="1"/>
    <b v="0"/>
    <x v="3"/>
    <s v="No Preference"/>
    <n v="8"/>
  </r>
  <r>
    <s v="97-463-0048"/>
    <x v="32"/>
    <x v="0"/>
    <x v="0"/>
    <s v="Single"/>
    <s v="Master's"/>
    <s v="High"/>
    <s v="Mangge"/>
    <x v="6"/>
    <n v="302.07"/>
    <n v="6"/>
    <x v="0"/>
    <n v="1"/>
    <n v="5"/>
    <n v="1"/>
    <s v="Medium"/>
    <s v="Not Sensitive"/>
    <n v="2"/>
    <n v="5"/>
    <s v="Medium"/>
    <x v="2"/>
    <x v="3"/>
    <d v="2024-04-09T00:00:00"/>
    <n v="742"/>
    <b v="1"/>
    <b v="0"/>
    <x v="3"/>
    <s v="Express"/>
    <n v="13"/>
  </r>
  <r>
    <s v="91-572-6135"/>
    <x v="5"/>
    <x v="1"/>
    <x v="0"/>
    <s v="Widowed"/>
    <s v="Bachelor's"/>
    <s v="Middle"/>
    <s v="ChabaÅ™ovice"/>
    <x v="14"/>
    <n v="367.99"/>
    <n v="2"/>
    <x v="2"/>
    <n v="2"/>
    <n v="5"/>
    <n v="1"/>
    <s v="None"/>
    <s v="Not Sensitive"/>
    <n v="2"/>
    <n v="2"/>
    <s v="High"/>
    <x v="1"/>
    <x v="2"/>
    <d v="2024-10-15T00:00:00"/>
    <n v="553"/>
    <b v="0"/>
    <b v="0"/>
    <x v="3"/>
    <s v="Express"/>
    <n v="8"/>
  </r>
  <r>
    <s v="10-232-0685"/>
    <x v="19"/>
    <x v="0"/>
    <x v="1"/>
    <s v="Married"/>
    <s v="Master's"/>
    <s v="Middle"/>
    <s v="Yangping"/>
    <x v="19"/>
    <n v="359.75"/>
    <n v="7"/>
    <x v="1"/>
    <n v="5"/>
    <n v="1"/>
    <n v="1"/>
    <s v="High"/>
    <s v="Not Sensitive"/>
    <n v="1"/>
    <n v="6"/>
    <s v="Low"/>
    <x v="0"/>
    <x v="3"/>
    <d v="2024-01-23T00:00:00"/>
    <n v="819"/>
    <b v="0"/>
    <b v="0"/>
    <x v="1"/>
    <s v="Standard"/>
    <n v="3"/>
  </r>
  <r>
    <s v="77-761-7475"/>
    <x v="31"/>
    <x v="0"/>
    <x v="0"/>
    <s v="Divorced"/>
    <s v="Bachelor's"/>
    <s v="High"/>
    <s v="Berezna"/>
    <x v="12"/>
    <n v="204.44"/>
    <n v="2"/>
    <x v="0"/>
    <n v="5"/>
    <n v="3"/>
    <n v="2"/>
    <s v="None"/>
    <s v="Somewhat Sensitive"/>
    <n v="1"/>
    <n v="3"/>
    <s v="High"/>
    <x v="2"/>
    <x v="2"/>
    <d v="2024-12-01T00:00:00"/>
    <n v="506"/>
    <b v="0"/>
    <b v="1"/>
    <x v="2"/>
    <s v="Standard"/>
    <n v="13"/>
  </r>
  <r>
    <s v="78-826-3039"/>
    <x v="23"/>
    <x v="1"/>
    <x v="1"/>
    <s v="Single"/>
    <s v="Master's"/>
    <s v="High"/>
    <s v="Vidual"/>
    <x v="0"/>
    <n v="228.93"/>
    <n v="7"/>
    <x v="2"/>
    <n v="1"/>
    <n v="1"/>
    <n v="2"/>
    <s v="Low"/>
    <s v="Not Sensitive"/>
    <n v="2"/>
    <n v="2"/>
    <s v="Medium"/>
    <x v="2"/>
    <x v="1"/>
    <d v="2024-02-19T00:00:00"/>
    <n v="792"/>
    <b v="1"/>
    <b v="1"/>
    <x v="2"/>
    <s v="Express"/>
    <n v="11"/>
  </r>
  <r>
    <s v="86-668-1045"/>
    <x v="28"/>
    <x v="0"/>
    <x v="1"/>
    <s v="Single"/>
    <s v="High School"/>
    <s v="Middle"/>
    <s v="Paris 17"/>
    <x v="2"/>
    <n v="355.31"/>
    <n v="11"/>
    <x v="2"/>
    <n v="1"/>
    <n v="1"/>
    <n v="0"/>
    <s v="High"/>
    <s v="Not Sensitive"/>
    <n v="1"/>
    <n v="2"/>
    <s v="Medium"/>
    <x v="2"/>
    <x v="2"/>
    <d v="2024-08-19T00:00:00"/>
    <n v="610"/>
    <b v="0"/>
    <b v="1"/>
    <x v="2"/>
    <s v="Express"/>
    <n v="12"/>
  </r>
  <r>
    <s v="14-603-9698"/>
    <x v="13"/>
    <x v="1"/>
    <x v="1"/>
    <s v="Married"/>
    <s v="High School"/>
    <s v="High"/>
    <s v="Hultsfred"/>
    <x v="9"/>
    <n v="334.67"/>
    <n v="12"/>
    <x v="1"/>
    <n v="2"/>
    <n v="1"/>
    <n v="2"/>
    <s v="None"/>
    <s v="Somewhat Sensitive"/>
    <n v="2"/>
    <n v="5"/>
    <s v="None"/>
    <x v="0"/>
    <x v="2"/>
    <d v="2024-11-18T00:00:00"/>
    <n v="519"/>
    <b v="1"/>
    <b v="0"/>
    <x v="0"/>
    <s v="Standard"/>
    <n v="13"/>
  </r>
  <r>
    <s v="23-752-2213"/>
    <x v="15"/>
    <x v="1"/>
    <x v="0"/>
    <s v="Widowed"/>
    <s v="Master's"/>
    <s v="Middle"/>
    <s v="NÃ­kaia"/>
    <x v="5"/>
    <n v="182.72"/>
    <n v="5"/>
    <x v="2"/>
    <n v="2"/>
    <n v="1"/>
    <n v="2"/>
    <s v="High"/>
    <s v="Very Sensitive"/>
    <n v="1"/>
    <n v="7"/>
    <s v="None"/>
    <x v="2"/>
    <x v="3"/>
    <d v="2024-06-04T00:00:00"/>
    <n v="686"/>
    <b v="0"/>
    <b v="0"/>
    <x v="2"/>
    <s v="No Preference"/>
    <n v="13"/>
  </r>
  <r>
    <s v="71-486-8561"/>
    <x v="20"/>
    <x v="1"/>
    <x v="1"/>
    <s v="Widowed"/>
    <s v="High School"/>
    <s v="Middle"/>
    <s v="Macayug"/>
    <x v="23"/>
    <n v="260.22000000000003"/>
    <n v="11"/>
    <x v="1"/>
    <n v="4"/>
    <n v="3"/>
    <n v="0"/>
    <s v="None"/>
    <s v="Not Sensitive"/>
    <n v="2"/>
    <n v="5"/>
    <s v="High"/>
    <x v="2"/>
    <x v="0"/>
    <d v="2024-11-20T00:00:00"/>
    <n v="517"/>
    <b v="0"/>
    <b v="1"/>
    <x v="0"/>
    <s v="Express"/>
    <n v="13"/>
  </r>
  <r>
    <s v="76-382-7162"/>
    <x v="29"/>
    <x v="0"/>
    <x v="1"/>
    <s v="Single"/>
    <s v="High School"/>
    <s v="Middle"/>
    <s v="Mahanoro"/>
    <x v="1"/>
    <n v="454.93"/>
    <n v="8"/>
    <x v="2"/>
    <n v="3"/>
    <n v="5"/>
    <n v="0"/>
    <s v="Low"/>
    <s v="Somewhat Sensitive"/>
    <n v="2"/>
    <n v="7"/>
    <s v="Medium"/>
    <x v="2"/>
    <x v="2"/>
    <d v="2024-04-21T00:00:00"/>
    <n v="730"/>
    <b v="0"/>
    <b v="0"/>
    <x v="1"/>
    <s v="No Preference"/>
    <n v="11"/>
  </r>
  <r>
    <s v="28-947-4295"/>
    <x v="3"/>
    <x v="1"/>
    <x v="0"/>
    <s v="Widowed"/>
    <s v="Bachelor's"/>
    <s v="High"/>
    <s v="Mozdok"/>
    <x v="21"/>
    <n v="325.42"/>
    <n v="11"/>
    <x v="1"/>
    <n v="2"/>
    <n v="4"/>
    <n v="2"/>
    <s v="Low"/>
    <s v="Not Sensitive"/>
    <n v="1"/>
    <n v="1"/>
    <s v="High"/>
    <x v="2"/>
    <x v="3"/>
    <d v="2024-10-20T00:00:00"/>
    <n v="548"/>
    <b v="1"/>
    <b v="0"/>
    <x v="2"/>
    <s v="Express"/>
    <n v="7"/>
  </r>
  <r>
    <s v="84-765-0748"/>
    <x v="10"/>
    <x v="0"/>
    <x v="0"/>
    <s v="Widowed"/>
    <s v="High School"/>
    <s v="High"/>
    <s v="Hoolt"/>
    <x v="23"/>
    <n v="351.36"/>
    <n v="2"/>
    <x v="1"/>
    <n v="5"/>
    <n v="3"/>
    <n v="2"/>
    <s v="High"/>
    <s v="Very Sensitive"/>
    <n v="2"/>
    <n v="6"/>
    <s v="None"/>
    <x v="2"/>
    <x v="3"/>
    <d v="2024-02-09T00:00:00"/>
    <n v="802"/>
    <b v="0"/>
    <b v="1"/>
    <x v="0"/>
    <s v="Standard"/>
    <n v="7"/>
  </r>
  <r>
    <s v="54-207-8349"/>
    <x v="13"/>
    <x v="1"/>
    <x v="1"/>
    <s v="Single"/>
    <s v="Bachelor's"/>
    <s v="Middle"/>
    <s v="San Luis"/>
    <x v="15"/>
    <n v="333.63"/>
    <n v="8"/>
    <x v="0"/>
    <n v="4"/>
    <n v="5"/>
    <n v="2"/>
    <s v="None"/>
    <s v="Very Sensitive"/>
    <n v="2"/>
    <n v="2"/>
    <s v="High"/>
    <x v="1"/>
    <x v="3"/>
    <d v="2024-12-05T00:00:00"/>
    <n v="502"/>
    <b v="0"/>
    <b v="0"/>
    <x v="0"/>
    <s v="Express"/>
    <n v="14"/>
  </r>
  <r>
    <s v="20-419-0341"/>
    <x v="21"/>
    <x v="0"/>
    <x v="1"/>
    <s v="Married"/>
    <s v="Bachelor's"/>
    <s v="Middle"/>
    <s v="Pergan"/>
    <x v="21"/>
    <n v="469.9"/>
    <n v="4"/>
    <x v="0"/>
    <n v="2"/>
    <n v="5"/>
    <n v="1"/>
    <s v="Low"/>
    <s v="Not Sensitive"/>
    <n v="1"/>
    <n v="7"/>
    <s v="None"/>
    <x v="2"/>
    <x v="4"/>
    <d v="2024-06-28T00:00:00"/>
    <n v="662"/>
    <b v="0"/>
    <b v="0"/>
    <x v="3"/>
    <s v="No Preference"/>
    <n v="7"/>
  </r>
  <r>
    <s v="52-005-9914"/>
    <x v="31"/>
    <x v="1"/>
    <x v="1"/>
    <s v="Married"/>
    <s v="Bachelor's"/>
    <s v="High"/>
    <s v="Kanoni"/>
    <x v="7"/>
    <n v="207.52"/>
    <n v="4"/>
    <x v="1"/>
    <n v="3"/>
    <n v="4"/>
    <n v="1"/>
    <s v="Low"/>
    <s v="Not Sensitive"/>
    <n v="1"/>
    <n v="8"/>
    <s v="High"/>
    <x v="2"/>
    <x v="2"/>
    <d v="2024-08-06T00:00:00"/>
    <n v="623"/>
    <b v="0"/>
    <b v="0"/>
    <x v="2"/>
    <s v="No Preference"/>
    <n v="2"/>
  </r>
  <r>
    <s v="34-846-7805"/>
    <x v="1"/>
    <x v="1"/>
    <x v="1"/>
    <s v="Single"/>
    <s v="Bachelor's"/>
    <s v="High"/>
    <s v="Gromadka"/>
    <x v="16"/>
    <n v="125.89"/>
    <n v="7"/>
    <x v="1"/>
    <n v="3"/>
    <n v="3"/>
    <n v="2"/>
    <s v="Low"/>
    <s v="Not Sensitive"/>
    <n v="1"/>
    <n v="6"/>
    <s v="Medium"/>
    <x v="2"/>
    <x v="2"/>
    <d v="2024-11-22T00:00:00"/>
    <n v="515"/>
    <b v="0"/>
    <b v="0"/>
    <x v="1"/>
    <s v="No Preference"/>
    <n v="13"/>
  </r>
  <r>
    <s v="26-596-5461"/>
    <x v="19"/>
    <x v="0"/>
    <x v="1"/>
    <s v="Single"/>
    <s v="Master's"/>
    <s v="Middle"/>
    <s v="Payapa"/>
    <x v="13"/>
    <n v="170.77"/>
    <n v="9"/>
    <x v="2"/>
    <n v="5"/>
    <n v="2"/>
    <n v="1"/>
    <s v="Medium"/>
    <s v="Somewhat Sensitive"/>
    <n v="2"/>
    <n v="1"/>
    <s v="Low"/>
    <x v="1"/>
    <x v="0"/>
    <d v="2024-08-04T00:00:00"/>
    <n v="625"/>
    <b v="0"/>
    <b v="0"/>
    <x v="2"/>
    <s v="No Preference"/>
    <n v="4"/>
  </r>
  <r>
    <s v="20-157-8631"/>
    <x v="32"/>
    <x v="0"/>
    <x v="1"/>
    <s v="Divorced"/>
    <s v="Master's"/>
    <s v="High"/>
    <s v="Rat Burana"/>
    <x v="13"/>
    <n v="63.91"/>
    <n v="2"/>
    <x v="2"/>
    <n v="1"/>
    <n v="4"/>
    <n v="2"/>
    <s v="None"/>
    <s v="Not Sensitive"/>
    <n v="0"/>
    <n v="6"/>
    <s v="Medium"/>
    <x v="1"/>
    <x v="4"/>
    <d v="2024-01-12T00:00:00"/>
    <n v="830"/>
    <b v="0"/>
    <b v="1"/>
    <x v="3"/>
    <s v="No Preference"/>
    <n v="12"/>
  </r>
  <r>
    <s v="91-199-9097"/>
    <x v="3"/>
    <x v="1"/>
    <x v="1"/>
    <s v="Married"/>
    <s v="High School"/>
    <s v="Middle"/>
    <s v="TrhovÃ© Sviny"/>
    <x v="20"/>
    <n v="340.55"/>
    <n v="7"/>
    <x v="1"/>
    <n v="4"/>
    <n v="5"/>
    <n v="0"/>
    <s v="Low"/>
    <s v="Not Sensitive"/>
    <n v="0"/>
    <n v="7"/>
    <s v="None"/>
    <x v="2"/>
    <x v="0"/>
    <d v="2024-11-19T00:00:00"/>
    <n v="518"/>
    <b v="0"/>
    <b v="1"/>
    <x v="3"/>
    <s v="Express"/>
    <n v="1"/>
  </r>
  <r>
    <s v="55-846-2579"/>
    <x v="26"/>
    <x v="1"/>
    <x v="0"/>
    <s v="Divorced"/>
    <s v="Bachelor's"/>
    <s v="High"/>
    <s v="Kiev"/>
    <x v="14"/>
    <n v="378.14"/>
    <n v="6"/>
    <x v="0"/>
    <n v="2"/>
    <n v="2"/>
    <n v="1"/>
    <s v="Medium"/>
    <s v="Very Sensitive"/>
    <n v="1"/>
    <n v="6"/>
    <s v="High"/>
    <x v="1"/>
    <x v="1"/>
    <d v="2024-09-04T00:00:00"/>
    <n v="594"/>
    <b v="0"/>
    <b v="0"/>
    <x v="1"/>
    <s v="Standard"/>
    <n v="7"/>
  </r>
  <r>
    <s v="83-455-7266"/>
    <x v="14"/>
    <x v="0"/>
    <x v="0"/>
    <s v="Married"/>
    <s v="Bachelor's"/>
    <s v="Middle"/>
    <s v="CrÃ©teil"/>
    <x v="16"/>
    <n v="235.84"/>
    <n v="9"/>
    <x v="0"/>
    <n v="5"/>
    <n v="2"/>
    <n v="0"/>
    <s v="None"/>
    <s v="Very Sensitive"/>
    <n v="2"/>
    <n v="3"/>
    <s v="None"/>
    <x v="2"/>
    <x v="4"/>
    <d v="2024-08-03T00:00:00"/>
    <n v="626"/>
    <b v="0"/>
    <b v="0"/>
    <x v="3"/>
    <s v="No Preference"/>
    <n v="14"/>
  </r>
  <r>
    <s v="67-599-9267"/>
    <x v="26"/>
    <x v="1"/>
    <x v="1"/>
    <s v="Widowed"/>
    <s v="High School"/>
    <s v="Middle"/>
    <s v="Lomintsevskiy"/>
    <x v="17"/>
    <n v="164.44"/>
    <n v="5"/>
    <x v="1"/>
    <n v="5"/>
    <n v="1"/>
    <n v="2"/>
    <s v="Low"/>
    <s v="Somewhat Sensitive"/>
    <n v="1"/>
    <n v="10"/>
    <s v="High"/>
    <x v="1"/>
    <x v="3"/>
    <d v="2024-04-08T00:00:00"/>
    <n v="743"/>
    <b v="0"/>
    <b v="0"/>
    <x v="2"/>
    <s v="No Preference"/>
    <n v="5"/>
  </r>
  <r>
    <s v="41-501-9276"/>
    <x v="2"/>
    <x v="1"/>
    <x v="1"/>
    <s v="Married"/>
    <s v="Bachelor's"/>
    <s v="High"/>
    <s v="Monchegorsk"/>
    <x v="6"/>
    <n v="455.81"/>
    <n v="3"/>
    <x v="2"/>
    <n v="2"/>
    <n v="3"/>
    <n v="1"/>
    <s v="Low"/>
    <s v="Somewhat Sensitive"/>
    <n v="1"/>
    <n v="6"/>
    <s v="Medium"/>
    <x v="1"/>
    <x v="2"/>
    <d v="2024-04-21T00:00:00"/>
    <n v="730"/>
    <b v="0"/>
    <b v="0"/>
    <x v="1"/>
    <s v="Express"/>
    <n v="6"/>
  </r>
  <r>
    <s v="99-509-4653"/>
    <x v="15"/>
    <x v="1"/>
    <x v="1"/>
    <s v="Widowed"/>
    <s v="Master's"/>
    <s v="High"/>
    <s v="OlavarrÃ­a"/>
    <x v="10"/>
    <n v="298.32"/>
    <n v="7"/>
    <x v="1"/>
    <n v="3"/>
    <n v="5"/>
    <n v="1"/>
    <s v="Low"/>
    <s v="Somewhat Sensitive"/>
    <n v="2"/>
    <n v="8"/>
    <s v="None"/>
    <x v="0"/>
    <x v="3"/>
    <d v="2024-06-17T00:00:00"/>
    <n v="673"/>
    <b v="1"/>
    <b v="0"/>
    <x v="1"/>
    <s v="Standard"/>
    <n v="12"/>
  </r>
  <r>
    <s v="31-284-5722"/>
    <x v="15"/>
    <x v="0"/>
    <x v="1"/>
    <s v="Single"/>
    <s v="Bachelor's"/>
    <s v="High"/>
    <s v="Jianshan"/>
    <x v="11"/>
    <n v="351.71"/>
    <n v="7"/>
    <x v="1"/>
    <n v="2"/>
    <n v="2"/>
    <n v="0"/>
    <s v="Medium"/>
    <s v="Very Sensitive"/>
    <n v="1"/>
    <n v="6"/>
    <s v="Medium"/>
    <x v="0"/>
    <x v="3"/>
    <d v="2024-03-19T00:00:00"/>
    <n v="763"/>
    <b v="1"/>
    <b v="0"/>
    <x v="0"/>
    <s v="Standard"/>
    <n v="8"/>
  </r>
  <r>
    <s v="88-000-9227"/>
    <x v="1"/>
    <x v="1"/>
    <x v="0"/>
    <s v="Divorced"/>
    <s v="Bachelor's"/>
    <s v="Middle"/>
    <s v="Shreveport"/>
    <x v="16"/>
    <n v="393.48"/>
    <n v="11"/>
    <x v="1"/>
    <n v="2"/>
    <n v="2"/>
    <n v="0"/>
    <s v="High"/>
    <s v="Very Sensitive"/>
    <n v="1"/>
    <n v="10"/>
    <s v="None"/>
    <x v="0"/>
    <x v="3"/>
    <d v="2024-08-13T00:00:00"/>
    <n v="616"/>
    <b v="1"/>
    <b v="1"/>
    <x v="0"/>
    <s v="Standard"/>
    <n v="3"/>
  </r>
  <r>
    <s v="52-726-9328"/>
    <x v="24"/>
    <x v="3"/>
    <x v="1"/>
    <s v="Single"/>
    <s v="High School"/>
    <s v="High"/>
    <s v="Pingzhuang"/>
    <x v="2"/>
    <n v="241.72"/>
    <n v="6"/>
    <x v="0"/>
    <n v="5"/>
    <n v="2"/>
    <n v="1"/>
    <s v="Medium"/>
    <s v="Not Sensitive"/>
    <n v="0"/>
    <n v="8"/>
    <s v="High"/>
    <x v="2"/>
    <x v="2"/>
    <d v="2024-05-29T00:00:00"/>
    <n v="692"/>
    <b v="0"/>
    <b v="1"/>
    <x v="3"/>
    <s v="Express"/>
    <n v="2"/>
  </r>
  <r>
    <s v="60-198-5417"/>
    <x v="23"/>
    <x v="0"/>
    <x v="1"/>
    <s v="Single"/>
    <s v="Bachelor's"/>
    <s v="High"/>
    <s v="Celso Ramos"/>
    <x v="14"/>
    <n v="280.2"/>
    <n v="3"/>
    <x v="1"/>
    <n v="4"/>
    <n v="2"/>
    <n v="0"/>
    <s v="Medium"/>
    <s v="Somewhat Sensitive"/>
    <n v="2"/>
    <n v="7"/>
    <s v="None"/>
    <x v="2"/>
    <x v="3"/>
    <d v="2024-12-03T00:00:00"/>
    <n v="504"/>
    <b v="0"/>
    <b v="0"/>
    <x v="0"/>
    <s v="No Preference"/>
    <n v="13"/>
  </r>
  <r>
    <s v="00-107-4749"/>
    <x v="15"/>
    <x v="0"/>
    <x v="0"/>
    <s v="Single"/>
    <s v="Master's"/>
    <s v="Middle"/>
    <s v="Merlo"/>
    <x v="18"/>
    <n v="178.04"/>
    <n v="5"/>
    <x v="0"/>
    <n v="1"/>
    <n v="1"/>
    <n v="2"/>
    <s v="None"/>
    <s v="Somewhat Sensitive"/>
    <n v="2"/>
    <n v="10"/>
    <s v="High"/>
    <x v="1"/>
    <x v="0"/>
    <d v="2024-09-19T00:00:00"/>
    <n v="579"/>
    <b v="1"/>
    <b v="1"/>
    <x v="2"/>
    <s v="Express"/>
    <n v="11"/>
  </r>
  <r>
    <s v="88-428-8409"/>
    <x v="14"/>
    <x v="1"/>
    <x v="1"/>
    <s v="Married"/>
    <s v="Master's"/>
    <s v="Middle"/>
    <s v="ZiniarÃ©"/>
    <x v="12"/>
    <n v="347.99"/>
    <n v="5"/>
    <x v="0"/>
    <n v="4"/>
    <n v="4"/>
    <n v="1"/>
    <s v="Low"/>
    <s v="Somewhat Sensitive"/>
    <n v="0"/>
    <n v="1"/>
    <s v="High"/>
    <x v="2"/>
    <x v="1"/>
    <d v="2024-03-22T00:00:00"/>
    <n v="760"/>
    <b v="1"/>
    <b v="0"/>
    <x v="3"/>
    <s v="Standard"/>
    <n v="6"/>
  </r>
  <r>
    <s v="21-313-7424"/>
    <x v="5"/>
    <x v="0"/>
    <x v="0"/>
    <s v="Single"/>
    <s v="Master's"/>
    <s v="High"/>
    <s v="ZduÅ„ska Wola"/>
    <x v="2"/>
    <n v="343.81"/>
    <n v="3"/>
    <x v="1"/>
    <n v="3"/>
    <n v="5"/>
    <n v="0"/>
    <s v="High"/>
    <s v="Somewhat Sensitive"/>
    <n v="0"/>
    <n v="7"/>
    <s v="Medium"/>
    <x v="2"/>
    <x v="0"/>
    <d v="2024-02-22T00:00:00"/>
    <n v="789"/>
    <b v="0"/>
    <b v="1"/>
    <x v="0"/>
    <s v="Standard"/>
    <n v="3"/>
  </r>
  <r>
    <s v="79-973-7862"/>
    <x v="26"/>
    <x v="0"/>
    <x v="0"/>
    <s v="Married"/>
    <s v="Master's"/>
    <s v="Middle"/>
    <s v="Mount Ayliff"/>
    <x v="9"/>
    <n v="105.29"/>
    <n v="7"/>
    <x v="1"/>
    <n v="2"/>
    <n v="5"/>
    <n v="0"/>
    <s v="Low"/>
    <s v="Very Sensitive"/>
    <n v="0"/>
    <n v="1"/>
    <s v="High"/>
    <x v="2"/>
    <x v="4"/>
    <d v="2024-12-25T00:00:00"/>
    <n v="482"/>
    <b v="0"/>
    <b v="1"/>
    <x v="0"/>
    <s v="Express"/>
    <n v="4"/>
  </r>
  <r>
    <s v="81-814-3498"/>
    <x v="11"/>
    <x v="1"/>
    <x v="0"/>
    <s v="Single"/>
    <s v="High School"/>
    <s v="Middle"/>
    <s v="PÄ«rgaaj"/>
    <x v="11"/>
    <n v="483.66"/>
    <n v="3"/>
    <x v="2"/>
    <n v="1"/>
    <n v="4"/>
    <n v="1"/>
    <s v="Medium"/>
    <s v="Not Sensitive"/>
    <n v="2"/>
    <n v="1"/>
    <s v="Medium"/>
    <x v="2"/>
    <x v="3"/>
    <d v="2024-08-27T00:00:00"/>
    <n v="602"/>
    <b v="0"/>
    <b v="0"/>
    <x v="2"/>
    <s v="Standard"/>
    <n v="9"/>
  </r>
  <r>
    <s v="34-375-8138"/>
    <x v="18"/>
    <x v="1"/>
    <x v="0"/>
    <s v="Married"/>
    <s v="Bachelor's"/>
    <s v="Middle"/>
    <s v="Zbraslavice"/>
    <x v="3"/>
    <n v="69.41"/>
    <n v="8"/>
    <x v="0"/>
    <n v="5"/>
    <n v="3"/>
    <n v="0"/>
    <s v="High"/>
    <s v="Somewhat Sensitive"/>
    <n v="1"/>
    <n v="9"/>
    <s v="High"/>
    <x v="0"/>
    <x v="4"/>
    <d v="2024-01-28T00:00:00"/>
    <n v="814"/>
    <b v="0"/>
    <b v="0"/>
    <x v="1"/>
    <s v="Standard"/>
    <n v="5"/>
  </r>
  <r>
    <s v="05-067-9686"/>
    <x v="28"/>
    <x v="3"/>
    <x v="1"/>
    <s v="Single"/>
    <s v="Master's"/>
    <s v="Middle"/>
    <s v="Xilu"/>
    <x v="16"/>
    <n v="207.18"/>
    <n v="11"/>
    <x v="2"/>
    <n v="1"/>
    <n v="3"/>
    <n v="0"/>
    <s v="Low"/>
    <s v="Somewhat Sensitive"/>
    <n v="1"/>
    <n v="5"/>
    <s v="High"/>
    <x v="0"/>
    <x v="1"/>
    <d v="2024-11-16T00:00:00"/>
    <n v="521"/>
    <b v="0"/>
    <b v="0"/>
    <x v="1"/>
    <s v="Standard"/>
    <n v="8"/>
  </r>
  <r>
    <s v="61-951-7929"/>
    <x v="11"/>
    <x v="1"/>
    <x v="0"/>
    <s v="Divorced"/>
    <s v="High School"/>
    <s v="High"/>
    <s v="Bamut"/>
    <x v="18"/>
    <n v="454.15"/>
    <n v="11"/>
    <x v="1"/>
    <n v="2"/>
    <n v="1"/>
    <n v="1"/>
    <s v="High"/>
    <s v="Not Sensitive"/>
    <n v="1"/>
    <n v="8"/>
    <s v="High"/>
    <x v="1"/>
    <x v="4"/>
    <d v="2024-12-08T00:00:00"/>
    <n v="499"/>
    <b v="1"/>
    <b v="1"/>
    <x v="3"/>
    <s v="Express"/>
    <n v="13"/>
  </r>
  <r>
    <s v="53-667-0793"/>
    <x v="8"/>
    <x v="1"/>
    <x v="1"/>
    <s v="Widowed"/>
    <s v="High School"/>
    <s v="High"/>
    <s v="La Tour-du-Pin"/>
    <x v="19"/>
    <n v="113.01"/>
    <n v="11"/>
    <x v="1"/>
    <n v="5"/>
    <n v="2"/>
    <n v="2"/>
    <s v="Low"/>
    <s v="Very Sensitive"/>
    <n v="1"/>
    <n v="1"/>
    <s v="None"/>
    <x v="0"/>
    <x v="0"/>
    <d v="2024-05-15T00:00:00"/>
    <n v="706"/>
    <b v="0"/>
    <b v="1"/>
    <x v="2"/>
    <s v="Express"/>
    <n v="4"/>
  </r>
  <r>
    <s v="61-212-1117"/>
    <x v="21"/>
    <x v="1"/>
    <x v="0"/>
    <s v="Divorced"/>
    <s v="Bachelor's"/>
    <s v="Middle"/>
    <s v="Pader Palwo"/>
    <x v="12"/>
    <n v="419.13"/>
    <n v="4"/>
    <x v="0"/>
    <n v="3"/>
    <n v="5"/>
    <n v="1"/>
    <s v="None"/>
    <s v="Not Sensitive"/>
    <n v="0"/>
    <n v="1"/>
    <s v="None"/>
    <x v="1"/>
    <x v="4"/>
    <d v="2024-08-03T00:00:00"/>
    <n v="626"/>
    <b v="0"/>
    <b v="1"/>
    <x v="1"/>
    <s v="Express"/>
    <n v="6"/>
  </r>
  <r>
    <s v="09-443-7536"/>
    <x v="14"/>
    <x v="0"/>
    <x v="1"/>
    <s v="Single"/>
    <s v="Bachelor's"/>
    <s v="High"/>
    <s v="Maurisu"/>
    <x v="23"/>
    <n v="183.86"/>
    <n v="5"/>
    <x v="0"/>
    <n v="1"/>
    <n v="1"/>
    <n v="2"/>
    <s v="Medium"/>
    <s v="Not Sensitive"/>
    <n v="1"/>
    <n v="4"/>
    <s v="Low"/>
    <x v="1"/>
    <x v="2"/>
    <d v="2024-10-07T00:00:00"/>
    <n v="561"/>
    <b v="0"/>
    <b v="1"/>
    <x v="1"/>
    <s v="Standard"/>
    <n v="3"/>
  </r>
  <r>
    <s v="27-463-5671"/>
    <x v="6"/>
    <x v="3"/>
    <x v="0"/>
    <s v="Widowed"/>
    <s v="Master's"/>
    <s v="Middle"/>
    <s v="Gorzyce"/>
    <x v="12"/>
    <n v="53.87"/>
    <n v="10"/>
    <x v="1"/>
    <n v="4"/>
    <n v="3"/>
    <n v="0"/>
    <s v="Medium"/>
    <s v="Very Sensitive"/>
    <n v="0"/>
    <n v="10"/>
    <s v="High"/>
    <x v="0"/>
    <x v="4"/>
    <d v="2024-06-25T00:00:00"/>
    <n v="665"/>
    <b v="1"/>
    <b v="0"/>
    <x v="3"/>
    <s v="No Preference"/>
    <n v="2"/>
  </r>
  <r>
    <s v="53-380-3968"/>
    <x v="20"/>
    <x v="0"/>
    <x v="1"/>
    <s v="Widowed"/>
    <s v="Bachelor's"/>
    <s v="High"/>
    <s v="Qingyun"/>
    <x v="1"/>
    <n v="427.82"/>
    <n v="9"/>
    <x v="1"/>
    <n v="5"/>
    <n v="5"/>
    <n v="0"/>
    <s v="Medium"/>
    <s v="Somewhat Sensitive"/>
    <n v="1"/>
    <n v="2"/>
    <s v="Medium"/>
    <x v="2"/>
    <x v="1"/>
    <d v="2024-04-04T00:00:00"/>
    <n v="747"/>
    <b v="1"/>
    <b v="0"/>
    <x v="1"/>
    <s v="No Preference"/>
    <n v="14"/>
  </r>
  <r>
    <s v="42-969-0735"/>
    <x v="3"/>
    <x v="0"/>
    <x v="1"/>
    <s v="Divorced"/>
    <s v="Bachelor's"/>
    <s v="Middle"/>
    <s v="Jiuxian"/>
    <x v="12"/>
    <n v="282.82"/>
    <n v="6"/>
    <x v="1"/>
    <n v="5"/>
    <n v="3"/>
    <n v="2"/>
    <s v="Medium"/>
    <s v="Very Sensitive"/>
    <n v="2"/>
    <n v="7"/>
    <s v="None"/>
    <x v="2"/>
    <x v="3"/>
    <d v="2024-02-29T00:00:00"/>
    <n v="782"/>
    <b v="0"/>
    <b v="1"/>
    <x v="1"/>
    <s v="Standard"/>
    <n v="3"/>
  </r>
  <r>
    <s v="12-440-5464"/>
    <x v="31"/>
    <x v="1"/>
    <x v="0"/>
    <s v="Divorced"/>
    <s v="Master's"/>
    <s v="Middle"/>
    <s v="Ndungu"/>
    <x v="13"/>
    <n v="215.31"/>
    <n v="7"/>
    <x v="2"/>
    <n v="5"/>
    <n v="5"/>
    <n v="2"/>
    <s v="Medium"/>
    <s v="Somewhat Sensitive"/>
    <n v="1"/>
    <n v="8"/>
    <s v="Medium"/>
    <x v="1"/>
    <x v="3"/>
    <d v="2024-04-09T00:00:00"/>
    <n v="742"/>
    <b v="0"/>
    <b v="1"/>
    <x v="2"/>
    <s v="No Preference"/>
    <n v="7"/>
  </r>
  <r>
    <s v="33-467-2534"/>
    <x v="20"/>
    <x v="1"/>
    <x v="0"/>
    <s v="Widowed"/>
    <s v="Master's"/>
    <s v="High"/>
    <s v="Emiliano Zapata"/>
    <x v="4"/>
    <n v="183.66"/>
    <n v="11"/>
    <x v="2"/>
    <n v="3"/>
    <n v="1"/>
    <n v="1"/>
    <s v="Low"/>
    <s v="Very Sensitive"/>
    <n v="0"/>
    <n v="10"/>
    <s v="Medium"/>
    <x v="0"/>
    <x v="0"/>
    <d v="2024-04-18T00:00:00"/>
    <n v="733"/>
    <b v="1"/>
    <b v="1"/>
    <x v="3"/>
    <s v="No Preference"/>
    <n v="6"/>
  </r>
  <r>
    <s v="35-418-0288"/>
    <x v="18"/>
    <x v="0"/>
    <x v="1"/>
    <s v="Divorced"/>
    <s v="High School"/>
    <s v="Middle"/>
    <s v="Spasskoye"/>
    <x v="15"/>
    <n v="198.73"/>
    <n v="10"/>
    <x v="1"/>
    <n v="1"/>
    <n v="5"/>
    <n v="2"/>
    <s v="High"/>
    <s v="Very Sensitive"/>
    <n v="1"/>
    <n v="5"/>
    <s v="None"/>
    <x v="2"/>
    <x v="3"/>
    <d v="2024-02-02T00:00:00"/>
    <n v="809"/>
    <b v="1"/>
    <b v="0"/>
    <x v="2"/>
    <s v="Standard"/>
    <n v="4"/>
  </r>
  <r>
    <s v="33-787-2143"/>
    <x v="29"/>
    <x v="0"/>
    <x v="0"/>
    <s v="Married"/>
    <s v="High School"/>
    <s v="High"/>
    <s v="GierÅ‚oÅ¼"/>
    <x v="22"/>
    <n v="265.72000000000003"/>
    <n v="5"/>
    <x v="0"/>
    <n v="5"/>
    <n v="4"/>
    <n v="0"/>
    <s v="None"/>
    <s v="Very Sensitive"/>
    <n v="0"/>
    <n v="9"/>
    <s v="None"/>
    <x v="0"/>
    <x v="2"/>
    <d v="2024-04-22T00:00:00"/>
    <n v="729"/>
    <b v="1"/>
    <b v="1"/>
    <x v="3"/>
    <s v="Express"/>
    <n v="13"/>
  </r>
  <r>
    <s v="58-528-6262"/>
    <x v="21"/>
    <x v="1"/>
    <x v="0"/>
    <s v="Married"/>
    <s v="Master's"/>
    <s v="High"/>
    <s v="Sobue"/>
    <x v="14"/>
    <n v="138.35"/>
    <n v="2"/>
    <x v="2"/>
    <n v="4"/>
    <n v="5"/>
    <n v="2"/>
    <s v="Low"/>
    <s v="Not Sensitive"/>
    <n v="0"/>
    <n v="2"/>
    <s v="Low"/>
    <x v="1"/>
    <x v="3"/>
    <d v="2024-07-14T00:00:00"/>
    <n v="646"/>
    <b v="1"/>
    <b v="1"/>
    <x v="1"/>
    <s v="No Preference"/>
    <n v="8"/>
  </r>
  <r>
    <s v="31-060-2716"/>
    <x v="23"/>
    <x v="1"/>
    <x v="0"/>
    <s v="Divorced"/>
    <s v="Bachelor's"/>
    <s v="Middle"/>
    <s v="High Point"/>
    <x v="19"/>
    <n v="441.87"/>
    <n v="3"/>
    <x v="0"/>
    <n v="1"/>
    <n v="2"/>
    <n v="1"/>
    <s v="High"/>
    <s v="Somewhat Sensitive"/>
    <n v="0"/>
    <n v="10"/>
    <s v="Medium"/>
    <x v="1"/>
    <x v="1"/>
    <d v="2024-09-10T00:00:00"/>
    <n v="588"/>
    <b v="1"/>
    <b v="0"/>
    <x v="1"/>
    <s v="No Preference"/>
    <n v="13"/>
  </r>
  <r>
    <s v="81-515-5823"/>
    <x v="13"/>
    <x v="0"/>
    <x v="0"/>
    <s v="Married"/>
    <s v="Master's"/>
    <s v="Middle"/>
    <s v="Qiankeng"/>
    <x v="20"/>
    <n v="178.29"/>
    <n v="4"/>
    <x v="0"/>
    <n v="4"/>
    <n v="3"/>
    <n v="2"/>
    <s v="Low"/>
    <s v="Very Sensitive"/>
    <n v="2"/>
    <n v="10"/>
    <s v="High"/>
    <x v="2"/>
    <x v="4"/>
    <d v="2024-07-29T00:00:00"/>
    <n v="631"/>
    <b v="0"/>
    <b v="1"/>
    <x v="3"/>
    <s v="No Preference"/>
    <n v="8"/>
  </r>
  <r>
    <s v="90-858-0453"/>
    <x v="25"/>
    <x v="1"/>
    <x v="0"/>
    <s v="Widowed"/>
    <s v="High School"/>
    <s v="High"/>
    <s v="Pandean"/>
    <x v="6"/>
    <n v="77.08"/>
    <n v="10"/>
    <x v="0"/>
    <n v="2"/>
    <n v="1"/>
    <n v="0"/>
    <s v="High"/>
    <s v="Not Sensitive"/>
    <n v="0"/>
    <n v="8"/>
    <s v="None"/>
    <x v="0"/>
    <x v="1"/>
    <d v="2024-10-15T00:00:00"/>
    <n v="553"/>
    <b v="1"/>
    <b v="1"/>
    <x v="2"/>
    <s v="Standard"/>
    <n v="1"/>
  </r>
  <r>
    <s v="28-874-8938"/>
    <x v="19"/>
    <x v="1"/>
    <x v="1"/>
    <s v="Married"/>
    <s v="High School"/>
    <s v="High"/>
    <s v="Phong Äiá»n"/>
    <x v="2"/>
    <n v="266.89999999999998"/>
    <n v="11"/>
    <x v="0"/>
    <n v="4"/>
    <n v="2"/>
    <n v="2"/>
    <s v="Low"/>
    <s v="Not Sensitive"/>
    <n v="1"/>
    <n v="8"/>
    <s v="Medium"/>
    <x v="2"/>
    <x v="1"/>
    <d v="2024-07-01T00:00:00"/>
    <n v="659"/>
    <b v="0"/>
    <b v="1"/>
    <x v="1"/>
    <s v="Express"/>
    <n v="13"/>
  </r>
  <r>
    <s v="89-625-5542"/>
    <x v="9"/>
    <x v="0"/>
    <x v="0"/>
    <s v="Divorced"/>
    <s v="Bachelor's"/>
    <s v="High"/>
    <s v="MirÃ³w"/>
    <x v="13"/>
    <n v="269.83999999999997"/>
    <n v="4"/>
    <x v="1"/>
    <n v="5"/>
    <n v="4"/>
    <n v="0"/>
    <s v="Low"/>
    <s v="Not Sensitive"/>
    <n v="2"/>
    <n v="9"/>
    <s v="Low"/>
    <x v="0"/>
    <x v="0"/>
    <d v="2024-05-04T00:00:00"/>
    <n v="717"/>
    <b v="1"/>
    <b v="1"/>
    <x v="1"/>
    <s v="No Preference"/>
    <n v="2"/>
  </r>
  <r>
    <s v="07-966-8728"/>
    <x v="25"/>
    <x v="1"/>
    <x v="0"/>
    <s v="Married"/>
    <s v="Master's"/>
    <s v="High"/>
    <s v="Franceville"/>
    <x v="3"/>
    <n v="334.22"/>
    <n v="8"/>
    <x v="2"/>
    <n v="2"/>
    <n v="2"/>
    <n v="2"/>
    <s v="None"/>
    <s v="Very Sensitive"/>
    <n v="2"/>
    <n v="8"/>
    <s v="None"/>
    <x v="0"/>
    <x v="4"/>
    <d v="2024-03-02T00:00:00"/>
    <n v="780"/>
    <b v="0"/>
    <b v="0"/>
    <x v="0"/>
    <s v="Standard"/>
    <n v="1"/>
  </r>
  <r>
    <s v="94-408-2581"/>
    <x v="13"/>
    <x v="0"/>
    <x v="0"/>
    <s v="Married"/>
    <s v="High School"/>
    <s v="High"/>
    <s v="Bordeaux"/>
    <x v="22"/>
    <n v="474.56"/>
    <n v="8"/>
    <x v="1"/>
    <n v="1"/>
    <n v="5"/>
    <n v="2"/>
    <s v="Low"/>
    <s v="Not Sensitive"/>
    <n v="1"/>
    <n v="6"/>
    <s v="High"/>
    <x v="1"/>
    <x v="1"/>
    <d v="2024-04-17T00:00:00"/>
    <n v="734"/>
    <b v="1"/>
    <b v="0"/>
    <x v="3"/>
    <s v="Standard"/>
    <n v="12"/>
  </r>
  <r>
    <s v="55-301-9368"/>
    <x v="10"/>
    <x v="1"/>
    <x v="1"/>
    <s v="Married"/>
    <s v="Master's"/>
    <s v="High"/>
    <s v="Zamora"/>
    <x v="13"/>
    <n v="360.91"/>
    <n v="4"/>
    <x v="0"/>
    <n v="3"/>
    <n v="5"/>
    <n v="1"/>
    <s v="High"/>
    <s v="Somewhat Sensitive"/>
    <n v="0"/>
    <n v="8"/>
    <s v="High"/>
    <x v="2"/>
    <x v="0"/>
    <d v="2024-08-30T00:00:00"/>
    <n v="599"/>
    <b v="1"/>
    <b v="1"/>
    <x v="3"/>
    <s v="No Preference"/>
    <n v="4"/>
  </r>
  <r>
    <s v="72-336-1992"/>
    <x v="32"/>
    <x v="0"/>
    <x v="0"/>
    <s v="Widowed"/>
    <s v="Bachelor's"/>
    <s v="High"/>
    <s v="Jubaoshan"/>
    <x v="19"/>
    <n v="373.49"/>
    <n v="6"/>
    <x v="2"/>
    <n v="4"/>
    <n v="1"/>
    <n v="0"/>
    <s v="Medium"/>
    <s v="Very Sensitive"/>
    <n v="0"/>
    <n v="10"/>
    <s v="Low"/>
    <x v="0"/>
    <x v="4"/>
    <d v="2024-04-23T00:00:00"/>
    <n v="728"/>
    <b v="1"/>
    <b v="1"/>
    <x v="2"/>
    <s v="Standard"/>
    <n v="1"/>
  </r>
  <r>
    <s v="06-008-2805"/>
    <x v="11"/>
    <x v="0"/>
    <x v="1"/>
    <s v="Married"/>
    <s v="Master's"/>
    <s v="Middle"/>
    <s v="ShÄdegÄn"/>
    <x v="6"/>
    <n v="462.3"/>
    <n v="5"/>
    <x v="0"/>
    <n v="3"/>
    <n v="3"/>
    <n v="2"/>
    <s v="None"/>
    <s v="Not Sensitive"/>
    <n v="2"/>
    <n v="4"/>
    <s v="Medium"/>
    <x v="0"/>
    <x v="4"/>
    <d v="2024-11-25T00:00:00"/>
    <n v="512"/>
    <b v="1"/>
    <b v="1"/>
    <x v="2"/>
    <s v="Standard"/>
    <n v="4"/>
  </r>
  <r>
    <s v="77-178-6086"/>
    <x v="21"/>
    <x v="0"/>
    <x v="0"/>
    <s v="Single"/>
    <s v="Master's"/>
    <s v="Middle"/>
    <s v="Gueltat Zemmour"/>
    <x v="16"/>
    <n v="332.67"/>
    <n v="8"/>
    <x v="1"/>
    <n v="1"/>
    <n v="4"/>
    <n v="2"/>
    <s v="Medium"/>
    <s v="Somewhat Sensitive"/>
    <n v="1"/>
    <n v="2"/>
    <s v="High"/>
    <x v="1"/>
    <x v="3"/>
    <d v="2024-12-11T00:00:00"/>
    <n v="496"/>
    <b v="0"/>
    <b v="1"/>
    <x v="2"/>
    <s v="Express"/>
    <n v="4"/>
  </r>
  <r>
    <s v="28-832-2885"/>
    <x v="0"/>
    <x v="0"/>
    <x v="1"/>
    <s v="Divorced"/>
    <s v="Master's"/>
    <s v="Middle"/>
    <s v="Mosalâ€™sk"/>
    <x v="3"/>
    <n v="235.39"/>
    <n v="9"/>
    <x v="2"/>
    <n v="5"/>
    <n v="4"/>
    <n v="1"/>
    <s v="None"/>
    <s v="Not Sensitive"/>
    <n v="0"/>
    <n v="6"/>
    <s v="None"/>
    <x v="1"/>
    <x v="0"/>
    <d v="2024-05-25T00:00:00"/>
    <n v="696"/>
    <b v="0"/>
    <b v="1"/>
    <x v="3"/>
    <s v="No Preference"/>
    <n v="6"/>
  </r>
  <r>
    <s v="75-210-7391"/>
    <x v="32"/>
    <x v="0"/>
    <x v="0"/>
    <s v="Married"/>
    <s v="High School"/>
    <s v="Middle"/>
    <s v="Kokstad"/>
    <x v="12"/>
    <n v="269.77999999999997"/>
    <n v="7"/>
    <x v="1"/>
    <n v="2"/>
    <n v="3"/>
    <n v="1"/>
    <s v="Medium"/>
    <s v="Somewhat Sensitive"/>
    <n v="2"/>
    <n v="7"/>
    <s v="Medium"/>
    <x v="2"/>
    <x v="3"/>
    <d v="2024-07-25T00:00:00"/>
    <n v="635"/>
    <b v="1"/>
    <b v="1"/>
    <x v="0"/>
    <s v="No Preference"/>
    <n v="5"/>
  </r>
  <r>
    <s v="60-470-3563"/>
    <x v="3"/>
    <x v="1"/>
    <x v="0"/>
    <s v="Married"/>
    <s v="Bachelor's"/>
    <s v="Middle"/>
    <s v="Malasin"/>
    <x v="0"/>
    <n v="498.33"/>
    <n v="2"/>
    <x v="2"/>
    <n v="3"/>
    <n v="5"/>
    <n v="2"/>
    <s v="Medium"/>
    <s v="Very Sensitive"/>
    <n v="1"/>
    <n v="9"/>
    <s v="Medium"/>
    <x v="1"/>
    <x v="1"/>
    <d v="2024-05-08T00:00:00"/>
    <n v="713"/>
    <b v="1"/>
    <b v="1"/>
    <x v="1"/>
    <s v="Express"/>
    <n v="1"/>
  </r>
  <r>
    <s v="24-241-7171"/>
    <x v="12"/>
    <x v="0"/>
    <x v="1"/>
    <s v="Single"/>
    <s v="High School"/>
    <s v="High"/>
    <s v="Huaqiu"/>
    <x v="18"/>
    <n v="182.94"/>
    <n v="7"/>
    <x v="0"/>
    <n v="1"/>
    <n v="5"/>
    <n v="2"/>
    <s v="None"/>
    <s v="Not Sensitive"/>
    <n v="2"/>
    <n v="7"/>
    <s v="Low"/>
    <x v="2"/>
    <x v="3"/>
    <d v="2024-05-28T00:00:00"/>
    <n v="693"/>
    <b v="1"/>
    <b v="1"/>
    <x v="0"/>
    <s v="Express"/>
    <n v="12"/>
  </r>
  <r>
    <s v="53-784-1855"/>
    <x v="24"/>
    <x v="0"/>
    <x v="0"/>
    <s v="Divorced"/>
    <s v="Master's"/>
    <s v="High"/>
    <s v="Loket"/>
    <x v="18"/>
    <n v="121.7"/>
    <n v="7"/>
    <x v="0"/>
    <n v="4"/>
    <n v="3"/>
    <n v="0"/>
    <s v="High"/>
    <s v="Very Sensitive"/>
    <n v="2"/>
    <n v="5"/>
    <s v="None"/>
    <x v="1"/>
    <x v="0"/>
    <d v="2024-06-24T00:00:00"/>
    <n v="666"/>
    <b v="1"/>
    <b v="1"/>
    <x v="3"/>
    <s v="Standard"/>
    <n v="8"/>
  </r>
  <r>
    <s v="83-561-3374"/>
    <x v="5"/>
    <x v="0"/>
    <x v="1"/>
    <s v="Widowed"/>
    <s v="Master's"/>
    <s v="Middle"/>
    <s v="Santa Maria do Souto"/>
    <x v="14"/>
    <n v="489.27"/>
    <n v="4"/>
    <x v="0"/>
    <n v="1"/>
    <n v="4"/>
    <n v="1"/>
    <s v="High"/>
    <s v="Somewhat Sensitive"/>
    <n v="1"/>
    <n v="3"/>
    <s v="None"/>
    <x v="0"/>
    <x v="2"/>
    <d v="2024-01-13T00:00:00"/>
    <n v="829"/>
    <b v="0"/>
    <b v="0"/>
    <x v="1"/>
    <s v="Standard"/>
    <n v="3"/>
  </r>
  <r>
    <s v="96-121-0629"/>
    <x v="9"/>
    <x v="1"/>
    <x v="0"/>
    <s v="Married"/>
    <s v="Bachelor's"/>
    <s v="Middle"/>
    <s v="Yanshang"/>
    <x v="14"/>
    <n v="303.93"/>
    <n v="6"/>
    <x v="0"/>
    <n v="3"/>
    <n v="2"/>
    <n v="0"/>
    <s v="High"/>
    <s v="Not Sensitive"/>
    <n v="1"/>
    <n v="10"/>
    <s v="Low"/>
    <x v="1"/>
    <x v="2"/>
    <d v="2024-03-13T00:00:00"/>
    <n v="769"/>
    <b v="1"/>
    <b v="0"/>
    <x v="0"/>
    <s v="No Preference"/>
    <n v="2"/>
  </r>
  <r>
    <s v="00-275-9990"/>
    <x v="2"/>
    <x v="0"/>
    <x v="0"/>
    <s v="Married"/>
    <s v="Bachelor's"/>
    <s v="Middle"/>
    <s v="Tempuran"/>
    <x v="1"/>
    <n v="302.74"/>
    <n v="11"/>
    <x v="0"/>
    <n v="1"/>
    <n v="5"/>
    <n v="0"/>
    <s v="High"/>
    <s v="Very Sensitive"/>
    <n v="0"/>
    <n v="6"/>
    <s v="High"/>
    <x v="1"/>
    <x v="1"/>
    <d v="2024-06-28T00:00:00"/>
    <n v="662"/>
    <b v="1"/>
    <b v="1"/>
    <x v="1"/>
    <s v="Express"/>
    <n v="5"/>
  </r>
  <r>
    <s v="36-593-2907"/>
    <x v="21"/>
    <x v="7"/>
    <x v="1"/>
    <s v="Single"/>
    <s v="Bachelor's"/>
    <s v="High"/>
    <s v="Karafao"/>
    <x v="21"/>
    <n v="157.21"/>
    <n v="11"/>
    <x v="2"/>
    <n v="3"/>
    <n v="3"/>
    <n v="0"/>
    <s v="Medium"/>
    <s v="Not Sensitive"/>
    <n v="0"/>
    <n v="3"/>
    <s v="High"/>
    <x v="0"/>
    <x v="2"/>
    <d v="2024-04-30T00:00:00"/>
    <n v="721"/>
    <b v="1"/>
    <b v="0"/>
    <x v="1"/>
    <s v="Express"/>
    <n v="5"/>
  </r>
  <r>
    <s v="22-692-3470"/>
    <x v="19"/>
    <x v="0"/>
    <x v="1"/>
    <s v="Widowed"/>
    <s v="High School"/>
    <s v="High"/>
    <s v="SÃ£o CristÃ³vÃ£o"/>
    <x v="6"/>
    <n v="159.44999999999999"/>
    <n v="2"/>
    <x v="2"/>
    <n v="3"/>
    <n v="2"/>
    <n v="2"/>
    <s v="Medium"/>
    <s v="Very Sensitive"/>
    <n v="0"/>
    <n v="5"/>
    <s v="None"/>
    <x v="1"/>
    <x v="2"/>
    <d v="2024-06-14T00:00:00"/>
    <n v="676"/>
    <b v="1"/>
    <b v="0"/>
    <x v="2"/>
    <s v="Standard"/>
    <n v="14"/>
  </r>
  <r>
    <s v="90-322-7329"/>
    <x v="32"/>
    <x v="0"/>
    <x v="1"/>
    <s v="Widowed"/>
    <s v="High School"/>
    <s v="Middle"/>
    <s v="Buensuseso"/>
    <x v="8"/>
    <n v="312.93"/>
    <n v="2"/>
    <x v="1"/>
    <n v="2"/>
    <n v="2"/>
    <n v="1"/>
    <s v="High"/>
    <s v="Very Sensitive"/>
    <n v="0"/>
    <n v="7"/>
    <s v="None"/>
    <x v="1"/>
    <x v="1"/>
    <d v="2024-08-04T00:00:00"/>
    <n v="625"/>
    <b v="1"/>
    <b v="1"/>
    <x v="1"/>
    <s v="No Preference"/>
    <n v="3"/>
  </r>
  <r>
    <s v="28-395-9872"/>
    <x v="9"/>
    <x v="1"/>
    <x v="1"/>
    <s v="Married"/>
    <s v="Master's"/>
    <s v="Middle"/>
    <s v="Blantyre"/>
    <x v="11"/>
    <n v="65.680000000000007"/>
    <n v="4"/>
    <x v="1"/>
    <n v="4"/>
    <n v="4"/>
    <n v="0"/>
    <s v="Medium"/>
    <s v="Not Sensitive"/>
    <n v="0"/>
    <n v="8"/>
    <s v="Medium"/>
    <x v="1"/>
    <x v="3"/>
    <d v="2024-05-07T00:00:00"/>
    <n v="714"/>
    <b v="0"/>
    <b v="0"/>
    <x v="2"/>
    <s v="Standard"/>
    <n v="12"/>
  </r>
  <r>
    <s v="79-297-1061"/>
    <x v="32"/>
    <x v="1"/>
    <x v="0"/>
    <s v="Single"/>
    <s v="Master's"/>
    <s v="Middle"/>
    <s v="Kozelâ€™shchyna"/>
    <x v="14"/>
    <n v="61.86"/>
    <n v="5"/>
    <x v="1"/>
    <n v="4"/>
    <n v="5"/>
    <n v="2"/>
    <s v="None"/>
    <s v="Not Sensitive"/>
    <n v="2"/>
    <n v="8"/>
    <s v="None"/>
    <x v="1"/>
    <x v="4"/>
    <d v="2024-11-15T00:00:00"/>
    <n v="522"/>
    <b v="0"/>
    <b v="1"/>
    <x v="0"/>
    <s v="Standard"/>
    <n v="9"/>
  </r>
  <r>
    <s v="93-649-9356"/>
    <x v="27"/>
    <x v="0"/>
    <x v="1"/>
    <s v="Single"/>
    <s v="Master's"/>
    <s v="Middle"/>
    <s v="Cibuah"/>
    <x v="13"/>
    <n v="343.77"/>
    <n v="6"/>
    <x v="0"/>
    <n v="5"/>
    <n v="4"/>
    <n v="2"/>
    <s v="None"/>
    <s v="Not Sensitive"/>
    <n v="2"/>
    <n v="4"/>
    <s v="Medium"/>
    <x v="2"/>
    <x v="0"/>
    <d v="2024-02-16T00:00:00"/>
    <n v="795"/>
    <b v="1"/>
    <b v="0"/>
    <x v="2"/>
    <s v="No Preference"/>
    <n v="3"/>
  </r>
  <r>
    <s v="27-543-7069"/>
    <x v="14"/>
    <x v="1"/>
    <x v="0"/>
    <s v="Divorced"/>
    <s v="Master's"/>
    <s v="High"/>
    <s v="Cockburn Town"/>
    <x v="3"/>
    <n v="107.21"/>
    <n v="2"/>
    <x v="2"/>
    <n v="4"/>
    <n v="2"/>
    <n v="1"/>
    <s v="None"/>
    <s v="Not Sensitive"/>
    <n v="2"/>
    <n v="9"/>
    <s v="Medium"/>
    <x v="2"/>
    <x v="3"/>
    <d v="2024-08-05T00:00:00"/>
    <n v="624"/>
    <b v="1"/>
    <b v="1"/>
    <x v="3"/>
    <s v="Standard"/>
    <n v="6"/>
  </r>
  <r>
    <s v="96-079-9597"/>
    <x v="16"/>
    <x v="3"/>
    <x v="1"/>
    <s v="Single"/>
    <s v="Master's"/>
    <s v="Middle"/>
    <s v="Maslog"/>
    <x v="3"/>
    <n v="148.97999999999999"/>
    <n v="12"/>
    <x v="2"/>
    <n v="5"/>
    <n v="1"/>
    <n v="2"/>
    <s v="None"/>
    <s v="Very Sensitive"/>
    <n v="0"/>
    <n v="8"/>
    <s v="Low"/>
    <x v="0"/>
    <x v="2"/>
    <d v="2024-08-11T00:00:00"/>
    <n v="618"/>
    <b v="1"/>
    <b v="1"/>
    <x v="1"/>
    <s v="Standard"/>
    <n v="13"/>
  </r>
  <r>
    <s v="38-940-4942"/>
    <x v="0"/>
    <x v="0"/>
    <x v="1"/>
    <s v="Widowed"/>
    <s v="Master's"/>
    <s v="Middle"/>
    <s v="FaqqÅ«â€˜ah"/>
    <x v="10"/>
    <n v="490.41"/>
    <n v="4"/>
    <x v="0"/>
    <n v="3"/>
    <n v="4"/>
    <n v="0"/>
    <s v="Low"/>
    <s v="Somewhat Sensitive"/>
    <n v="0"/>
    <n v="2"/>
    <s v="High"/>
    <x v="0"/>
    <x v="3"/>
    <d v="2024-12-15T00:00:00"/>
    <n v="492"/>
    <b v="0"/>
    <b v="1"/>
    <x v="3"/>
    <s v="Express"/>
    <n v="3"/>
  </r>
  <r>
    <s v="82-014-2564"/>
    <x v="4"/>
    <x v="1"/>
    <x v="1"/>
    <s v="Married"/>
    <s v="High School"/>
    <s v="Middle"/>
    <s v="Yelyzavethradka"/>
    <x v="19"/>
    <n v="461.34"/>
    <n v="4"/>
    <x v="1"/>
    <n v="3"/>
    <n v="1"/>
    <n v="0"/>
    <s v="High"/>
    <s v="Somewhat Sensitive"/>
    <n v="1"/>
    <n v="9"/>
    <s v="Low"/>
    <x v="2"/>
    <x v="4"/>
    <d v="2024-03-06T00:00:00"/>
    <n v="776"/>
    <b v="0"/>
    <b v="1"/>
    <x v="1"/>
    <s v="Express"/>
    <n v="7"/>
  </r>
  <r>
    <s v="70-699-5799"/>
    <x v="28"/>
    <x v="0"/>
    <x v="1"/>
    <s v="Single"/>
    <s v="Master's"/>
    <s v="High"/>
    <s v="Jackson"/>
    <x v="2"/>
    <n v="338.89"/>
    <n v="7"/>
    <x v="1"/>
    <n v="4"/>
    <n v="2"/>
    <n v="1"/>
    <s v="Low"/>
    <s v="Somewhat Sensitive"/>
    <n v="2"/>
    <n v="6"/>
    <s v="None"/>
    <x v="2"/>
    <x v="0"/>
    <d v="2024-05-21T00:00:00"/>
    <n v="700"/>
    <b v="1"/>
    <b v="1"/>
    <x v="1"/>
    <s v="Express"/>
    <n v="3"/>
  </r>
  <r>
    <s v="53-240-2040"/>
    <x v="29"/>
    <x v="1"/>
    <x v="1"/>
    <s v="Married"/>
    <s v="High School"/>
    <s v="High"/>
    <s v="ItaguaÃ­"/>
    <x v="0"/>
    <n v="222.63"/>
    <n v="3"/>
    <x v="0"/>
    <n v="1"/>
    <n v="1"/>
    <n v="0"/>
    <s v="Medium"/>
    <s v="Somewhat Sensitive"/>
    <n v="2"/>
    <n v="2"/>
    <s v="None"/>
    <x v="0"/>
    <x v="4"/>
    <d v="2024-03-23T00:00:00"/>
    <n v="759"/>
    <b v="0"/>
    <b v="1"/>
    <x v="2"/>
    <s v="Express"/>
    <n v="6"/>
  </r>
  <r>
    <s v="27-742-2776"/>
    <x v="29"/>
    <x v="1"/>
    <x v="1"/>
    <s v="Married"/>
    <s v="High School"/>
    <s v="High"/>
    <s v="FteliÃ¡"/>
    <x v="16"/>
    <n v="71.95"/>
    <n v="2"/>
    <x v="0"/>
    <n v="3"/>
    <n v="5"/>
    <n v="2"/>
    <s v="None"/>
    <s v="Very Sensitive"/>
    <n v="2"/>
    <n v="10"/>
    <s v="None"/>
    <x v="2"/>
    <x v="2"/>
    <d v="2024-09-22T00:00:00"/>
    <n v="576"/>
    <b v="0"/>
    <b v="1"/>
    <x v="3"/>
    <s v="No Preference"/>
    <n v="13"/>
  </r>
  <r>
    <s v="55-620-7906"/>
    <x v="6"/>
    <x v="1"/>
    <x v="1"/>
    <s v="Divorced"/>
    <s v="High School"/>
    <s v="Middle"/>
    <s v="Kiambu"/>
    <x v="14"/>
    <n v="264.52"/>
    <n v="9"/>
    <x v="2"/>
    <n v="3"/>
    <n v="3"/>
    <n v="1"/>
    <s v="None"/>
    <s v="Not Sensitive"/>
    <n v="0"/>
    <n v="10"/>
    <s v="None"/>
    <x v="1"/>
    <x v="2"/>
    <d v="2024-04-02T00:00:00"/>
    <n v="749"/>
    <b v="1"/>
    <b v="1"/>
    <x v="3"/>
    <s v="No Preference"/>
    <n v="6"/>
  </r>
  <r>
    <s v="04-213-4617"/>
    <x v="20"/>
    <x v="1"/>
    <x v="1"/>
    <s v="Divorced"/>
    <s v="High School"/>
    <s v="High"/>
    <s v="XibÃ«r-MurrizÃ«"/>
    <x v="1"/>
    <n v="414.8"/>
    <n v="9"/>
    <x v="0"/>
    <n v="2"/>
    <n v="3"/>
    <n v="2"/>
    <s v="Low"/>
    <s v="Very Sensitive"/>
    <n v="2"/>
    <n v="9"/>
    <s v="None"/>
    <x v="2"/>
    <x v="1"/>
    <d v="2024-01-30T00:00:00"/>
    <n v="812"/>
    <b v="0"/>
    <b v="1"/>
    <x v="3"/>
    <s v="No Preference"/>
    <n v="7"/>
  </r>
  <r>
    <s v="79-384-7469"/>
    <x v="17"/>
    <x v="1"/>
    <x v="0"/>
    <s v="Single"/>
    <s v="Bachelor's"/>
    <s v="High"/>
    <s v="Xudat"/>
    <x v="19"/>
    <n v="50.79"/>
    <n v="12"/>
    <x v="0"/>
    <n v="5"/>
    <n v="1"/>
    <n v="0"/>
    <s v="Medium"/>
    <s v="Somewhat Sensitive"/>
    <n v="0"/>
    <n v="2"/>
    <s v="Medium"/>
    <x v="2"/>
    <x v="3"/>
    <d v="2024-05-28T00:00:00"/>
    <n v="693"/>
    <b v="1"/>
    <b v="0"/>
    <x v="3"/>
    <s v="Standard"/>
    <n v="3"/>
  </r>
  <r>
    <s v="30-839-5589"/>
    <x v="21"/>
    <x v="0"/>
    <x v="0"/>
    <s v="Married"/>
    <s v="High School"/>
    <s v="Middle"/>
    <s v="Yaodu"/>
    <x v="11"/>
    <n v="264.3"/>
    <n v="10"/>
    <x v="1"/>
    <n v="5"/>
    <n v="4"/>
    <n v="1"/>
    <s v="Low"/>
    <s v="Not Sensitive"/>
    <n v="2"/>
    <n v="2"/>
    <s v="High"/>
    <x v="1"/>
    <x v="1"/>
    <d v="2024-08-20T00:00:00"/>
    <n v="609"/>
    <b v="1"/>
    <b v="1"/>
    <x v="3"/>
    <s v="No Preference"/>
    <n v="5"/>
  </r>
  <r>
    <s v="76-848-9229"/>
    <x v="3"/>
    <x v="1"/>
    <x v="1"/>
    <s v="Married"/>
    <s v="Bachelor's"/>
    <s v="Middle"/>
    <s v="Saint-Gratien"/>
    <x v="9"/>
    <n v="122.46"/>
    <n v="12"/>
    <x v="0"/>
    <n v="2"/>
    <n v="3"/>
    <n v="0"/>
    <s v="High"/>
    <s v="Not Sensitive"/>
    <n v="0"/>
    <n v="3"/>
    <s v="Low"/>
    <x v="0"/>
    <x v="0"/>
    <d v="2024-02-15T00:00:00"/>
    <n v="796"/>
    <b v="0"/>
    <b v="1"/>
    <x v="1"/>
    <s v="Standard"/>
    <n v="6"/>
  </r>
  <r>
    <s v="98-559-6096"/>
    <x v="28"/>
    <x v="1"/>
    <x v="0"/>
    <s v="Widowed"/>
    <s v="High School"/>
    <s v="Middle"/>
    <s v="Totora"/>
    <x v="14"/>
    <n v="238.01"/>
    <n v="8"/>
    <x v="1"/>
    <n v="2"/>
    <n v="2"/>
    <n v="0"/>
    <s v="High"/>
    <s v="Somewhat Sensitive"/>
    <n v="0"/>
    <n v="9"/>
    <s v="Low"/>
    <x v="2"/>
    <x v="4"/>
    <d v="2024-07-13T00:00:00"/>
    <n v="647"/>
    <b v="0"/>
    <b v="1"/>
    <x v="0"/>
    <s v="Standard"/>
    <n v="5"/>
  </r>
  <r>
    <s v="56-810-2066"/>
    <x v="13"/>
    <x v="4"/>
    <x v="1"/>
    <s v="Married"/>
    <s v="Master's"/>
    <s v="Middle"/>
    <s v="GÃ¶teborg"/>
    <x v="3"/>
    <n v="490.34"/>
    <n v="4"/>
    <x v="1"/>
    <n v="5"/>
    <n v="2"/>
    <n v="2"/>
    <s v="None"/>
    <s v="Not Sensitive"/>
    <n v="2"/>
    <n v="7"/>
    <s v="High"/>
    <x v="0"/>
    <x v="3"/>
    <d v="2024-04-17T00:00:00"/>
    <n v="734"/>
    <b v="0"/>
    <b v="1"/>
    <x v="0"/>
    <s v="No Preference"/>
    <n v="2"/>
  </r>
  <r>
    <s v="55-580-7707"/>
    <x v="9"/>
    <x v="1"/>
    <x v="1"/>
    <s v="Divorced"/>
    <s v="Bachelor's"/>
    <s v="Middle"/>
    <s v="ÄŒÃ¡slav"/>
    <x v="23"/>
    <n v="245.98"/>
    <n v="4"/>
    <x v="0"/>
    <n v="5"/>
    <n v="1"/>
    <n v="1"/>
    <s v="High"/>
    <s v="Not Sensitive"/>
    <n v="0"/>
    <n v="1"/>
    <s v="Medium"/>
    <x v="2"/>
    <x v="1"/>
    <d v="2024-11-29T00:00:00"/>
    <n v="508"/>
    <b v="0"/>
    <b v="0"/>
    <x v="3"/>
    <s v="Standard"/>
    <n v="10"/>
  </r>
  <r>
    <s v="18-605-0795"/>
    <x v="5"/>
    <x v="5"/>
    <x v="0"/>
    <s v="Widowed"/>
    <s v="High School"/>
    <s v="High"/>
    <s v="Rudnogorsk"/>
    <x v="11"/>
    <n v="390.83"/>
    <n v="9"/>
    <x v="2"/>
    <n v="5"/>
    <n v="5"/>
    <n v="0"/>
    <s v="Medium"/>
    <s v="Somewhat Sensitive"/>
    <n v="0"/>
    <n v="5"/>
    <s v="High"/>
    <x v="2"/>
    <x v="4"/>
    <d v="2024-10-28T00:00:00"/>
    <n v="540"/>
    <b v="0"/>
    <b v="1"/>
    <x v="2"/>
    <s v="No Preference"/>
    <n v="8"/>
  </r>
  <r>
    <s v="86-268-2904"/>
    <x v="1"/>
    <x v="1"/>
    <x v="1"/>
    <s v="Widowed"/>
    <s v="High School"/>
    <s v="Middle"/>
    <s v="Pindiga"/>
    <x v="23"/>
    <n v="158.84"/>
    <n v="6"/>
    <x v="2"/>
    <n v="2"/>
    <n v="1"/>
    <n v="1"/>
    <s v="None"/>
    <s v="Not Sensitive"/>
    <n v="1"/>
    <n v="8"/>
    <s v="Low"/>
    <x v="2"/>
    <x v="4"/>
    <d v="2024-07-12T00:00:00"/>
    <n v="648"/>
    <b v="1"/>
    <b v="1"/>
    <x v="0"/>
    <s v="Express"/>
    <n v="5"/>
  </r>
  <r>
    <s v="75-847-7630"/>
    <x v="14"/>
    <x v="1"/>
    <x v="0"/>
    <s v="Single"/>
    <s v="High School"/>
    <s v="Middle"/>
    <s v="Adela"/>
    <x v="15"/>
    <n v="439.24"/>
    <n v="8"/>
    <x v="0"/>
    <n v="3"/>
    <n v="3"/>
    <n v="1"/>
    <s v="High"/>
    <s v="Somewhat Sensitive"/>
    <n v="2"/>
    <n v="9"/>
    <s v="Medium"/>
    <x v="0"/>
    <x v="3"/>
    <d v="2024-07-26T00:00:00"/>
    <n v="634"/>
    <b v="0"/>
    <b v="0"/>
    <x v="1"/>
    <s v="Standard"/>
    <n v="10"/>
  </r>
  <r>
    <s v="76-910-2337"/>
    <x v="25"/>
    <x v="5"/>
    <x v="0"/>
    <s v="Widowed"/>
    <s v="Master's"/>
    <s v="High"/>
    <s v="Krajan Baru"/>
    <x v="16"/>
    <n v="92.43"/>
    <n v="12"/>
    <x v="0"/>
    <n v="4"/>
    <n v="1"/>
    <n v="0"/>
    <s v="Medium"/>
    <s v="Somewhat Sensitive"/>
    <n v="2"/>
    <n v="9"/>
    <s v="None"/>
    <x v="1"/>
    <x v="3"/>
    <d v="2024-12-05T00:00:00"/>
    <n v="502"/>
    <b v="0"/>
    <b v="1"/>
    <x v="0"/>
    <s v="Standard"/>
    <n v="6"/>
  </r>
  <r>
    <s v="56-719-7145"/>
    <x v="18"/>
    <x v="0"/>
    <x v="1"/>
    <s v="Married"/>
    <s v="Master's"/>
    <s v="Middle"/>
    <s v="Jinqiao"/>
    <x v="20"/>
    <n v="333.15"/>
    <n v="9"/>
    <x v="0"/>
    <n v="1"/>
    <n v="5"/>
    <n v="1"/>
    <s v="High"/>
    <s v="Very Sensitive"/>
    <n v="1"/>
    <n v="8"/>
    <s v="High"/>
    <x v="1"/>
    <x v="3"/>
    <d v="2024-08-12T00:00:00"/>
    <n v="617"/>
    <b v="0"/>
    <b v="0"/>
    <x v="2"/>
    <s v="Standard"/>
    <n v="14"/>
  </r>
  <r>
    <s v="14-025-2335"/>
    <x v="24"/>
    <x v="1"/>
    <x v="0"/>
    <s v="Divorced"/>
    <s v="Master's"/>
    <s v="Middle"/>
    <s v="Barg-e MatÄl"/>
    <x v="8"/>
    <n v="64.22"/>
    <n v="9"/>
    <x v="2"/>
    <n v="1"/>
    <n v="1"/>
    <n v="2"/>
    <s v="High"/>
    <s v="Somewhat Sensitive"/>
    <n v="1"/>
    <n v="9"/>
    <s v="Medium"/>
    <x v="1"/>
    <x v="1"/>
    <d v="2024-01-02T00:00:00"/>
    <n v="840"/>
    <b v="1"/>
    <b v="0"/>
    <x v="2"/>
    <s v="No Preference"/>
    <n v="10"/>
  </r>
  <r>
    <s v="10-300-8072"/>
    <x v="19"/>
    <x v="0"/>
    <x v="1"/>
    <s v="Single"/>
    <s v="High School"/>
    <s v="High"/>
    <s v="Argenteuil"/>
    <x v="3"/>
    <n v="290.52999999999997"/>
    <n v="3"/>
    <x v="2"/>
    <n v="3"/>
    <n v="2"/>
    <n v="1"/>
    <s v="Low"/>
    <s v="Very Sensitive"/>
    <n v="0"/>
    <n v="6"/>
    <s v="High"/>
    <x v="2"/>
    <x v="2"/>
    <d v="2024-11-04T00:00:00"/>
    <n v="533"/>
    <b v="1"/>
    <b v="0"/>
    <x v="3"/>
    <s v="No Preference"/>
    <n v="10"/>
  </r>
  <r>
    <s v="73-698-2326"/>
    <x v="7"/>
    <x v="1"/>
    <x v="0"/>
    <s v="Divorced"/>
    <s v="Bachelor's"/>
    <s v="High"/>
    <s v="Daying"/>
    <x v="15"/>
    <n v="251.8"/>
    <n v="6"/>
    <x v="0"/>
    <n v="5"/>
    <n v="1"/>
    <n v="2"/>
    <s v="High"/>
    <s v="Very Sensitive"/>
    <n v="1"/>
    <n v="8"/>
    <s v="Low"/>
    <x v="1"/>
    <x v="2"/>
    <d v="2024-07-05T00:00:00"/>
    <n v="655"/>
    <b v="1"/>
    <b v="1"/>
    <x v="2"/>
    <s v="No Preference"/>
    <n v="11"/>
  </r>
  <r>
    <s v="01-023-2094"/>
    <x v="23"/>
    <x v="5"/>
    <x v="0"/>
    <s v="Divorced"/>
    <s v="Master's"/>
    <s v="Middle"/>
    <s v="Ngrejo"/>
    <x v="6"/>
    <n v="480.52"/>
    <n v="3"/>
    <x v="2"/>
    <n v="5"/>
    <n v="4"/>
    <n v="2"/>
    <s v="Low"/>
    <s v="Somewhat Sensitive"/>
    <n v="1"/>
    <n v="5"/>
    <s v="None"/>
    <x v="1"/>
    <x v="4"/>
    <d v="2024-04-30T00:00:00"/>
    <n v="721"/>
    <b v="0"/>
    <b v="0"/>
    <x v="3"/>
    <s v="No Preference"/>
    <n v="13"/>
  </r>
  <r>
    <s v="65-359-4645"/>
    <x v="31"/>
    <x v="0"/>
    <x v="0"/>
    <s v="Married"/>
    <s v="High School"/>
    <s v="High"/>
    <s v="Xieba"/>
    <x v="12"/>
    <n v="461.71"/>
    <n v="10"/>
    <x v="0"/>
    <n v="3"/>
    <n v="1"/>
    <n v="0"/>
    <s v="Low"/>
    <s v="Not Sensitive"/>
    <n v="0"/>
    <n v="9"/>
    <s v="High"/>
    <x v="1"/>
    <x v="4"/>
    <d v="2024-02-16T00:00:00"/>
    <n v="795"/>
    <b v="0"/>
    <b v="0"/>
    <x v="3"/>
    <s v="Standard"/>
    <n v="11"/>
  </r>
  <r>
    <s v="33-405-7978"/>
    <x v="17"/>
    <x v="0"/>
    <x v="1"/>
    <s v="Married"/>
    <s v="High School"/>
    <s v="Middle"/>
    <s v="Sigli"/>
    <x v="14"/>
    <n v="288.33999999999997"/>
    <n v="12"/>
    <x v="0"/>
    <n v="5"/>
    <n v="2"/>
    <n v="2"/>
    <s v="None"/>
    <s v="Very Sensitive"/>
    <n v="0"/>
    <n v="8"/>
    <s v="Low"/>
    <x v="0"/>
    <x v="4"/>
    <d v="2024-03-20T00:00:00"/>
    <n v="762"/>
    <b v="0"/>
    <b v="0"/>
    <x v="0"/>
    <s v="Express"/>
    <n v="6"/>
  </r>
  <r>
    <s v="09-783-7921"/>
    <x v="24"/>
    <x v="0"/>
    <x v="1"/>
    <s v="Divorced"/>
    <s v="Bachelor's"/>
    <s v="High"/>
    <s v="AristÃ³bulo del Valle"/>
    <x v="0"/>
    <n v="194.08"/>
    <n v="3"/>
    <x v="1"/>
    <n v="5"/>
    <n v="5"/>
    <n v="1"/>
    <s v="Low"/>
    <s v="Not Sensitive"/>
    <n v="0"/>
    <n v="2"/>
    <s v="None"/>
    <x v="1"/>
    <x v="1"/>
    <d v="2024-10-27T00:00:00"/>
    <n v="541"/>
    <b v="1"/>
    <b v="1"/>
    <x v="1"/>
    <s v="Standard"/>
    <n v="13"/>
  </r>
  <r>
    <s v="76-561-2427"/>
    <x v="23"/>
    <x v="6"/>
    <x v="0"/>
    <s v="Widowed"/>
    <s v="High School"/>
    <s v="High"/>
    <s v="Cane"/>
    <x v="22"/>
    <n v="198.45"/>
    <n v="11"/>
    <x v="2"/>
    <n v="3"/>
    <n v="5"/>
    <n v="1"/>
    <s v="High"/>
    <s v="Not Sensitive"/>
    <n v="2"/>
    <n v="8"/>
    <s v="High"/>
    <x v="0"/>
    <x v="1"/>
    <d v="2024-05-04T00:00:00"/>
    <n v="717"/>
    <b v="1"/>
    <b v="0"/>
    <x v="1"/>
    <s v="No Preference"/>
    <n v="5"/>
  </r>
  <r>
    <s v="82-467-3300"/>
    <x v="25"/>
    <x v="1"/>
    <x v="1"/>
    <s v="Married"/>
    <s v="Master's"/>
    <s v="Middle"/>
    <s v="Podhum"/>
    <x v="15"/>
    <n v="216.45"/>
    <n v="5"/>
    <x v="0"/>
    <n v="5"/>
    <n v="2"/>
    <n v="0"/>
    <s v="Medium"/>
    <s v="Very Sensitive"/>
    <n v="2"/>
    <n v="7"/>
    <s v="Low"/>
    <x v="0"/>
    <x v="0"/>
    <d v="2024-10-31T00:00:00"/>
    <n v="537"/>
    <b v="0"/>
    <b v="0"/>
    <x v="0"/>
    <s v="No Preference"/>
    <n v="3"/>
  </r>
  <r>
    <s v="92-946-7398"/>
    <x v="24"/>
    <x v="0"/>
    <x v="1"/>
    <s v="Widowed"/>
    <s v="Bachelor's"/>
    <s v="High"/>
    <s v="Vilar"/>
    <x v="15"/>
    <n v="358.72"/>
    <n v="5"/>
    <x v="1"/>
    <n v="3"/>
    <n v="5"/>
    <n v="1"/>
    <s v="Low"/>
    <s v="Very Sensitive"/>
    <n v="0"/>
    <n v="8"/>
    <s v="Low"/>
    <x v="0"/>
    <x v="0"/>
    <d v="2024-02-06T00:00:00"/>
    <n v="805"/>
    <b v="1"/>
    <b v="1"/>
    <x v="2"/>
    <s v="Standard"/>
    <n v="12"/>
  </r>
  <r>
    <s v="59-891-2990"/>
    <x v="0"/>
    <x v="0"/>
    <x v="0"/>
    <s v="Widowed"/>
    <s v="Bachelor's"/>
    <s v="High"/>
    <s v="Portela"/>
    <x v="8"/>
    <n v="367.56"/>
    <n v="9"/>
    <x v="2"/>
    <n v="4"/>
    <n v="5"/>
    <n v="1"/>
    <s v="None"/>
    <s v="Not Sensitive"/>
    <n v="0"/>
    <n v="8"/>
    <s v="Low"/>
    <x v="1"/>
    <x v="3"/>
    <d v="2024-07-18T00:00:00"/>
    <n v="642"/>
    <b v="0"/>
    <b v="0"/>
    <x v="0"/>
    <s v="Standard"/>
    <n v="14"/>
  </r>
  <r>
    <s v="22-579-3978"/>
    <x v="13"/>
    <x v="1"/>
    <x v="0"/>
    <s v="Divorced"/>
    <s v="High School"/>
    <s v="High"/>
    <s v="Arendal"/>
    <x v="20"/>
    <n v="88.78"/>
    <n v="10"/>
    <x v="2"/>
    <n v="5"/>
    <n v="3"/>
    <n v="0"/>
    <s v="High"/>
    <s v="Very Sensitive"/>
    <n v="1"/>
    <n v="7"/>
    <s v="Medium"/>
    <x v="2"/>
    <x v="1"/>
    <d v="2024-01-06T00:00:00"/>
    <n v="836"/>
    <b v="0"/>
    <b v="0"/>
    <x v="3"/>
    <s v="Standard"/>
    <n v="13"/>
  </r>
  <r>
    <s v="22-352-0576"/>
    <x v="18"/>
    <x v="1"/>
    <x v="0"/>
    <s v="Married"/>
    <s v="Bachelor's"/>
    <s v="Middle"/>
    <s v="NabÄ«nagar"/>
    <x v="1"/>
    <n v="465.85"/>
    <n v="10"/>
    <x v="2"/>
    <n v="5"/>
    <n v="3"/>
    <n v="2"/>
    <s v="None"/>
    <s v="Somewhat Sensitive"/>
    <n v="2"/>
    <n v="10"/>
    <s v="Medium"/>
    <x v="2"/>
    <x v="1"/>
    <d v="2024-04-04T00:00:00"/>
    <n v="747"/>
    <b v="1"/>
    <b v="0"/>
    <x v="1"/>
    <s v="Standard"/>
    <n v="7"/>
  </r>
  <r>
    <s v="28-676-0614"/>
    <x v="1"/>
    <x v="1"/>
    <x v="0"/>
    <s v="Married"/>
    <s v="High School"/>
    <s v="High"/>
    <s v="La Ravoire"/>
    <x v="20"/>
    <n v="262.61"/>
    <n v="3"/>
    <x v="1"/>
    <n v="2"/>
    <n v="5"/>
    <n v="1"/>
    <s v="Medium"/>
    <s v="Somewhat Sensitive"/>
    <n v="0"/>
    <n v="10"/>
    <s v="Medium"/>
    <x v="1"/>
    <x v="3"/>
    <d v="2024-02-28T00:00:00"/>
    <n v="783"/>
    <b v="0"/>
    <b v="1"/>
    <x v="1"/>
    <s v="Standard"/>
    <n v="6"/>
  </r>
  <r>
    <s v="07-211-9364"/>
    <x v="5"/>
    <x v="6"/>
    <x v="0"/>
    <s v="Widowed"/>
    <s v="Master's"/>
    <s v="Middle"/>
    <s v="Dostoyevka"/>
    <x v="3"/>
    <n v="91.24"/>
    <n v="8"/>
    <x v="1"/>
    <n v="4"/>
    <n v="3"/>
    <n v="0"/>
    <s v="High"/>
    <s v="Somewhat Sensitive"/>
    <n v="0"/>
    <n v="4"/>
    <s v="Low"/>
    <x v="0"/>
    <x v="4"/>
    <d v="2024-10-28T00:00:00"/>
    <n v="540"/>
    <b v="1"/>
    <b v="0"/>
    <x v="1"/>
    <s v="Standard"/>
    <n v="4"/>
  </r>
  <r>
    <s v="98-238-6733"/>
    <x v="21"/>
    <x v="0"/>
    <x v="1"/>
    <s v="Married"/>
    <s v="High School"/>
    <s v="High"/>
    <s v="Liuzhou"/>
    <x v="8"/>
    <n v="425.69"/>
    <n v="5"/>
    <x v="1"/>
    <n v="2"/>
    <n v="5"/>
    <n v="0"/>
    <s v="High"/>
    <s v="Very Sensitive"/>
    <n v="0"/>
    <n v="4"/>
    <s v="Medium"/>
    <x v="0"/>
    <x v="0"/>
    <d v="2024-06-21T00:00:00"/>
    <n v="669"/>
    <b v="0"/>
    <b v="1"/>
    <x v="2"/>
    <s v="No Preference"/>
    <n v="4"/>
  </r>
  <r>
    <s v="72-006-3769"/>
    <x v="30"/>
    <x v="0"/>
    <x v="1"/>
    <s v="Married"/>
    <s v="Bachelor's"/>
    <s v="High"/>
    <s v="SÃ£o Mateus do MaranhÃ£o"/>
    <x v="12"/>
    <n v="446.11"/>
    <n v="9"/>
    <x v="0"/>
    <n v="3"/>
    <n v="1"/>
    <n v="1"/>
    <s v="Medium"/>
    <s v="Very Sensitive"/>
    <n v="0"/>
    <n v="10"/>
    <s v="Medium"/>
    <x v="2"/>
    <x v="1"/>
    <d v="2024-06-06T00:00:00"/>
    <n v="684"/>
    <b v="1"/>
    <b v="1"/>
    <x v="1"/>
    <s v="Express"/>
    <n v="11"/>
  </r>
  <r>
    <s v="75-845-3143"/>
    <x v="25"/>
    <x v="2"/>
    <x v="1"/>
    <s v="Single"/>
    <s v="High School"/>
    <s v="High"/>
    <s v="Rumbek"/>
    <x v="14"/>
    <n v="490.11"/>
    <n v="8"/>
    <x v="2"/>
    <n v="3"/>
    <n v="4"/>
    <n v="2"/>
    <s v="Low"/>
    <s v="Not Sensitive"/>
    <n v="1"/>
    <n v="1"/>
    <s v="Low"/>
    <x v="1"/>
    <x v="3"/>
    <d v="2024-12-24T00:00:00"/>
    <n v="483"/>
    <b v="0"/>
    <b v="0"/>
    <x v="3"/>
    <s v="Standard"/>
    <n v="14"/>
  </r>
  <r>
    <s v="26-028-2671"/>
    <x v="32"/>
    <x v="0"/>
    <x v="1"/>
    <s v="Divorced"/>
    <s v="High School"/>
    <s v="Middle"/>
    <s v="Cigedang"/>
    <x v="6"/>
    <n v="403.57"/>
    <n v="6"/>
    <x v="2"/>
    <n v="2"/>
    <n v="2"/>
    <n v="2"/>
    <s v="High"/>
    <s v="Not Sensitive"/>
    <n v="2"/>
    <n v="2"/>
    <s v="None"/>
    <x v="1"/>
    <x v="3"/>
    <d v="2024-11-14T00:00:00"/>
    <n v="523"/>
    <b v="0"/>
    <b v="0"/>
    <x v="2"/>
    <s v="Express"/>
    <n v="1"/>
  </r>
  <r>
    <s v="55-876-7407"/>
    <x v="21"/>
    <x v="0"/>
    <x v="1"/>
    <s v="Married"/>
    <s v="Bachelor's"/>
    <s v="Middle"/>
    <s v="Muaralabuh"/>
    <x v="12"/>
    <n v="442.15"/>
    <n v="10"/>
    <x v="0"/>
    <n v="2"/>
    <n v="3"/>
    <n v="1"/>
    <s v="High"/>
    <s v="Not Sensitive"/>
    <n v="2"/>
    <n v="1"/>
    <s v="None"/>
    <x v="1"/>
    <x v="0"/>
    <d v="2024-12-18T00:00:00"/>
    <n v="489"/>
    <b v="0"/>
    <b v="1"/>
    <x v="0"/>
    <s v="No Preference"/>
    <n v="9"/>
  </r>
  <r>
    <s v="47-720-9520"/>
    <x v="1"/>
    <x v="0"/>
    <x v="0"/>
    <s v="Widowed"/>
    <s v="Bachelor's"/>
    <s v="High"/>
    <s v="CheÅ‚miec"/>
    <x v="6"/>
    <n v="78.709999999999994"/>
    <n v="5"/>
    <x v="2"/>
    <n v="4"/>
    <n v="3"/>
    <n v="1"/>
    <s v="None"/>
    <s v="Somewhat Sensitive"/>
    <n v="1"/>
    <n v="10"/>
    <s v="Low"/>
    <x v="1"/>
    <x v="1"/>
    <d v="2024-04-10T00:00:00"/>
    <n v="741"/>
    <b v="1"/>
    <b v="1"/>
    <x v="3"/>
    <s v="No Preference"/>
    <n v="4"/>
  </r>
  <r>
    <s v="42-207-5005"/>
    <x v="5"/>
    <x v="0"/>
    <x v="0"/>
    <s v="Widowed"/>
    <s v="High School"/>
    <s v="High"/>
    <s v="Santa Marta"/>
    <x v="4"/>
    <n v="491.51"/>
    <n v="2"/>
    <x v="0"/>
    <n v="2"/>
    <n v="5"/>
    <n v="0"/>
    <s v="Medium"/>
    <s v="Very Sensitive"/>
    <n v="1"/>
    <n v="1"/>
    <s v="High"/>
    <x v="1"/>
    <x v="1"/>
    <d v="2024-12-06T00:00:00"/>
    <n v="501"/>
    <b v="1"/>
    <b v="0"/>
    <x v="0"/>
    <s v="No Preference"/>
    <n v="7"/>
  </r>
  <r>
    <s v="47-266-2261"/>
    <x v="15"/>
    <x v="0"/>
    <x v="0"/>
    <s v="Single"/>
    <s v="Bachelor's"/>
    <s v="Middle"/>
    <s v="BrÃ¤ndÃ¶"/>
    <x v="4"/>
    <n v="457.39"/>
    <n v="12"/>
    <x v="1"/>
    <n v="1"/>
    <n v="1"/>
    <n v="1"/>
    <s v="High"/>
    <s v="Not Sensitive"/>
    <n v="1"/>
    <n v="5"/>
    <s v="High"/>
    <x v="2"/>
    <x v="0"/>
    <d v="2024-10-29T00:00:00"/>
    <n v="539"/>
    <b v="1"/>
    <b v="0"/>
    <x v="2"/>
    <s v="Standard"/>
    <n v="9"/>
  </r>
  <r>
    <s v="77-642-7686"/>
    <x v="9"/>
    <x v="0"/>
    <x v="1"/>
    <s v="Divorced"/>
    <s v="High School"/>
    <s v="High"/>
    <s v="Liangshuihe"/>
    <x v="1"/>
    <n v="178.61"/>
    <n v="12"/>
    <x v="2"/>
    <n v="5"/>
    <n v="1"/>
    <n v="2"/>
    <s v="High"/>
    <s v="Not Sensitive"/>
    <n v="0"/>
    <n v="3"/>
    <s v="None"/>
    <x v="1"/>
    <x v="0"/>
    <d v="2024-07-10T00:00:00"/>
    <n v="650"/>
    <b v="1"/>
    <b v="0"/>
    <x v="2"/>
    <s v="No Preference"/>
    <n v="8"/>
  </r>
  <r>
    <s v="37-468-8133"/>
    <x v="32"/>
    <x v="1"/>
    <x v="0"/>
    <s v="Single"/>
    <s v="High School"/>
    <s v="Middle"/>
    <s v="Cimara"/>
    <x v="10"/>
    <n v="492.51"/>
    <n v="7"/>
    <x v="2"/>
    <n v="1"/>
    <n v="4"/>
    <n v="1"/>
    <s v="Low"/>
    <s v="Not Sensitive"/>
    <n v="0"/>
    <n v="2"/>
    <s v="Medium"/>
    <x v="2"/>
    <x v="1"/>
    <d v="2024-01-30T00:00:00"/>
    <n v="812"/>
    <b v="1"/>
    <b v="1"/>
    <x v="1"/>
    <s v="Standard"/>
    <n v="4"/>
  </r>
  <r>
    <s v="00-335-5034"/>
    <x v="14"/>
    <x v="6"/>
    <x v="1"/>
    <s v="Married"/>
    <s v="Bachelor's"/>
    <s v="High"/>
    <s v="Sanxing"/>
    <x v="3"/>
    <n v="411.4"/>
    <n v="3"/>
    <x v="1"/>
    <n v="1"/>
    <n v="3"/>
    <n v="0"/>
    <s v="High"/>
    <s v="Somewhat Sensitive"/>
    <n v="2"/>
    <n v="9"/>
    <s v="None"/>
    <x v="1"/>
    <x v="1"/>
    <d v="2024-08-12T00:00:00"/>
    <n v="617"/>
    <b v="1"/>
    <b v="0"/>
    <x v="2"/>
    <s v="Standard"/>
    <n v="6"/>
  </r>
  <r>
    <s v="95-148-1769"/>
    <x v="15"/>
    <x v="1"/>
    <x v="0"/>
    <s v="Divorced"/>
    <s v="Master's"/>
    <s v="High"/>
    <s v="Linao"/>
    <x v="20"/>
    <n v="96.52"/>
    <n v="11"/>
    <x v="1"/>
    <n v="5"/>
    <n v="3"/>
    <n v="2"/>
    <s v="Low"/>
    <s v="Not Sensitive"/>
    <n v="1"/>
    <n v="3"/>
    <s v="None"/>
    <x v="0"/>
    <x v="4"/>
    <d v="2024-03-17T00:00:00"/>
    <n v="765"/>
    <b v="0"/>
    <b v="0"/>
    <x v="3"/>
    <s v="Standard"/>
    <n v="11"/>
  </r>
  <r>
    <s v="72-324-1243"/>
    <x v="10"/>
    <x v="1"/>
    <x v="1"/>
    <s v="Married"/>
    <s v="High School"/>
    <s v="Middle"/>
    <s v="Bairan"/>
    <x v="7"/>
    <n v="65.45"/>
    <n v="6"/>
    <x v="1"/>
    <n v="2"/>
    <n v="4"/>
    <n v="1"/>
    <s v="High"/>
    <s v="Very Sensitive"/>
    <n v="0"/>
    <n v="2"/>
    <s v="Medium"/>
    <x v="1"/>
    <x v="0"/>
    <d v="2024-09-21T00:00:00"/>
    <n v="577"/>
    <b v="1"/>
    <b v="1"/>
    <x v="2"/>
    <s v="No Preference"/>
    <n v="3"/>
  </r>
  <r>
    <s v="62-687-5354"/>
    <x v="25"/>
    <x v="1"/>
    <x v="0"/>
    <s v="Single"/>
    <s v="High School"/>
    <s v="Middle"/>
    <s v="Abaetetuba"/>
    <x v="10"/>
    <n v="255.86"/>
    <n v="3"/>
    <x v="2"/>
    <n v="4"/>
    <n v="5"/>
    <n v="2"/>
    <s v="High"/>
    <s v="Very Sensitive"/>
    <n v="0"/>
    <n v="1"/>
    <s v="Low"/>
    <x v="0"/>
    <x v="1"/>
    <d v="2024-03-25T00:00:00"/>
    <n v="757"/>
    <b v="1"/>
    <b v="0"/>
    <x v="3"/>
    <s v="No Preference"/>
    <n v="4"/>
  </r>
  <r>
    <s v="54-634-0814"/>
    <x v="22"/>
    <x v="1"/>
    <x v="1"/>
    <s v="Divorced"/>
    <s v="Bachelor's"/>
    <s v="High"/>
    <s v="Pasirjaya"/>
    <x v="4"/>
    <n v="74.69"/>
    <n v="10"/>
    <x v="1"/>
    <n v="5"/>
    <n v="3"/>
    <n v="1"/>
    <s v="Low"/>
    <s v="Somewhat Sensitive"/>
    <n v="0"/>
    <n v="6"/>
    <s v="Medium"/>
    <x v="2"/>
    <x v="1"/>
    <d v="2024-11-12T00:00:00"/>
    <n v="525"/>
    <b v="0"/>
    <b v="1"/>
    <x v="0"/>
    <s v="No Preference"/>
    <n v="3"/>
  </r>
  <r>
    <s v="64-769-5737"/>
    <x v="5"/>
    <x v="1"/>
    <x v="0"/>
    <s v="Widowed"/>
    <s v="Master's"/>
    <s v="Middle"/>
    <s v="Acheng"/>
    <x v="3"/>
    <n v="430.75"/>
    <n v="8"/>
    <x v="0"/>
    <n v="3"/>
    <n v="4"/>
    <n v="2"/>
    <s v="Low"/>
    <s v="Very Sensitive"/>
    <n v="1"/>
    <n v="5"/>
    <s v="None"/>
    <x v="0"/>
    <x v="4"/>
    <d v="2024-04-06T00:00:00"/>
    <n v="745"/>
    <b v="0"/>
    <b v="0"/>
    <x v="0"/>
    <s v="No Preference"/>
    <n v="6"/>
  </r>
  <r>
    <s v="62-892-2088"/>
    <x v="9"/>
    <x v="1"/>
    <x v="1"/>
    <s v="Widowed"/>
    <s v="Master's"/>
    <s v="High"/>
    <s v="Huakoulongtan"/>
    <x v="14"/>
    <n v="370.17"/>
    <n v="2"/>
    <x v="0"/>
    <n v="5"/>
    <n v="4"/>
    <n v="2"/>
    <s v="Medium"/>
    <s v="Not Sensitive"/>
    <n v="1"/>
    <n v="9"/>
    <s v="Low"/>
    <x v="0"/>
    <x v="4"/>
    <d v="2024-11-23T00:00:00"/>
    <n v="514"/>
    <b v="0"/>
    <b v="1"/>
    <x v="0"/>
    <s v="Express"/>
    <n v="1"/>
  </r>
  <r>
    <s v="53-951-2529"/>
    <x v="8"/>
    <x v="1"/>
    <x v="0"/>
    <s v="Divorced"/>
    <s v="Master's"/>
    <s v="High"/>
    <s v="Burgastai"/>
    <x v="13"/>
    <n v="384.26"/>
    <n v="6"/>
    <x v="0"/>
    <n v="4"/>
    <n v="2"/>
    <n v="1"/>
    <s v="High"/>
    <s v="Not Sensitive"/>
    <n v="0"/>
    <n v="9"/>
    <s v="Medium"/>
    <x v="1"/>
    <x v="1"/>
    <d v="2024-07-11T00:00:00"/>
    <n v="649"/>
    <b v="0"/>
    <b v="1"/>
    <x v="0"/>
    <s v="No Preference"/>
    <n v="11"/>
  </r>
  <r>
    <s v="00-264-3797"/>
    <x v="29"/>
    <x v="1"/>
    <x v="0"/>
    <s v="Married"/>
    <s v="Master's"/>
    <s v="Middle"/>
    <s v="ChavarrÃ­a"/>
    <x v="3"/>
    <n v="128.01"/>
    <n v="2"/>
    <x v="0"/>
    <n v="4"/>
    <n v="2"/>
    <n v="1"/>
    <s v="Medium"/>
    <s v="Somewhat Sensitive"/>
    <n v="0"/>
    <n v="1"/>
    <s v="High"/>
    <x v="1"/>
    <x v="2"/>
    <d v="2024-04-17T00:00:00"/>
    <n v="734"/>
    <b v="1"/>
    <b v="0"/>
    <x v="0"/>
    <s v="No Preference"/>
    <n v="10"/>
  </r>
  <r>
    <s v="88-445-9235"/>
    <x v="19"/>
    <x v="0"/>
    <x v="1"/>
    <s v="Married"/>
    <s v="High School"/>
    <s v="High"/>
    <s v="Demuk"/>
    <x v="8"/>
    <n v="301.39999999999998"/>
    <n v="4"/>
    <x v="2"/>
    <n v="5"/>
    <n v="3"/>
    <n v="0"/>
    <s v="Medium"/>
    <s v="Somewhat Sensitive"/>
    <n v="0"/>
    <n v="5"/>
    <s v="None"/>
    <x v="2"/>
    <x v="2"/>
    <d v="2024-09-14T00:00:00"/>
    <n v="584"/>
    <b v="0"/>
    <b v="1"/>
    <x v="3"/>
    <s v="Standard"/>
    <n v="5"/>
  </r>
  <r>
    <s v="65-539-9955"/>
    <x v="27"/>
    <x v="0"/>
    <x v="1"/>
    <s v="Single"/>
    <s v="High School"/>
    <s v="High"/>
    <s v="Sertolovo"/>
    <x v="18"/>
    <n v="397.25"/>
    <n v="6"/>
    <x v="0"/>
    <n v="5"/>
    <n v="2"/>
    <n v="1"/>
    <s v="Low"/>
    <s v="Not Sensitive"/>
    <n v="1"/>
    <n v="10"/>
    <s v="None"/>
    <x v="2"/>
    <x v="4"/>
    <d v="2024-08-08T00:00:00"/>
    <n v="621"/>
    <b v="0"/>
    <b v="1"/>
    <x v="1"/>
    <s v="No Preference"/>
    <n v="2"/>
  </r>
  <r>
    <s v="89-730-1134"/>
    <x v="19"/>
    <x v="1"/>
    <x v="0"/>
    <s v="Divorced"/>
    <s v="High School"/>
    <s v="Middle"/>
    <s v="Jixian"/>
    <x v="0"/>
    <n v="96.18"/>
    <n v="3"/>
    <x v="0"/>
    <n v="3"/>
    <n v="4"/>
    <n v="0"/>
    <s v="None"/>
    <s v="Somewhat Sensitive"/>
    <n v="1"/>
    <n v="9"/>
    <s v="Medium"/>
    <x v="1"/>
    <x v="4"/>
    <d v="2024-05-05T00:00:00"/>
    <n v="716"/>
    <b v="0"/>
    <b v="0"/>
    <x v="3"/>
    <s v="Express"/>
    <n v="10"/>
  </r>
  <r>
    <s v="74-051-7865"/>
    <x v="24"/>
    <x v="0"/>
    <x v="1"/>
    <s v="Divorced"/>
    <s v="Bachelor's"/>
    <s v="High"/>
    <s v="Deqing"/>
    <x v="15"/>
    <n v="390.44"/>
    <n v="4"/>
    <x v="0"/>
    <n v="5"/>
    <n v="1"/>
    <n v="0"/>
    <s v="Medium"/>
    <s v="Very Sensitive"/>
    <n v="0"/>
    <n v="4"/>
    <s v="High"/>
    <x v="2"/>
    <x v="3"/>
    <d v="2024-02-15T00:00:00"/>
    <n v="796"/>
    <b v="1"/>
    <b v="0"/>
    <x v="0"/>
    <s v="Standard"/>
    <n v="4"/>
  </r>
  <r>
    <s v="40-450-4266"/>
    <x v="14"/>
    <x v="0"/>
    <x v="0"/>
    <s v="Single"/>
    <s v="Bachelor's"/>
    <s v="Middle"/>
    <s v="Sala"/>
    <x v="10"/>
    <n v="61.5"/>
    <n v="11"/>
    <x v="0"/>
    <n v="4"/>
    <n v="2"/>
    <n v="0"/>
    <s v="Medium"/>
    <s v="Very Sensitive"/>
    <n v="0"/>
    <n v="1"/>
    <s v="High"/>
    <x v="1"/>
    <x v="3"/>
    <d v="2024-01-26T00:00:00"/>
    <n v="816"/>
    <b v="1"/>
    <b v="1"/>
    <x v="3"/>
    <s v="Express"/>
    <n v="8"/>
  </r>
  <r>
    <s v="78-796-5651"/>
    <x v="22"/>
    <x v="0"/>
    <x v="0"/>
    <s v="Divorced"/>
    <s v="High School"/>
    <s v="High"/>
    <s v="DÅ‚utÃ³w"/>
    <x v="2"/>
    <n v="234.44"/>
    <n v="6"/>
    <x v="1"/>
    <n v="3"/>
    <n v="5"/>
    <n v="2"/>
    <s v="Medium"/>
    <s v="Very Sensitive"/>
    <n v="0"/>
    <n v="1"/>
    <s v="High"/>
    <x v="2"/>
    <x v="3"/>
    <d v="2024-05-23T00:00:00"/>
    <n v="698"/>
    <b v="0"/>
    <b v="1"/>
    <x v="2"/>
    <s v="Express"/>
    <n v="5"/>
  </r>
  <r>
    <s v="78-163-4800"/>
    <x v="20"/>
    <x v="1"/>
    <x v="0"/>
    <s v="Single"/>
    <s v="Master's"/>
    <s v="Middle"/>
    <s v="Regimin"/>
    <x v="16"/>
    <n v="318.83999999999997"/>
    <n v="6"/>
    <x v="2"/>
    <n v="1"/>
    <n v="1"/>
    <n v="2"/>
    <s v="Low"/>
    <s v="Very Sensitive"/>
    <n v="0"/>
    <n v="4"/>
    <s v="High"/>
    <x v="0"/>
    <x v="3"/>
    <d v="2024-04-20T00:00:00"/>
    <n v="731"/>
    <b v="0"/>
    <b v="1"/>
    <x v="1"/>
    <s v="Standard"/>
    <n v="10"/>
  </r>
  <r>
    <s v="90-272-5701"/>
    <x v="31"/>
    <x v="1"/>
    <x v="0"/>
    <s v="Single"/>
    <s v="Master's"/>
    <s v="High"/>
    <s v="Semiletka"/>
    <x v="16"/>
    <n v="327.32"/>
    <n v="6"/>
    <x v="0"/>
    <n v="4"/>
    <n v="5"/>
    <n v="0"/>
    <s v="None"/>
    <s v="Somewhat Sensitive"/>
    <n v="0"/>
    <n v="4"/>
    <s v="High"/>
    <x v="0"/>
    <x v="3"/>
    <d v="2024-06-09T00:00:00"/>
    <n v="681"/>
    <b v="1"/>
    <b v="1"/>
    <x v="2"/>
    <s v="Express"/>
    <n v="13"/>
  </r>
  <r>
    <s v="14-118-5229"/>
    <x v="8"/>
    <x v="1"/>
    <x v="0"/>
    <s v="Divorced"/>
    <s v="Master's"/>
    <s v="High"/>
    <s v="Dayr Sharaf"/>
    <x v="5"/>
    <n v="475.64"/>
    <n v="3"/>
    <x v="2"/>
    <n v="3"/>
    <n v="4"/>
    <n v="1"/>
    <s v="Low"/>
    <s v="Very Sensitive"/>
    <n v="1"/>
    <n v="2"/>
    <s v="Medium"/>
    <x v="1"/>
    <x v="1"/>
    <d v="2024-02-15T00:00:00"/>
    <n v="796"/>
    <b v="1"/>
    <b v="1"/>
    <x v="3"/>
    <s v="Standard"/>
    <n v="9"/>
  </r>
  <r>
    <s v="24-662-2119"/>
    <x v="26"/>
    <x v="1"/>
    <x v="1"/>
    <s v="Widowed"/>
    <s v="Master's"/>
    <s v="Middle"/>
    <s v="Adani"/>
    <x v="11"/>
    <n v="68.59"/>
    <n v="9"/>
    <x v="0"/>
    <n v="3"/>
    <n v="4"/>
    <n v="0"/>
    <s v="Medium"/>
    <s v="Somewhat Sensitive"/>
    <n v="2"/>
    <n v="5"/>
    <s v="None"/>
    <x v="1"/>
    <x v="1"/>
    <d v="2024-04-18T00:00:00"/>
    <n v="733"/>
    <b v="0"/>
    <b v="1"/>
    <x v="1"/>
    <s v="Standard"/>
    <n v="5"/>
  </r>
  <r>
    <s v="61-794-8438"/>
    <x v="5"/>
    <x v="5"/>
    <x v="0"/>
    <s v="Divorced"/>
    <s v="Bachelor's"/>
    <s v="Middle"/>
    <s v="Rakhiv"/>
    <x v="10"/>
    <n v="133.04"/>
    <n v="12"/>
    <x v="2"/>
    <n v="1"/>
    <n v="3"/>
    <n v="2"/>
    <s v="High"/>
    <s v="Not Sensitive"/>
    <n v="2"/>
    <n v="6"/>
    <s v="None"/>
    <x v="2"/>
    <x v="4"/>
    <d v="2024-07-07T00:00:00"/>
    <n v="653"/>
    <b v="1"/>
    <b v="1"/>
    <x v="2"/>
    <s v="Standard"/>
    <n v="11"/>
  </r>
  <r>
    <s v="21-959-5766"/>
    <x v="2"/>
    <x v="4"/>
    <x v="1"/>
    <s v="Married"/>
    <s v="High School"/>
    <s v="Middle"/>
    <s v="Ma'an"/>
    <x v="8"/>
    <n v="196.63"/>
    <n v="9"/>
    <x v="2"/>
    <n v="4"/>
    <n v="2"/>
    <n v="2"/>
    <s v="Medium"/>
    <s v="Somewhat Sensitive"/>
    <n v="1"/>
    <n v="6"/>
    <s v="Low"/>
    <x v="0"/>
    <x v="3"/>
    <d v="2024-12-15T00:00:00"/>
    <n v="492"/>
    <b v="1"/>
    <b v="0"/>
    <x v="0"/>
    <s v="No Preference"/>
    <n v="7"/>
  </r>
  <r>
    <s v="42-518-2602"/>
    <x v="12"/>
    <x v="1"/>
    <x v="0"/>
    <s v="Divorced"/>
    <s v="Bachelor's"/>
    <s v="High"/>
    <s v="Navoiy"/>
    <x v="3"/>
    <n v="473.96"/>
    <n v="12"/>
    <x v="1"/>
    <n v="2"/>
    <n v="1"/>
    <n v="1"/>
    <s v="Medium"/>
    <s v="Somewhat Sensitive"/>
    <n v="2"/>
    <n v="9"/>
    <s v="None"/>
    <x v="0"/>
    <x v="1"/>
    <d v="2024-07-28T00:00:00"/>
    <n v="632"/>
    <b v="1"/>
    <b v="0"/>
    <x v="2"/>
    <s v="Express"/>
    <n v="14"/>
  </r>
  <r>
    <s v="35-850-8676"/>
    <x v="2"/>
    <x v="0"/>
    <x v="1"/>
    <s v="Married"/>
    <s v="High School"/>
    <s v="Middle"/>
    <s v="Sishilichengzi"/>
    <x v="8"/>
    <n v="472.52"/>
    <n v="8"/>
    <x v="2"/>
    <n v="2"/>
    <n v="4"/>
    <n v="0"/>
    <s v="Low"/>
    <s v="Somewhat Sensitive"/>
    <n v="2"/>
    <n v="8"/>
    <s v="Medium"/>
    <x v="0"/>
    <x v="4"/>
    <d v="2024-01-24T00:00:00"/>
    <n v="818"/>
    <b v="0"/>
    <b v="1"/>
    <x v="3"/>
    <s v="No Preference"/>
    <n v="14"/>
  </r>
  <r>
    <s v="07-958-2231"/>
    <x v="23"/>
    <x v="0"/>
    <x v="0"/>
    <s v="Married"/>
    <s v="Bachelor's"/>
    <s v="Middle"/>
    <s v="Tigaherang"/>
    <x v="15"/>
    <n v="335.8"/>
    <n v="9"/>
    <x v="0"/>
    <n v="3"/>
    <n v="5"/>
    <n v="1"/>
    <s v="None"/>
    <s v="Somewhat Sensitive"/>
    <n v="2"/>
    <n v="7"/>
    <s v="Low"/>
    <x v="1"/>
    <x v="2"/>
    <d v="2024-02-10T00:00:00"/>
    <n v="801"/>
    <b v="1"/>
    <b v="0"/>
    <x v="1"/>
    <s v="Standard"/>
    <n v="5"/>
  </r>
  <r>
    <s v="78-503-0416"/>
    <x v="8"/>
    <x v="1"/>
    <x v="0"/>
    <s v="Single"/>
    <s v="High School"/>
    <s v="High"/>
    <s v="Villa Dolores"/>
    <x v="8"/>
    <n v="85.57"/>
    <n v="12"/>
    <x v="1"/>
    <n v="2"/>
    <n v="1"/>
    <n v="1"/>
    <s v="Low"/>
    <s v="Very Sensitive"/>
    <n v="2"/>
    <n v="4"/>
    <s v="Medium"/>
    <x v="0"/>
    <x v="2"/>
    <d v="2024-08-31T00:00:00"/>
    <n v="598"/>
    <b v="1"/>
    <b v="1"/>
    <x v="3"/>
    <s v="No Preference"/>
    <n v="9"/>
  </r>
  <r>
    <s v="46-167-7999"/>
    <x v="32"/>
    <x v="2"/>
    <x v="0"/>
    <s v="Single"/>
    <s v="Master's"/>
    <s v="Middle"/>
    <s v="PoÃ¡"/>
    <x v="21"/>
    <n v="108.5"/>
    <n v="11"/>
    <x v="0"/>
    <n v="5"/>
    <n v="5"/>
    <n v="0"/>
    <s v="None"/>
    <s v="Very Sensitive"/>
    <n v="1"/>
    <n v="2"/>
    <s v="Medium"/>
    <x v="1"/>
    <x v="1"/>
    <d v="2024-07-16T00:00:00"/>
    <n v="644"/>
    <b v="0"/>
    <b v="0"/>
    <x v="1"/>
    <s v="No Preference"/>
    <n v="10"/>
  </r>
  <r>
    <s v="93-989-8649"/>
    <x v="29"/>
    <x v="1"/>
    <x v="0"/>
    <s v="Divorced"/>
    <s v="Bachelor's"/>
    <s v="Middle"/>
    <s v="Shibushi"/>
    <x v="1"/>
    <n v="172.5"/>
    <n v="8"/>
    <x v="2"/>
    <n v="1"/>
    <n v="3"/>
    <n v="0"/>
    <s v="Medium"/>
    <s v="Somewhat Sensitive"/>
    <n v="0"/>
    <n v="8"/>
    <s v="Low"/>
    <x v="2"/>
    <x v="0"/>
    <d v="2024-07-19T00:00:00"/>
    <n v="641"/>
    <b v="1"/>
    <b v="0"/>
    <x v="2"/>
    <s v="No Preference"/>
    <n v="7"/>
  </r>
  <r>
    <s v="98-130-8811"/>
    <x v="27"/>
    <x v="0"/>
    <x v="1"/>
    <s v="Single"/>
    <s v="High School"/>
    <s v="Middle"/>
    <s v="Tilburg"/>
    <x v="13"/>
    <n v="212.8"/>
    <n v="6"/>
    <x v="0"/>
    <n v="3"/>
    <n v="2"/>
    <n v="2"/>
    <s v="None"/>
    <s v="Very Sensitive"/>
    <n v="1"/>
    <n v="7"/>
    <s v="High"/>
    <x v="0"/>
    <x v="0"/>
    <d v="2024-05-17T00:00:00"/>
    <n v="704"/>
    <b v="1"/>
    <b v="1"/>
    <x v="3"/>
    <s v="Standard"/>
    <n v="1"/>
  </r>
  <r>
    <s v="18-614-2070"/>
    <x v="26"/>
    <x v="0"/>
    <x v="0"/>
    <s v="Married"/>
    <s v="Bachelor's"/>
    <s v="High"/>
    <s v="Ugra"/>
    <x v="15"/>
    <n v="324.41000000000003"/>
    <n v="7"/>
    <x v="0"/>
    <n v="4"/>
    <n v="4"/>
    <n v="1"/>
    <s v="None"/>
    <s v="Not Sensitive"/>
    <n v="0"/>
    <n v="5"/>
    <s v="Medium"/>
    <x v="0"/>
    <x v="2"/>
    <d v="2024-04-29T00:00:00"/>
    <n v="722"/>
    <b v="1"/>
    <b v="1"/>
    <x v="0"/>
    <s v="No Preference"/>
    <n v="4"/>
  </r>
  <r>
    <s v="80-277-3242"/>
    <x v="15"/>
    <x v="1"/>
    <x v="1"/>
    <s v="Widowed"/>
    <s v="High School"/>
    <s v="Middle"/>
    <s v="Montreuil"/>
    <x v="22"/>
    <n v="342.39"/>
    <n v="8"/>
    <x v="1"/>
    <n v="1"/>
    <n v="5"/>
    <n v="2"/>
    <s v="Low"/>
    <s v="Very Sensitive"/>
    <n v="2"/>
    <n v="3"/>
    <s v="High"/>
    <x v="2"/>
    <x v="3"/>
    <d v="2024-01-04T00:00:00"/>
    <n v="838"/>
    <b v="0"/>
    <b v="0"/>
    <x v="0"/>
    <s v="Standard"/>
    <n v="9"/>
  </r>
  <r>
    <s v="44-949-9040"/>
    <x v="25"/>
    <x v="0"/>
    <x v="1"/>
    <s v="Divorced"/>
    <s v="Bachelor's"/>
    <s v="High"/>
    <s v="Garibaldi"/>
    <x v="10"/>
    <n v="446.86"/>
    <n v="9"/>
    <x v="1"/>
    <n v="2"/>
    <n v="1"/>
    <n v="2"/>
    <s v="None"/>
    <s v="Very Sensitive"/>
    <n v="0"/>
    <n v="2"/>
    <s v="Medium"/>
    <x v="2"/>
    <x v="1"/>
    <d v="2024-11-07T00:00:00"/>
    <n v="530"/>
    <b v="0"/>
    <b v="0"/>
    <x v="1"/>
    <s v="No Preference"/>
    <n v="5"/>
  </r>
  <r>
    <s v="04-545-9162"/>
    <x v="1"/>
    <x v="1"/>
    <x v="1"/>
    <s v="Divorced"/>
    <s v="Master's"/>
    <s v="High"/>
    <s v="Tiang"/>
    <x v="13"/>
    <n v="463.15"/>
    <n v="3"/>
    <x v="0"/>
    <n v="1"/>
    <n v="1"/>
    <n v="1"/>
    <s v="None"/>
    <s v="Somewhat Sensitive"/>
    <n v="1"/>
    <n v="9"/>
    <s v="High"/>
    <x v="1"/>
    <x v="2"/>
    <d v="2024-04-25T00:00:00"/>
    <n v="726"/>
    <b v="1"/>
    <b v="1"/>
    <x v="0"/>
    <s v="Standard"/>
    <n v="9"/>
  </r>
  <r>
    <s v="51-320-2801"/>
    <x v="23"/>
    <x v="0"/>
    <x v="1"/>
    <s v="Divorced"/>
    <s v="Bachelor's"/>
    <s v="High"/>
    <s v="Mouquim"/>
    <x v="19"/>
    <n v="122.99"/>
    <n v="12"/>
    <x v="1"/>
    <n v="1"/>
    <n v="5"/>
    <n v="1"/>
    <s v="High"/>
    <s v="Very Sensitive"/>
    <n v="1"/>
    <n v="8"/>
    <s v="None"/>
    <x v="2"/>
    <x v="4"/>
    <d v="2024-10-03T00:00:00"/>
    <n v="565"/>
    <b v="1"/>
    <b v="0"/>
    <x v="3"/>
    <s v="No Preference"/>
    <n v="1"/>
  </r>
  <r>
    <s v="50-510-5119"/>
    <x v="20"/>
    <x v="1"/>
    <x v="1"/>
    <s v="Widowed"/>
    <s v="Master's"/>
    <s v="High"/>
    <s v="Montecristi"/>
    <x v="21"/>
    <n v="322.39999999999998"/>
    <n v="7"/>
    <x v="0"/>
    <n v="4"/>
    <n v="2"/>
    <n v="1"/>
    <s v="Medium"/>
    <s v="Very Sensitive"/>
    <n v="2"/>
    <n v="3"/>
    <s v="Medium"/>
    <x v="0"/>
    <x v="4"/>
    <d v="2024-08-07T00:00:00"/>
    <n v="622"/>
    <b v="1"/>
    <b v="1"/>
    <x v="0"/>
    <s v="Express"/>
    <n v="2"/>
  </r>
  <r>
    <s v="63-964-6954"/>
    <x v="24"/>
    <x v="0"/>
    <x v="1"/>
    <s v="Married"/>
    <s v="High School"/>
    <s v="Middle"/>
    <s v="Prince Albert"/>
    <x v="10"/>
    <n v="73.19"/>
    <n v="5"/>
    <x v="0"/>
    <n v="2"/>
    <n v="5"/>
    <n v="1"/>
    <s v="Low"/>
    <s v="Not Sensitive"/>
    <n v="2"/>
    <n v="8"/>
    <s v="High"/>
    <x v="1"/>
    <x v="1"/>
    <d v="2024-04-11T00:00:00"/>
    <n v="740"/>
    <b v="0"/>
    <b v="1"/>
    <x v="0"/>
    <s v="No Preference"/>
    <n v="3"/>
  </r>
  <r>
    <s v="55-569-9247"/>
    <x v="30"/>
    <x v="0"/>
    <x v="0"/>
    <s v="Married"/>
    <s v="Master's"/>
    <s v="High"/>
    <s v="GÃ¶teborg"/>
    <x v="16"/>
    <n v="279.08"/>
    <n v="10"/>
    <x v="2"/>
    <n v="4"/>
    <n v="2"/>
    <n v="1"/>
    <s v="High"/>
    <s v="Not Sensitive"/>
    <n v="2"/>
    <n v="7"/>
    <s v="Medium"/>
    <x v="1"/>
    <x v="0"/>
    <d v="2024-04-25T00:00:00"/>
    <n v="726"/>
    <b v="0"/>
    <b v="1"/>
    <x v="1"/>
    <s v="No Preference"/>
    <n v="3"/>
  </r>
  <r>
    <s v="02-911-0447"/>
    <x v="3"/>
    <x v="0"/>
    <x v="0"/>
    <s v="Single"/>
    <s v="High School"/>
    <s v="Middle"/>
    <s v="ZajeÄov"/>
    <x v="22"/>
    <n v="478.85"/>
    <n v="10"/>
    <x v="1"/>
    <n v="4"/>
    <n v="2"/>
    <n v="2"/>
    <s v="None"/>
    <s v="Not Sensitive"/>
    <n v="2"/>
    <n v="2"/>
    <s v="None"/>
    <x v="2"/>
    <x v="4"/>
    <d v="2024-04-28T00:00:00"/>
    <n v="723"/>
    <b v="0"/>
    <b v="0"/>
    <x v="3"/>
    <s v="No Preference"/>
    <n v="4"/>
  </r>
  <r>
    <s v="77-626-7240"/>
    <x v="8"/>
    <x v="1"/>
    <x v="1"/>
    <s v="Widowed"/>
    <s v="Master's"/>
    <s v="High"/>
    <s v="Liushun"/>
    <x v="1"/>
    <n v="86.39"/>
    <n v="5"/>
    <x v="0"/>
    <n v="4"/>
    <n v="5"/>
    <n v="1"/>
    <s v="High"/>
    <s v="Somewhat Sensitive"/>
    <n v="1"/>
    <n v="1"/>
    <s v="Medium"/>
    <x v="2"/>
    <x v="2"/>
    <d v="2024-09-09T00:00:00"/>
    <n v="589"/>
    <b v="0"/>
    <b v="0"/>
    <x v="0"/>
    <s v="Standard"/>
    <n v="7"/>
  </r>
  <r>
    <s v="75-915-9803"/>
    <x v="5"/>
    <x v="1"/>
    <x v="1"/>
    <s v="Widowed"/>
    <s v="Bachelor's"/>
    <s v="Middle"/>
    <s v="Sancha"/>
    <x v="15"/>
    <n v="192.35"/>
    <n v="11"/>
    <x v="0"/>
    <n v="3"/>
    <n v="5"/>
    <n v="2"/>
    <s v="High"/>
    <s v="Not Sensitive"/>
    <n v="2"/>
    <n v="1"/>
    <s v="High"/>
    <x v="1"/>
    <x v="0"/>
    <d v="2024-05-08T00:00:00"/>
    <n v="713"/>
    <b v="1"/>
    <b v="0"/>
    <x v="2"/>
    <s v="Express"/>
    <n v="11"/>
  </r>
  <r>
    <s v="78-905-2660"/>
    <x v="15"/>
    <x v="0"/>
    <x v="0"/>
    <s v="Divorced"/>
    <s v="Bachelor's"/>
    <s v="High"/>
    <s v="Damnoen Saduak"/>
    <x v="21"/>
    <n v="235.32"/>
    <n v="7"/>
    <x v="2"/>
    <n v="2"/>
    <n v="1"/>
    <n v="1"/>
    <s v="Medium"/>
    <s v="Very Sensitive"/>
    <n v="1"/>
    <n v="10"/>
    <s v="High"/>
    <x v="2"/>
    <x v="1"/>
    <d v="2024-06-09T00:00:00"/>
    <n v="681"/>
    <b v="0"/>
    <b v="1"/>
    <x v="2"/>
    <s v="Express"/>
    <n v="11"/>
  </r>
  <r>
    <s v="02-677-6735"/>
    <x v="6"/>
    <x v="0"/>
    <x v="1"/>
    <s v="Widowed"/>
    <s v="High School"/>
    <s v="High"/>
    <s v="Cianorte"/>
    <x v="13"/>
    <n v="212.63"/>
    <n v="8"/>
    <x v="2"/>
    <n v="4"/>
    <n v="2"/>
    <n v="1"/>
    <s v="Low"/>
    <s v="Very Sensitive"/>
    <n v="0"/>
    <n v="4"/>
    <s v="High"/>
    <x v="2"/>
    <x v="2"/>
    <d v="2024-08-27T00:00:00"/>
    <n v="602"/>
    <b v="0"/>
    <b v="1"/>
    <x v="0"/>
    <s v="No Preference"/>
    <n v="6"/>
  </r>
  <r>
    <s v="20-460-9796"/>
    <x v="26"/>
    <x v="0"/>
    <x v="0"/>
    <s v="Widowed"/>
    <s v="Master's"/>
    <s v="High"/>
    <s v="Liuzuo"/>
    <x v="1"/>
    <n v="246.63"/>
    <n v="8"/>
    <x v="1"/>
    <n v="2"/>
    <n v="3"/>
    <n v="1"/>
    <s v="None"/>
    <s v="Somewhat Sensitive"/>
    <n v="2"/>
    <n v="3"/>
    <s v="None"/>
    <x v="0"/>
    <x v="0"/>
    <d v="2024-04-01T00:00:00"/>
    <n v="750"/>
    <b v="1"/>
    <b v="0"/>
    <x v="2"/>
    <s v="Express"/>
    <n v="10"/>
  </r>
  <r>
    <s v="57-587-4005"/>
    <x v="29"/>
    <x v="0"/>
    <x v="0"/>
    <s v="Widowed"/>
    <s v="Bachelor's"/>
    <s v="High"/>
    <s v="Pameungpeuk"/>
    <x v="16"/>
    <n v="228.47"/>
    <n v="9"/>
    <x v="2"/>
    <n v="3"/>
    <n v="3"/>
    <n v="1"/>
    <s v="None"/>
    <s v="Very Sensitive"/>
    <n v="1"/>
    <n v="7"/>
    <s v="None"/>
    <x v="2"/>
    <x v="0"/>
    <d v="2024-08-29T00:00:00"/>
    <n v="600"/>
    <b v="0"/>
    <b v="1"/>
    <x v="2"/>
    <s v="Express"/>
    <n v="12"/>
  </r>
  <r>
    <s v="99-477-8256"/>
    <x v="8"/>
    <x v="0"/>
    <x v="0"/>
    <s v="Single"/>
    <s v="Master's"/>
    <s v="High"/>
    <s v="KÄshmar"/>
    <x v="0"/>
    <n v="343.77"/>
    <n v="6"/>
    <x v="2"/>
    <n v="4"/>
    <n v="3"/>
    <n v="2"/>
    <s v="Low"/>
    <s v="Somewhat Sensitive"/>
    <n v="2"/>
    <n v="9"/>
    <s v="High"/>
    <x v="2"/>
    <x v="4"/>
    <d v="2024-09-18T00:00:00"/>
    <n v="580"/>
    <b v="1"/>
    <b v="1"/>
    <x v="1"/>
    <s v="Express"/>
    <n v="6"/>
  </r>
  <r>
    <s v="03-992-3728"/>
    <x v="29"/>
    <x v="2"/>
    <x v="0"/>
    <s v="Married"/>
    <s v="Bachelor's"/>
    <s v="High"/>
    <s v="â€˜Arad"/>
    <x v="19"/>
    <n v="339.32"/>
    <n v="9"/>
    <x v="1"/>
    <n v="2"/>
    <n v="4"/>
    <n v="0"/>
    <s v="Medium"/>
    <s v="Very Sensitive"/>
    <n v="1"/>
    <n v="4"/>
    <s v="High"/>
    <x v="0"/>
    <x v="3"/>
    <d v="2024-09-05T00:00:00"/>
    <n v="593"/>
    <b v="0"/>
    <b v="0"/>
    <x v="0"/>
    <s v="No Preference"/>
    <n v="7"/>
  </r>
  <r>
    <s v="24-878-4507"/>
    <x v="10"/>
    <x v="1"/>
    <x v="1"/>
    <s v="Divorced"/>
    <s v="Bachelor's"/>
    <s v="Middle"/>
    <s v="Lenart v Slov. Goricah"/>
    <x v="20"/>
    <n v="327.05"/>
    <n v="9"/>
    <x v="0"/>
    <n v="5"/>
    <n v="4"/>
    <n v="0"/>
    <s v="Low"/>
    <s v="Somewhat Sensitive"/>
    <n v="2"/>
    <n v="3"/>
    <s v="High"/>
    <x v="2"/>
    <x v="4"/>
    <d v="2024-08-06T00:00:00"/>
    <n v="623"/>
    <b v="0"/>
    <b v="1"/>
    <x v="0"/>
    <s v="No Preference"/>
    <n v="7"/>
  </r>
  <r>
    <s v="22-106-8347"/>
    <x v="18"/>
    <x v="1"/>
    <x v="1"/>
    <s v="Divorced"/>
    <s v="Master's"/>
    <s v="Middle"/>
    <s v="Bigaa"/>
    <x v="16"/>
    <n v="334.45"/>
    <n v="2"/>
    <x v="1"/>
    <n v="2"/>
    <n v="5"/>
    <n v="0"/>
    <s v="Medium"/>
    <s v="Not Sensitive"/>
    <n v="2"/>
    <n v="9"/>
    <s v="High"/>
    <x v="0"/>
    <x v="0"/>
    <d v="2024-06-18T00:00:00"/>
    <n v="672"/>
    <b v="1"/>
    <b v="0"/>
    <x v="2"/>
    <s v="No Preference"/>
    <n v="6"/>
  </r>
  <r>
    <s v="81-479-0790"/>
    <x v="24"/>
    <x v="1"/>
    <x v="1"/>
    <s v="Single"/>
    <s v="Bachelor's"/>
    <s v="Middle"/>
    <s v="Guadalupe"/>
    <x v="1"/>
    <n v="366.16"/>
    <n v="12"/>
    <x v="0"/>
    <n v="4"/>
    <n v="4"/>
    <n v="2"/>
    <s v="Medium"/>
    <s v="Somewhat Sensitive"/>
    <n v="1"/>
    <n v="5"/>
    <s v="Low"/>
    <x v="2"/>
    <x v="0"/>
    <d v="2024-08-26T00:00:00"/>
    <n v="603"/>
    <b v="0"/>
    <b v="0"/>
    <x v="0"/>
    <s v="No Preference"/>
    <n v="4"/>
  </r>
  <r>
    <s v="03-023-9932"/>
    <x v="14"/>
    <x v="0"/>
    <x v="1"/>
    <s v="Widowed"/>
    <s v="Bachelor's"/>
    <s v="Middle"/>
    <s v="Xiaruyue"/>
    <x v="19"/>
    <n v="481.78"/>
    <n v="8"/>
    <x v="1"/>
    <n v="5"/>
    <n v="2"/>
    <n v="0"/>
    <s v="Medium"/>
    <s v="Very Sensitive"/>
    <n v="2"/>
    <n v="4"/>
    <s v="Low"/>
    <x v="0"/>
    <x v="2"/>
    <d v="2024-04-24T00:00:00"/>
    <n v="727"/>
    <b v="1"/>
    <b v="1"/>
    <x v="1"/>
    <s v="Express"/>
    <n v="1"/>
  </r>
  <r>
    <s v="36-632-2460"/>
    <x v="25"/>
    <x v="0"/>
    <x v="1"/>
    <s v="Widowed"/>
    <s v="Bachelor's"/>
    <s v="Middle"/>
    <s v="Gweedore"/>
    <x v="0"/>
    <n v="131.47999999999999"/>
    <n v="8"/>
    <x v="0"/>
    <n v="3"/>
    <n v="5"/>
    <n v="0"/>
    <s v="None"/>
    <s v="Somewhat Sensitive"/>
    <n v="2"/>
    <n v="1"/>
    <s v="Low"/>
    <x v="0"/>
    <x v="0"/>
    <d v="2024-08-08T00:00:00"/>
    <n v="621"/>
    <b v="1"/>
    <b v="1"/>
    <x v="1"/>
    <s v="No Preference"/>
    <n v="12"/>
  </r>
  <r>
    <s v="32-799-7704"/>
    <x v="10"/>
    <x v="0"/>
    <x v="1"/>
    <s v="Widowed"/>
    <s v="Master's"/>
    <s v="High"/>
    <s v="Przelewice"/>
    <x v="10"/>
    <n v="402.86"/>
    <n v="11"/>
    <x v="1"/>
    <n v="3"/>
    <n v="5"/>
    <n v="1"/>
    <s v="High"/>
    <s v="Not Sensitive"/>
    <n v="0"/>
    <n v="2"/>
    <s v="None"/>
    <x v="2"/>
    <x v="4"/>
    <d v="2024-09-05T00:00:00"/>
    <n v="593"/>
    <b v="0"/>
    <b v="0"/>
    <x v="2"/>
    <s v="Standard"/>
    <n v="8"/>
  </r>
  <r>
    <s v="09-369-0588"/>
    <x v="21"/>
    <x v="1"/>
    <x v="1"/>
    <s v="Single"/>
    <s v="Bachelor's"/>
    <s v="Middle"/>
    <s v="Dalumangcob"/>
    <x v="0"/>
    <n v="333.18"/>
    <n v="6"/>
    <x v="1"/>
    <n v="1"/>
    <n v="1"/>
    <n v="0"/>
    <s v="Medium"/>
    <s v="Very Sensitive"/>
    <n v="2"/>
    <n v="5"/>
    <s v="Low"/>
    <x v="1"/>
    <x v="3"/>
    <d v="2024-04-16T00:00:00"/>
    <n v="735"/>
    <b v="1"/>
    <b v="0"/>
    <x v="3"/>
    <s v="Express"/>
    <n v="8"/>
  </r>
  <r>
    <s v="87-727-6434"/>
    <x v="31"/>
    <x v="0"/>
    <x v="1"/>
    <s v="Widowed"/>
    <s v="Master's"/>
    <s v="Middle"/>
    <s v="Cravo Norte"/>
    <x v="17"/>
    <n v="73.23"/>
    <n v="8"/>
    <x v="2"/>
    <n v="2"/>
    <n v="2"/>
    <n v="2"/>
    <s v="Low"/>
    <s v="Very Sensitive"/>
    <n v="1"/>
    <n v="2"/>
    <s v="Low"/>
    <x v="1"/>
    <x v="0"/>
    <d v="2024-07-17T00:00:00"/>
    <n v="643"/>
    <b v="1"/>
    <b v="1"/>
    <x v="0"/>
    <s v="No Preference"/>
    <n v="6"/>
  </r>
  <r>
    <s v="18-793-9543"/>
    <x v="31"/>
    <x v="1"/>
    <x v="1"/>
    <s v="Divorced"/>
    <s v="Master's"/>
    <s v="Middle"/>
    <s v="MonterÃ­a"/>
    <x v="4"/>
    <n v="450.47"/>
    <n v="11"/>
    <x v="2"/>
    <n v="5"/>
    <n v="2"/>
    <n v="2"/>
    <s v="None"/>
    <s v="Not Sensitive"/>
    <n v="2"/>
    <n v="3"/>
    <s v="None"/>
    <x v="1"/>
    <x v="0"/>
    <d v="2024-03-18T00:00:00"/>
    <n v="764"/>
    <b v="1"/>
    <b v="1"/>
    <x v="1"/>
    <s v="Express"/>
    <n v="10"/>
  </r>
  <r>
    <s v="63-625-5757"/>
    <x v="4"/>
    <x v="1"/>
    <x v="0"/>
    <s v="Single"/>
    <s v="High School"/>
    <s v="High"/>
    <s v="Mikunâ€™"/>
    <x v="1"/>
    <n v="175.74"/>
    <n v="5"/>
    <x v="2"/>
    <n v="5"/>
    <n v="4"/>
    <n v="1"/>
    <s v="Medium"/>
    <s v="Not Sensitive"/>
    <n v="0"/>
    <n v="6"/>
    <s v="None"/>
    <x v="0"/>
    <x v="4"/>
    <d v="2024-07-18T00:00:00"/>
    <n v="642"/>
    <b v="0"/>
    <b v="1"/>
    <x v="2"/>
    <s v="No Preference"/>
    <n v="6"/>
  </r>
  <r>
    <s v="93-413-4758"/>
    <x v="16"/>
    <x v="0"/>
    <x v="0"/>
    <s v="Single"/>
    <s v="Master's"/>
    <s v="High"/>
    <s v="Samamiya"/>
    <x v="11"/>
    <n v="182.6"/>
    <n v="4"/>
    <x v="2"/>
    <n v="5"/>
    <n v="2"/>
    <n v="0.3"/>
    <s v="Low"/>
    <s v="Not Sensitive"/>
    <n v="2"/>
    <n v="9"/>
    <s v="High"/>
    <x v="0"/>
    <x v="1"/>
    <d v="2024-05-31T00:00:00"/>
    <n v="690"/>
    <b v="0"/>
    <b v="1"/>
    <x v="1"/>
    <s v="Express"/>
    <n v="5"/>
  </r>
  <r>
    <s v="15-663-7994"/>
    <x v="28"/>
    <x v="0"/>
    <x v="0"/>
    <s v="Widowed"/>
    <s v="Bachelor's"/>
    <s v="High"/>
    <s v="Tanahmerah"/>
    <x v="23"/>
    <n v="497.8"/>
    <n v="2"/>
    <x v="2"/>
    <n v="3"/>
    <n v="5"/>
    <n v="0.2"/>
    <s v="High"/>
    <s v="Somewhat Sensitive"/>
    <n v="1"/>
    <n v="2"/>
    <s v="Medium"/>
    <x v="1"/>
    <x v="3"/>
    <d v="2024-01-21T00:00:00"/>
    <n v="821"/>
    <b v="1"/>
    <b v="0"/>
    <x v="1"/>
    <s v="No Preference"/>
    <n v="9"/>
  </r>
  <r>
    <s v="29-319-4519"/>
    <x v="11"/>
    <x v="1"/>
    <x v="1"/>
    <s v="Divorced"/>
    <s v="High School"/>
    <s v="High"/>
    <s v="Ã–rebro"/>
    <x v="1"/>
    <n v="171.17"/>
    <n v="4"/>
    <x v="1"/>
    <n v="1"/>
    <n v="3"/>
    <n v="0"/>
    <s v="High"/>
    <s v="Somewhat Sensitive"/>
    <n v="0"/>
    <n v="4"/>
    <s v="Medium"/>
    <x v="2"/>
    <x v="2"/>
    <d v="2024-06-15T00:00:00"/>
    <n v="675"/>
    <b v="0"/>
    <b v="1"/>
    <x v="1"/>
    <s v="Standard"/>
    <n v="12"/>
  </r>
  <r>
    <s v="40-347-2903"/>
    <x v="23"/>
    <x v="0"/>
    <x v="0"/>
    <s v="Single"/>
    <s v="Bachelor's"/>
    <s v="High"/>
    <s v="Kefar Yona"/>
    <x v="23"/>
    <n v="425.82"/>
    <n v="3"/>
    <x v="1"/>
    <n v="4"/>
    <n v="5"/>
    <n v="1"/>
    <s v="Low"/>
    <s v="Not Sensitive"/>
    <n v="1"/>
    <n v="6"/>
    <s v="High"/>
    <x v="1"/>
    <x v="4"/>
    <d v="2024-04-19T00:00:00"/>
    <n v="732"/>
    <b v="1"/>
    <b v="1"/>
    <x v="1"/>
    <s v="Standard"/>
    <n v="11"/>
  </r>
  <r>
    <s v="18-452-1635"/>
    <x v="24"/>
    <x v="0"/>
    <x v="0"/>
    <s v="Widowed"/>
    <s v="Bachelor's"/>
    <s v="Middle"/>
    <s v="Pasto"/>
    <x v="6"/>
    <n v="210.58"/>
    <n v="10"/>
    <x v="1"/>
    <n v="5"/>
    <n v="1"/>
    <n v="2"/>
    <s v="Low"/>
    <s v="Somewhat Sensitive"/>
    <n v="1"/>
    <n v="3"/>
    <s v="Low"/>
    <x v="0"/>
    <x v="2"/>
    <d v="2024-09-12T00:00:00"/>
    <n v="586"/>
    <b v="1"/>
    <b v="1"/>
    <x v="3"/>
    <s v="No Preference"/>
    <n v="8"/>
  </r>
  <r>
    <s v="47-710-5471"/>
    <x v="17"/>
    <x v="1"/>
    <x v="0"/>
    <s v="Single"/>
    <s v="High School"/>
    <s v="Middle"/>
    <s v="Huangtan"/>
    <x v="21"/>
    <n v="199.64"/>
    <n v="11"/>
    <x v="2"/>
    <n v="5"/>
    <n v="4"/>
    <n v="1"/>
    <s v="High"/>
    <s v="Somewhat Sensitive"/>
    <n v="1"/>
    <n v="5"/>
    <s v="High"/>
    <x v="2"/>
    <x v="1"/>
    <d v="2024-09-04T00:00:00"/>
    <n v="594"/>
    <b v="0"/>
    <b v="1"/>
    <x v="3"/>
    <s v="Express"/>
    <n v="8"/>
  </r>
  <r>
    <s v="88-167-7129"/>
    <x v="13"/>
    <x v="5"/>
    <x v="1"/>
    <s v="Married"/>
    <s v="Bachelor's"/>
    <s v="Middle"/>
    <s v="Ilâ€™inskiy"/>
    <x v="12"/>
    <n v="162.22"/>
    <n v="10"/>
    <x v="1"/>
    <n v="5"/>
    <n v="5"/>
    <n v="0.2"/>
    <s v="High"/>
    <s v="Somewhat Sensitive"/>
    <n v="1"/>
    <n v="1"/>
    <s v="Medium"/>
    <x v="2"/>
    <x v="3"/>
    <d v="2024-04-28T00:00:00"/>
    <n v="723"/>
    <b v="1"/>
    <b v="1"/>
    <x v="1"/>
    <s v="No Preference"/>
    <n v="8"/>
  </r>
  <r>
    <s v="86-771-9082"/>
    <x v="28"/>
    <x v="1"/>
    <x v="1"/>
    <s v="Married"/>
    <s v="Bachelor's"/>
    <s v="High"/>
    <s v="Ugljevik"/>
    <x v="6"/>
    <n v="401.75"/>
    <n v="8"/>
    <x v="2"/>
    <n v="3"/>
    <n v="4"/>
    <n v="0.3"/>
    <s v="None"/>
    <s v="Somewhat Sensitive"/>
    <n v="1"/>
    <n v="8"/>
    <s v="High"/>
    <x v="1"/>
    <x v="1"/>
    <d v="2024-12-08T00:00:00"/>
    <n v="499"/>
    <b v="0"/>
    <b v="1"/>
    <x v="1"/>
    <s v="Standard"/>
    <n v="6"/>
  </r>
  <r>
    <s v="46-678-4172"/>
    <x v="2"/>
    <x v="0"/>
    <x v="0"/>
    <s v="Married"/>
    <s v="Master's"/>
    <s v="Middle"/>
    <s v="Na Chaluai"/>
    <x v="8"/>
    <n v="365.88"/>
    <n v="12"/>
    <x v="2"/>
    <n v="3"/>
    <n v="3"/>
    <n v="2"/>
    <s v="Medium"/>
    <s v="Very Sensitive"/>
    <n v="0"/>
    <n v="9"/>
    <s v="High"/>
    <x v="1"/>
    <x v="3"/>
    <d v="2024-11-05T00:00:00"/>
    <n v="532"/>
    <b v="1"/>
    <b v="0"/>
    <x v="0"/>
    <s v="Express"/>
    <n v="7"/>
  </r>
  <r>
    <s v="14-249-1256"/>
    <x v="19"/>
    <x v="1"/>
    <x v="0"/>
    <s v="Single"/>
    <s v="High School"/>
    <s v="Middle"/>
    <s v="Marolambo"/>
    <x v="21"/>
    <n v="58.29"/>
    <n v="6"/>
    <x v="0"/>
    <n v="2"/>
    <n v="3"/>
    <n v="2"/>
    <s v="Medium"/>
    <s v="Somewhat Sensitive"/>
    <n v="1"/>
    <n v="7"/>
    <s v="Low"/>
    <x v="0"/>
    <x v="3"/>
    <d v="2024-02-13T00:00:00"/>
    <n v="798"/>
    <b v="0"/>
    <b v="1"/>
    <x v="2"/>
    <s v="Standard"/>
    <n v="14"/>
  </r>
  <r>
    <s v="75-617-1460"/>
    <x v="17"/>
    <x v="1"/>
    <x v="1"/>
    <s v="Married"/>
    <s v="Master's"/>
    <s v="High"/>
    <s v="WiwilÃ­"/>
    <x v="18"/>
    <n v="66.86"/>
    <n v="3"/>
    <x v="0"/>
    <n v="1"/>
    <n v="1"/>
    <n v="1"/>
    <s v="Medium"/>
    <s v="Very Sensitive"/>
    <n v="0"/>
    <n v="10"/>
    <s v="Medium"/>
    <x v="2"/>
    <x v="3"/>
    <d v="2024-01-25T00:00:00"/>
    <n v="817"/>
    <b v="1"/>
    <b v="1"/>
    <x v="1"/>
    <s v="Express"/>
    <n v="9"/>
  </r>
  <r>
    <s v="10-247-0192"/>
    <x v="3"/>
    <x v="0"/>
    <x v="1"/>
    <s v="Single"/>
    <s v="Bachelor's"/>
    <s v="Middle"/>
    <s v="Cali"/>
    <x v="19"/>
    <n v="279.33999999999997"/>
    <n v="5"/>
    <x v="0"/>
    <n v="3"/>
    <n v="1"/>
    <n v="0"/>
    <s v="Medium"/>
    <s v="Very Sensitive"/>
    <n v="2"/>
    <n v="6"/>
    <s v="Low"/>
    <x v="0"/>
    <x v="1"/>
    <d v="2024-08-22T00:00:00"/>
    <n v="607"/>
    <b v="0"/>
    <b v="1"/>
    <x v="1"/>
    <s v="No Preference"/>
    <n v="11"/>
  </r>
  <r>
    <s v="94-120-9525"/>
    <x v="10"/>
    <x v="3"/>
    <x v="1"/>
    <s v="Divorced"/>
    <s v="Bachelor's"/>
    <s v="High"/>
    <s v="Tamana"/>
    <x v="13"/>
    <n v="358.5"/>
    <n v="3"/>
    <x v="2"/>
    <n v="3"/>
    <n v="4"/>
    <n v="2"/>
    <s v="Medium"/>
    <s v="Very Sensitive"/>
    <n v="2"/>
    <n v="3"/>
    <s v="None"/>
    <x v="0"/>
    <x v="4"/>
    <d v="2024-11-14T00:00:00"/>
    <n v="523"/>
    <b v="0"/>
    <b v="1"/>
    <x v="2"/>
    <s v="Standard"/>
    <n v="8"/>
  </r>
  <r>
    <s v="22-234-9315"/>
    <x v="32"/>
    <x v="0"/>
    <x v="1"/>
    <s v="Widowed"/>
    <s v="Bachelor's"/>
    <s v="High"/>
    <s v="Miyazu"/>
    <x v="23"/>
    <n v="360.92"/>
    <n v="7"/>
    <x v="2"/>
    <n v="2"/>
    <n v="1"/>
    <n v="2"/>
    <s v="None"/>
    <s v="Very Sensitive"/>
    <n v="0"/>
    <n v="9"/>
    <s v="Low"/>
    <x v="1"/>
    <x v="1"/>
    <d v="2024-11-10T00:00:00"/>
    <n v="527"/>
    <b v="0"/>
    <b v="1"/>
    <x v="2"/>
    <s v="Standard"/>
    <n v="8"/>
  </r>
  <r>
    <s v="37-560-7247"/>
    <x v="9"/>
    <x v="7"/>
    <x v="0"/>
    <s v="Married"/>
    <s v="Master's"/>
    <s v="High"/>
    <s v="GryfÃ³w ÅšlÄ…ski"/>
    <x v="19"/>
    <n v="374.36"/>
    <n v="4"/>
    <x v="2"/>
    <n v="2"/>
    <n v="2"/>
    <n v="0"/>
    <s v="None"/>
    <s v="Somewhat Sensitive"/>
    <n v="1"/>
    <n v="9"/>
    <s v="None"/>
    <x v="1"/>
    <x v="3"/>
    <d v="2024-10-03T00:00:00"/>
    <n v="565"/>
    <b v="0"/>
    <b v="0"/>
    <x v="1"/>
    <s v="Standard"/>
    <n v="1"/>
  </r>
  <r>
    <s v="91-857-0797"/>
    <x v="0"/>
    <x v="3"/>
    <x v="1"/>
    <s v="Widowed"/>
    <s v="High School"/>
    <s v="Middle"/>
    <s v="Pinagsibaan"/>
    <x v="15"/>
    <n v="435.37"/>
    <n v="11"/>
    <x v="2"/>
    <n v="4"/>
    <n v="2"/>
    <n v="1"/>
    <s v="Low"/>
    <s v="Very Sensitive"/>
    <n v="0"/>
    <n v="3"/>
    <s v="High"/>
    <x v="0"/>
    <x v="0"/>
    <d v="2024-08-30T00:00:00"/>
    <n v="599"/>
    <b v="1"/>
    <b v="1"/>
    <x v="3"/>
    <s v="Standard"/>
    <n v="4"/>
  </r>
  <r>
    <s v="19-344-0102"/>
    <x v="32"/>
    <x v="1"/>
    <x v="1"/>
    <s v="Single"/>
    <s v="Master's"/>
    <s v="High"/>
    <s v="Jardin"/>
    <x v="3"/>
    <n v="459.3"/>
    <n v="9"/>
    <x v="2"/>
    <n v="4"/>
    <n v="4"/>
    <n v="1"/>
    <s v="None"/>
    <s v="Somewhat Sensitive"/>
    <n v="2"/>
    <n v="5"/>
    <s v="Medium"/>
    <x v="2"/>
    <x v="3"/>
    <d v="2024-10-09T00:00:00"/>
    <n v="559"/>
    <b v="0"/>
    <b v="1"/>
    <x v="3"/>
    <s v="No Preference"/>
    <n v="1"/>
  </r>
  <r>
    <s v="48-609-7715"/>
    <x v="20"/>
    <x v="0"/>
    <x v="1"/>
    <s v="Divorced"/>
    <s v="Master's"/>
    <s v="Middle"/>
    <s v="Aguilares"/>
    <x v="23"/>
    <n v="426.89"/>
    <n v="2"/>
    <x v="0"/>
    <n v="5"/>
    <n v="1"/>
    <n v="1"/>
    <s v="High"/>
    <s v="Not Sensitive"/>
    <n v="1"/>
    <n v="3"/>
    <s v="Low"/>
    <x v="1"/>
    <x v="1"/>
    <d v="2024-11-02T00:00:00"/>
    <n v="535"/>
    <b v="1"/>
    <b v="0"/>
    <x v="1"/>
    <s v="Express"/>
    <n v="10"/>
  </r>
  <r>
    <s v="13-571-6506"/>
    <x v="8"/>
    <x v="1"/>
    <x v="0"/>
    <s v="Divorced"/>
    <s v="Master's"/>
    <s v="High"/>
    <s v="Muslyumovo"/>
    <x v="9"/>
    <n v="365.37"/>
    <n v="6"/>
    <x v="0"/>
    <n v="1"/>
    <n v="2"/>
    <n v="1"/>
    <s v="Low"/>
    <s v="Very Sensitive"/>
    <n v="1"/>
    <n v="5"/>
    <s v="Low"/>
    <x v="1"/>
    <x v="1"/>
    <d v="2024-07-02T00:00:00"/>
    <n v="658"/>
    <b v="1"/>
    <b v="1"/>
    <x v="1"/>
    <s v="Express"/>
    <n v="7"/>
  </r>
  <r>
    <s v="47-073-6440"/>
    <x v="6"/>
    <x v="0"/>
    <x v="0"/>
    <s v="Divorced"/>
    <s v="Master's"/>
    <s v="High"/>
    <s v="Taiyuan"/>
    <x v="7"/>
    <n v="487.25"/>
    <n v="4"/>
    <x v="2"/>
    <n v="3"/>
    <n v="2"/>
    <n v="1"/>
    <s v="High"/>
    <s v="Very Sensitive"/>
    <n v="0"/>
    <n v="4"/>
    <s v="High"/>
    <x v="2"/>
    <x v="4"/>
    <d v="2024-10-08T00:00:00"/>
    <n v="560"/>
    <b v="0"/>
    <b v="0"/>
    <x v="1"/>
    <s v="Standard"/>
    <n v="1"/>
  </r>
  <r>
    <s v="50-303-1693"/>
    <x v="3"/>
    <x v="0"/>
    <x v="0"/>
    <s v="Married"/>
    <s v="High School"/>
    <s v="High"/>
    <s v="Chatturat"/>
    <x v="15"/>
    <n v="187.22"/>
    <n v="10"/>
    <x v="2"/>
    <n v="5"/>
    <n v="3"/>
    <n v="0"/>
    <s v="Medium"/>
    <s v="Very Sensitive"/>
    <n v="1"/>
    <n v="4"/>
    <s v="Low"/>
    <x v="2"/>
    <x v="0"/>
    <d v="2024-06-04T00:00:00"/>
    <n v="686"/>
    <b v="0"/>
    <b v="0"/>
    <x v="1"/>
    <s v="Standard"/>
    <n v="4"/>
  </r>
  <r>
    <s v="69-157-9577"/>
    <x v="30"/>
    <x v="1"/>
    <x v="1"/>
    <s v="Divorced"/>
    <s v="Master's"/>
    <s v="High"/>
    <s v="Paisha"/>
    <x v="16"/>
    <n v="396.82"/>
    <n v="7"/>
    <x v="0"/>
    <n v="3"/>
    <n v="4"/>
    <n v="1"/>
    <s v="None"/>
    <s v="Somewhat Sensitive"/>
    <n v="1"/>
    <n v="9"/>
    <s v="High"/>
    <x v="2"/>
    <x v="0"/>
    <d v="2024-08-13T00:00:00"/>
    <n v="616"/>
    <b v="1"/>
    <b v="1"/>
    <x v="0"/>
    <s v="No Preference"/>
    <n v="9"/>
  </r>
  <r>
    <s v="09-513-4923"/>
    <x v="9"/>
    <x v="3"/>
    <x v="1"/>
    <s v="Divorced"/>
    <s v="Master's"/>
    <s v="High"/>
    <s v="Kadugadung"/>
    <x v="22"/>
    <n v="246.74"/>
    <n v="10"/>
    <x v="2"/>
    <n v="2"/>
    <n v="3"/>
    <n v="0"/>
    <s v="Medium"/>
    <s v="Not Sensitive"/>
    <n v="1"/>
    <n v="6"/>
    <s v="High"/>
    <x v="2"/>
    <x v="1"/>
    <d v="2024-03-27T00:00:00"/>
    <n v="755"/>
    <b v="0"/>
    <b v="0"/>
    <x v="0"/>
    <s v="Express"/>
    <n v="8"/>
  </r>
  <r>
    <s v="82-975-8569"/>
    <x v="29"/>
    <x v="1"/>
    <x v="1"/>
    <s v="Widowed"/>
    <s v="Bachelor's"/>
    <s v="High"/>
    <s v="Paris 15"/>
    <x v="8"/>
    <n v="128.74"/>
    <n v="12"/>
    <x v="0"/>
    <n v="5"/>
    <n v="1"/>
    <n v="1"/>
    <s v="Medium"/>
    <s v="Somewhat Sensitive"/>
    <n v="1"/>
    <n v="8"/>
    <s v="High"/>
    <x v="2"/>
    <x v="1"/>
    <d v="2024-01-06T00:00:00"/>
    <n v="836"/>
    <b v="0"/>
    <b v="1"/>
    <x v="3"/>
    <s v="Standard"/>
    <n v="1"/>
  </r>
  <r>
    <s v="70-774-7728"/>
    <x v="30"/>
    <x v="0"/>
    <x v="0"/>
    <s v="Widowed"/>
    <s v="Master's"/>
    <s v="Middle"/>
    <s v="Dualing"/>
    <x v="16"/>
    <n v="339.63"/>
    <n v="2"/>
    <x v="1"/>
    <n v="3"/>
    <n v="3"/>
    <n v="2"/>
    <s v="Medium"/>
    <s v="Very Sensitive"/>
    <n v="2"/>
    <n v="1"/>
    <s v="Low"/>
    <x v="0"/>
    <x v="1"/>
    <d v="2024-08-26T00:00:00"/>
    <n v="603"/>
    <b v="1"/>
    <b v="0"/>
    <x v="2"/>
    <s v="No Preference"/>
    <n v="6"/>
  </r>
  <r>
    <s v="13-015-8097"/>
    <x v="19"/>
    <x v="0"/>
    <x v="1"/>
    <s v="Single"/>
    <s v="Bachelor's"/>
    <s v="High"/>
    <s v="Adelaide"/>
    <x v="6"/>
    <n v="223.58"/>
    <n v="11"/>
    <x v="0"/>
    <n v="4"/>
    <n v="3"/>
    <n v="0"/>
    <s v="High"/>
    <s v="Very Sensitive"/>
    <n v="0"/>
    <n v="6"/>
    <s v="None"/>
    <x v="0"/>
    <x v="1"/>
    <d v="2024-05-20T00:00:00"/>
    <n v="701"/>
    <b v="0"/>
    <b v="0"/>
    <x v="2"/>
    <s v="No Preference"/>
    <n v="11"/>
  </r>
  <r>
    <s v="68-391-7279"/>
    <x v="7"/>
    <x v="7"/>
    <x v="1"/>
    <s v="Widowed"/>
    <s v="Bachelor's"/>
    <s v="Middle"/>
    <s v="Pingshi"/>
    <x v="0"/>
    <n v="446.92"/>
    <n v="5"/>
    <x v="0"/>
    <n v="1"/>
    <n v="1"/>
    <n v="1"/>
    <s v="Medium"/>
    <s v="Very Sensitive"/>
    <n v="2"/>
    <n v="6"/>
    <s v="None"/>
    <x v="1"/>
    <x v="1"/>
    <d v="2024-07-19T00:00:00"/>
    <n v="641"/>
    <b v="1"/>
    <b v="0"/>
    <x v="3"/>
    <s v="Express"/>
    <n v="10"/>
  </r>
  <r>
    <s v="28-764-3337"/>
    <x v="20"/>
    <x v="1"/>
    <x v="0"/>
    <s v="Divorced"/>
    <s v="Bachelor's"/>
    <s v="Middle"/>
    <s v="Renshan"/>
    <x v="13"/>
    <n v="175.65"/>
    <n v="11"/>
    <x v="0"/>
    <n v="4"/>
    <n v="3"/>
    <n v="2"/>
    <s v="Low"/>
    <s v="Not Sensitive"/>
    <n v="1"/>
    <n v="7"/>
    <s v="None"/>
    <x v="0"/>
    <x v="3"/>
    <d v="2024-12-08T00:00:00"/>
    <n v="499"/>
    <b v="0"/>
    <b v="1"/>
    <x v="1"/>
    <s v="Express"/>
    <n v="8"/>
  </r>
  <r>
    <s v="00-285-9607"/>
    <x v="32"/>
    <x v="3"/>
    <x v="0"/>
    <s v="Married"/>
    <s v="Bachelor's"/>
    <s v="Middle"/>
    <s v="Sobinka"/>
    <x v="20"/>
    <n v="491.49"/>
    <n v="10"/>
    <x v="0"/>
    <n v="1"/>
    <n v="1"/>
    <n v="0"/>
    <s v="Low"/>
    <s v="Somewhat Sensitive"/>
    <n v="2"/>
    <n v="7"/>
    <s v="None"/>
    <x v="2"/>
    <x v="1"/>
    <d v="2024-05-28T00:00:00"/>
    <n v="693"/>
    <b v="0"/>
    <b v="0"/>
    <x v="3"/>
    <s v="Standard"/>
    <n v="1"/>
  </r>
  <r>
    <s v="04-832-3559"/>
    <x v="29"/>
    <x v="1"/>
    <x v="0"/>
    <s v="Widowed"/>
    <s v="Bachelor's"/>
    <s v="Middle"/>
    <s v="Narol"/>
    <x v="21"/>
    <n v="88.4"/>
    <n v="5"/>
    <x v="1"/>
    <n v="5"/>
    <n v="2"/>
    <n v="0"/>
    <s v="Medium"/>
    <s v="Not Sensitive"/>
    <n v="0"/>
    <n v="4"/>
    <s v="Medium"/>
    <x v="2"/>
    <x v="4"/>
    <d v="2024-05-26T00:00:00"/>
    <n v="695"/>
    <b v="1"/>
    <b v="0"/>
    <x v="0"/>
    <s v="No Preference"/>
    <n v="4"/>
  </r>
  <r>
    <s v="27-613-5005"/>
    <x v="3"/>
    <x v="1"/>
    <x v="0"/>
    <s v="Widowed"/>
    <s v="Master's"/>
    <s v="High"/>
    <s v="Fresno"/>
    <x v="2"/>
    <n v="430.9"/>
    <n v="8"/>
    <x v="2"/>
    <n v="4"/>
    <n v="5"/>
    <n v="1"/>
    <s v="High"/>
    <s v="Not Sensitive"/>
    <n v="0"/>
    <n v="6"/>
    <s v="None"/>
    <x v="0"/>
    <x v="0"/>
    <d v="2024-06-06T00:00:00"/>
    <n v="684"/>
    <b v="0"/>
    <b v="0"/>
    <x v="1"/>
    <s v="Standard"/>
    <n v="11"/>
  </r>
  <r>
    <s v="49-825-3438"/>
    <x v="17"/>
    <x v="1"/>
    <x v="1"/>
    <s v="Widowed"/>
    <s v="High School"/>
    <s v="High"/>
    <s v="Vabalninkas"/>
    <x v="7"/>
    <n v="435.23"/>
    <n v="2"/>
    <x v="1"/>
    <n v="2"/>
    <n v="4"/>
    <n v="0"/>
    <s v="None"/>
    <s v="Somewhat Sensitive"/>
    <n v="2"/>
    <n v="2"/>
    <s v="Medium"/>
    <x v="1"/>
    <x v="4"/>
    <d v="2024-02-27T00:00:00"/>
    <n v="784"/>
    <b v="0"/>
    <b v="1"/>
    <x v="2"/>
    <s v="Express"/>
    <n v="13"/>
  </r>
  <r>
    <s v="31-783-9785"/>
    <x v="24"/>
    <x v="0"/>
    <x v="1"/>
    <s v="Divorced"/>
    <s v="Master's"/>
    <s v="Middle"/>
    <s v="Jambuwerkrajan"/>
    <x v="16"/>
    <n v="218.65"/>
    <n v="3"/>
    <x v="2"/>
    <n v="4"/>
    <n v="2"/>
    <n v="2"/>
    <s v="Low"/>
    <s v="Very Sensitive"/>
    <n v="0"/>
    <n v="9"/>
    <s v="Medium"/>
    <x v="1"/>
    <x v="0"/>
    <d v="2024-07-17T00:00:00"/>
    <n v="643"/>
    <b v="1"/>
    <b v="1"/>
    <x v="2"/>
    <s v="Standard"/>
    <n v="4"/>
  </r>
  <r>
    <s v="58-059-8187"/>
    <x v="23"/>
    <x v="1"/>
    <x v="1"/>
    <s v="Widowed"/>
    <s v="High School"/>
    <s v="Middle"/>
    <s v="Ozubulu"/>
    <x v="18"/>
    <n v="207.66"/>
    <n v="10"/>
    <x v="1"/>
    <n v="2"/>
    <n v="3"/>
    <n v="1"/>
    <s v="High"/>
    <s v="Very Sensitive"/>
    <n v="2"/>
    <n v="2"/>
    <s v="Medium"/>
    <x v="2"/>
    <x v="3"/>
    <d v="2024-07-08T00:00:00"/>
    <n v="652"/>
    <b v="0"/>
    <b v="1"/>
    <x v="1"/>
    <s v="Standard"/>
    <n v="8"/>
  </r>
  <r>
    <s v="74-882-6648"/>
    <x v="10"/>
    <x v="0"/>
    <x v="1"/>
    <s v="Married"/>
    <s v="High School"/>
    <s v="High"/>
    <s v="Nakhchivan"/>
    <x v="17"/>
    <n v="141.09"/>
    <n v="7"/>
    <x v="1"/>
    <n v="3"/>
    <n v="4"/>
    <n v="0"/>
    <s v="High"/>
    <s v="Very Sensitive"/>
    <n v="2"/>
    <n v="3"/>
    <s v="High"/>
    <x v="2"/>
    <x v="2"/>
    <d v="2024-06-19T00:00:00"/>
    <n v="671"/>
    <b v="0"/>
    <b v="1"/>
    <x v="1"/>
    <s v="Express"/>
    <n v="1"/>
  </r>
  <r>
    <s v="03-180-9200"/>
    <x v="7"/>
    <x v="1"/>
    <x v="1"/>
    <s v="Divorced"/>
    <s v="Bachelor's"/>
    <s v="Middle"/>
    <s v="CurumanÃ­"/>
    <x v="12"/>
    <n v="142.69999999999999"/>
    <n v="6"/>
    <x v="1"/>
    <n v="3"/>
    <n v="2"/>
    <n v="1"/>
    <s v="None"/>
    <s v="Very Sensitive"/>
    <n v="0"/>
    <n v="4"/>
    <s v="None"/>
    <x v="2"/>
    <x v="0"/>
    <d v="2024-05-17T00:00:00"/>
    <n v="704"/>
    <b v="0"/>
    <b v="1"/>
    <x v="2"/>
    <s v="No Preference"/>
    <n v="11"/>
  </r>
  <r>
    <s v="46-578-1425"/>
    <x v="32"/>
    <x v="1"/>
    <x v="1"/>
    <s v="Divorced"/>
    <s v="Master's"/>
    <s v="High"/>
    <s v="Praia"/>
    <x v="9"/>
    <n v="64.09"/>
    <n v="10"/>
    <x v="2"/>
    <n v="5"/>
    <n v="5"/>
    <n v="0"/>
    <s v="None"/>
    <s v="Somewhat Sensitive"/>
    <n v="0"/>
    <n v="6"/>
    <s v="Low"/>
    <x v="2"/>
    <x v="0"/>
    <d v="2024-10-20T00:00:00"/>
    <n v="548"/>
    <b v="1"/>
    <b v="0"/>
    <x v="0"/>
    <s v="Express"/>
    <n v="7"/>
  </r>
  <r>
    <s v="13-588-5783"/>
    <x v="28"/>
    <x v="0"/>
    <x v="0"/>
    <s v="Married"/>
    <s v="High School"/>
    <s v="Middle"/>
    <s v="SÃ£o CristÃ³vÃ£o"/>
    <x v="16"/>
    <n v="126.26"/>
    <n v="2"/>
    <x v="2"/>
    <n v="4"/>
    <n v="5"/>
    <n v="1"/>
    <s v="None"/>
    <s v="Somewhat Sensitive"/>
    <n v="1"/>
    <n v="6"/>
    <s v="None"/>
    <x v="1"/>
    <x v="2"/>
    <d v="2024-09-19T00:00:00"/>
    <n v="579"/>
    <b v="1"/>
    <b v="0"/>
    <x v="3"/>
    <s v="Standard"/>
    <n v="13"/>
  </r>
  <r>
    <s v="25-085-7917"/>
    <x v="21"/>
    <x v="0"/>
    <x v="0"/>
    <s v="Single"/>
    <s v="High School"/>
    <s v="High"/>
    <s v="Pallisa"/>
    <x v="11"/>
    <n v="195.05"/>
    <n v="5"/>
    <x v="1"/>
    <n v="2"/>
    <n v="1"/>
    <n v="2"/>
    <s v="Medium"/>
    <s v="Not Sensitive"/>
    <n v="0"/>
    <n v="10"/>
    <s v="High"/>
    <x v="1"/>
    <x v="3"/>
    <d v="2024-05-21T00:00:00"/>
    <n v="700"/>
    <b v="1"/>
    <b v="0"/>
    <x v="2"/>
    <s v="No Preference"/>
    <n v="11"/>
  </r>
  <r>
    <s v="66-085-1226"/>
    <x v="0"/>
    <x v="0"/>
    <x v="0"/>
    <s v="Married"/>
    <s v="Master's"/>
    <s v="High"/>
    <s v="San Pascual"/>
    <x v="19"/>
    <n v="432.84"/>
    <n v="7"/>
    <x v="0"/>
    <n v="4"/>
    <n v="5"/>
    <n v="2"/>
    <s v="High"/>
    <s v="Very Sensitive"/>
    <n v="0"/>
    <n v="1"/>
    <s v="High"/>
    <x v="0"/>
    <x v="2"/>
    <d v="2024-02-05T00:00:00"/>
    <n v="806"/>
    <b v="0"/>
    <b v="0"/>
    <x v="1"/>
    <s v="No Preference"/>
    <n v="4"/>
  </r>
  <r>
    <s v="37-037-1765"/>
    <x v="12"/>
    <x v="1"/>
    <x v="1"/>
    <s v="Married"/>
    <s v="Bachelor's"/>
    <s v="Middle"/>
    <s v="â€˜AÅŸÄ«rah ash ShamÄlÄ«yah"/>
    <x v="23"/>
    <n v="404.12"/>
    <n v="6"/>
    <x v="1"/>
    <n v="1"/>
    <n v="3"/>
    <n v="1"/>
    <s v="High"/>
    <s v="Very Sensitive"/>
    <n v="0"/>
    <n v="4"/>
    <s v="Low"/>
    <x v="1"/>
    <x v="2"/>
    <d v="2024-02-29T00:00:00"/>
    <n v="782"/>
    <b v="0"/>
    <b v="0"/>
    <x v="2"/>
    <s v="Express"/>
    <n v="11"/>
  </r>
  <r>
    <s v="48-630-6410"/>
    <x v="7"/>
    <x v="1"/>
    <x v="1"/>
    <s v="Divorced"/>
    <s v="Master's"/>
    <s v="High"/>
    <s v="Dom Pedrito"/>
    <x v="19"/>
    <n v="438.26"/>
    <n v="10"/>
    <x v="1"/>
    <n v="3"/>
    <n v="4"/>
    <n v="1"/>
    <s v="None"/>
    <s v="Somewhat Sensitive"/>
    <n v="1"/>
    <n v="3"/>
    <s v="Medium"/>
    <x v="1"/>
    <x v="2"/>
    <d v="2024-07-04T00:00:00"/>
    <n v="656"/>
    <b v="1"/>
    <b v="0"/>
    <x v="3"/>
    <s v="Express"/>
    <n v="10"/>
  </r>
  <r>
    <s v="50-471-0212"/>
    <x v="24"/>
    <x v="0"/>
    <x v="1"/>
    <s v="Single"/>
    <s v="Bachelor's"/>
    <s v="High"/>
    <s v="San SebastiÃ¡n de YalÃ­"/>
    <x v="23"/>
    <n v="233.02"/>
    <n v="4"/>
    <x v="0"/>
    <n v="3"/>
    <n v="3"/>
    <n v="1"/>
    <s v="Medium"/>
    <s v="Not Sensitive"/>
    <n v="0"/>
    <n v="3"/>
    <s v="Medium"/>
    <x v="1"/>
    <x v="4"/>
    <d v="2024-10-29T00:00:00"/>
    <n v="539"/>
    <b v="0"/>
    <b v="0"/>
    <x v="2"/>
    <s v="Standard"/>
    <n v="8"/>
  </r>
  <r>
    <s v="48-642-5768"/>
    <x v="29"/>
    <x v="0"/>
    <x v="0"/>
    <s v="Widowed"/>
    <s v="Bachelor's"/>
    <s v="Middle"/>
    <s v="ShchÃ«kino"/>
    <x v="12"/>
    <n v="273.41000000000003"/>
    <n v="7"/>
    <x v="2"/>
    <n v="3"/>
    <n v="5"/>
    <n v="2"/>
    <s v="Low"/>
    <s v="Very Sensitive"/>
    <n v="0"/>
    <n v="9"/>
    <s v="Medium"/>
    <x v="0"/>
    <x v="3"/>
    <d v="2024-10-17T00:00:00"/>
    <n v="551"/>
    <b v="1"/>
    <b v="0"/>
    <x v="3"/>
    <s v="Standard"/>
    <n v="2"/>
  </r>
  <r>
    <s v="15-152-9751"/>
    <x v="6"/>
    <x v="0"/>
    <x v="1"/>
    <s v="Married"/>
    <s v="High School"/>
    <s v="Middle"/>
    <s v="Turkestan"/>
    <x v="4"/>
    <n v="338.96"/>
    <n v="10"/>
    <x v="2"/>
    <n v="1"/>
    <n v="4"/>
    <n v="2"/>
    <s v="High"/>
    <s v="Somewhat Sensitive"/>
    <n v="1"/>
    <n v="9"/>
    <s v="High"/>
    <x v="2"/>
    <x v="2"/>
    <d v="2024-11-04T00:00:00"/>
    <n v="533"/>
    <b v="1"/>
    <b v="1"/>
    <x v="1"/>
    <s v="Standard"/>
    <n v="4"/>
  </r>
  <r>
    <s v="23-451-9920"/>
    <x v="14"/>
    <x v="1"/>
    <x v="0"/>
    <s v="Divorced"/>
    <s v="Master's"/>
    <s v="High"/>
    <s v="Rzeczenica"/>
    <x v="8"/>
    <n v="75.91"/>
    <n v="12"/>
    <x v="0"/>
    <n v="3"/>
    <n v="5"/>
    <n v="2"/>
    <s v="Low"/>
    <s v="Very Sensitive"/>
    <n v="0"/>
    <n v="6"/>
    <s v="None"/>
    <x v="2"/>
    <x v="1"/>
    <d v="2024-11-21T00:00:00"/>
    <n v="516"/>
    <b v="1"/>
    <b v="1"/>
    <x v="3"/>
    <s v="No Preference"/>
    <n v="1"/>
  </r>
  <r>
    <s v="09-775-4058"/>
    <x v="25"/>
    <x v="1"/>
    <x v="1"/>
    <s v="Married"/>
    <s v="High School"/>
    <s v="High"/>
    <s v="PerzÃ³w"/>
    <x v="7"/>
    <n v="425.21"/>
    <n v="12"/>
    <x v="2"/>
    <n v="2"/>
    <n v="4"/>
    <n v="2"/>
    <s v="Low"/>
    <s v="Somewhat Sensitive"/>
    <n v="0"/>
    <n v="4"/>
    <s v="High"/>
    <x v="2"/>
    <x v="3"/>
    <d v="2024-03-25T00:00:00"/>
    <n v="757"/>
    <b v="1"/>
    <b v="1"/>
    <x v="3"/>
    <s v="Express"/>
    <n v="12"/>
  </r>
  <r>
    <s v="43-595-0966"/>
    <x v="19"/>
    <x v="1"/>
    <x v="0"/>
    <s v="Married"/>
    <s v="Master's"/>
    <s v="Middle"/>
    <s v="Sabon Gari-Nangere"/>
    <x v="14"/>
    <n v="268.8"/>
    <n v="2"/>
    <x v="1"/>
    <n v="1"/>
    <n v="3"/>
    <n v="0"/>
    <s v="High"/>
    <s v="Very Sensitive"/>
    <n v="1"/>
    <n v="7"/>
    <s v="None"/>
    <x v="2"/>
    <x v="2"/>
    <d v="2024-04-20T00:00:00"/>
    <n v="731"/>
    <b v="0"/>
    <b v="0"/>
    <x v="0"/>
    <s v="Standard"/>
    <n v="12"/>
  </r>
  <r>
    <s v="56-592-0089"/>
    <x v="22"/>
    <x v="0"/>
    <x v="0"/>
    <s v="Divorced"/>
    <s v="Master's"/>
    <s v="High"/>
    <s v="Hengshui"/>
    <x v="10"/>
    <n v="170.71"/>
    <n v="10"/>
    <x v="0"/>
    <n v="5"/>
    <n v="3"/>
    <n v="0"/>
    <s v="Low"/>
    <s v="Somewhat Sensitive"/>
    <n v="1"/>
    <n v="9"/>
    <s v="Low"/>
    <x v="2"/>
    <x v="0"/>
    <d v="2024-04-14T00:00:00"/>
    <n v="737"/>
    <b v="1"/>
    <b v="1"/>
    <x v="3"/>
    <s v="No Preference"/>
    <n v="7"/>
  </r>
  <r>
    <s v="29-374-1297"/>
    <x v="4"/>
    <x v="4"/>
    <x v="0"/>
    <s v="Widowed"/>
    <s v="High School"/>
    <s v="Middle"/>
    <s v="Nantes"/>
    <x v="9"/>
    <n v="444.05"/>
    <n v="10"/>
    <x v="2"/>
    <n v="5"/>
    <n v="4"/>
    <n v="0"/>
    <s v="Low"/>
    <s v="Not Sensitive"/>
    <n v="1"/>
    <n v="8"/>
    <s v="Medium"/>
    <x v="2"/>
    <x v="1"/>
    <d v="2024-06-04T00:00:00"/>
    <n v="686"/>
    <b v="1"/>
    <b v="1"/>
    <x v="1"/>
    <s v="Standard"/>
    <n v="8"/>
  </r>
  <r>
    <s v="80-728-6133"/>
    <x v="26"/>
    <x v="1"/>
    <x v="0"/>
    <s v="Divorced"/>
    <s v="High School"/>
    <s v="Middle"/>
    <s v="Tamorot"/>
    <x v="0"/>
    <n v="255.1"/>
    <n v="5"/>
    <x v="0"/>
    <n v="5"/>
    <n v="1"/>
    <n v="2"/>
    <s v="High"/>
    <s v="Very Sensitive"/>
    <n v="1"/>
    <n v="1"/>
    <s v="Low"/>
    <x v="2"/>
    <x v="1"/>
    <d v="2024-01-28T00:00:00"/>
    <n v="814"/>
    <b v="1"/>
    <b v="0"/>
    <x v="3"/>
    <s v="No Preference"/>
    <n v="14"/>
  </r>
  <r>
    <s v="58-502-7490"/>
    <x v="11"/>
    <x v="1"/>
    <x v="1"/>
    <s v="Widowed"/>
    <s v="Bachelor's"/>
    <s v="High"/>
    <s v="Sinchao"/>
    <x v="18"/>
    <n v="236.44"/>
    <n v="6"/>
    <x v="0"/>
    <n v="4"/>
    <n v="4"/>
    <n v="0"/>
    <s v="Medium"/>
    <s v="Very Sensitive"/>
    <n v="2"/>
    <n v="2"/>
    <s v="None"/>
    <x v="1"/>
    <x v="1"/>
    <d v="2024-05-15T00:00:00"/>
    <n v="706"/>
    <b v="0"/>
    <b v="0"/>
    <x v="2"/>
    <s v="Standard"/>
    <n v="6"/>
  </r>
  <r>
    <s v="23-537-0742"/>
    <x v="28"/>
    <x v="1"/>
    <x v="0"/>
    <s v="Widowed"/>
    <s v="Bachelor's"/>
    <s v="High"/>
    <s v="Anding"/>
    <x v="4"/>
    <n v="201.69"/>
    <n v="11"/>
    <x v="0"/>
    <n v="4"/>
    <n v="5"/>
    <n v="0"/>
    <s v="High"/>
    <s v="Very Sensitive"/>
    <n v="2"/>
    <n v="8"/>
    <s v="Low"/>
    <x v="0"/>
    <x v="3"/>
    <d v="2024-07-19T00:00:00"/>
    <n v="641"/>
    <b v="1"/>
    <b v="0"/>
    <x v="3"/>
    <s v="No Preference"/>
    <n v="3"/>
  </r>
  <r>
    <s v="22-483-3115"/>
    <x v="14"/>
    <x v="0"/>
    <x v="1"/>
    <s v="Single"/>
    <s v="Bachelor's"/>
    <s v="Middle"/>
    <s v="Rukem"/>
    <x v="17"/>
    <n v="390.51"/>
    <n v="6"/>
    <x v="2"/>
    <n v="3"/>
    <n v="2"/>
    <n v="0"/>
    <s v="Medium"/>
    <s v="Very Sensitive"/>
    <n v="0"/>
    <n v="2"/>
    <s v="High"/>
    <x v="2"/>
    <x v="4"/>
    <d v="2024-04-15T00:00:00"/>
    <n v="736"/>
    <b v="0"/>
    <b v="0"/>
    <x v="1"/>
    <s v="Express"/>
    <n v="6"/>
  </r>
  <r>
    <s v="57-372-5969"/>
    <x v="22"/>
    <x v="4"/>
    <x v="1"/>
    <s v="Divorced"/>
    <s v="Master's"/>
    <s v="High"/>
    <s v="Bogovarovo"/>
    <x v="20"/>
    <n v="442.29"/>
    <n v="9"/>
    <x v="0"/>
    <n v="1"/>
    <n v="2"/>
    <n v="0"/>
    <s v="Medium"/>
    <s v="Somewhat Sensitive"/>
    <n v="1"/>
    <n v="2"/>
    <s v="Low"/>
    <x v="0"/>
    <x v="1"/>
    <d v="2024-09-11T00:00:00"/>
    <n v="587"/>
    <b v="0"/>
    <b v="0"/>
    <x v="3"/>
    <s v="Express"/>
    <n v="13"/>
  </r>
  <r>
    <s v="37-283-9076"/>
    <x v="27"/>
    <x v="0"/>
    <x v="0"/>
    <s v="Single"/>
    <s v="High School"/>
    <s v="High"/>
    <s v="Valbo"/>
    <x v="4"/>
    <n v="89.6"/>
    <n v="7"/>
    <x v="1"/>
    <n v="5"/>
    <n v="3"/>
    <n v="2"/>
    <s v="None"/>
    <s v="Not Sensitive"/>
    <n v="1"/>
    <n v="5"/>
    <s v="Low"/>
    <x v="2"/>
    <x v="4"/>
    <d v="2024-03-10T00:00:00"/>
    <n v="772"/>
    <b v="0"/>
    <b v="0"/>
    <x v="3"/>
    <s v="Standard"/>
    <n v="8"/>
  </r>
  <r>
    <s v="39-075-3518"/>
    <x v="23"/>
    <x v="1"/>
    <x v="0"/>
    <s v="Widowed"/>
    <s v="High School"/>
    <s v="High"/>
    <s v="Jaguaruana"/>
    <x v="6"/>
    <n v="166.74"/>
    <n v="6"/>
    <x v="0"/>
    <n v="2"/>
    <n v="5"/>
    <n v="0"/>
    <s v="High"/>
    <s v="Not Sensitive"/>
    <n v="0"/>
    <n v="6"/>
    <s v="Low"/>
    <x v="2"/>
    <x v="3"/>
    <d v="2024-01-14T00:00:00"/>
    <n v="828"/>
    <b v="0"/>
    <b v="0"/>
    <x v="2"/>
    <s v="No Preference"/>
    <n v="1"/>
  </r>
  <r>
    <s v="84-315-7189"/>
    <x v="3"/>
    <x v="0"/>
    <x v="1"/>
    <s v="Married"/>
    <s v="Bachelor's"/>
    <s v="Middle"/>
    <s v="Å¢Äqchah KhÄnah"/>
    <x v="7"/>
    <n v="299.27999999999997"/>
    <n v="12"/>
    <x v="0"/>
    <n v="4"/>
    <n v="5"/>
    <n v="1"/>
    <s v="High"/>
    <s v="Somewhat Sensitive"/>
    <n v="0"/>
    <n v="9"/>
    <s v="High"/>
    <x v="1"/>
    <x v="2"/>
    <d v="2024-05-29T00:00:00"/>
    <n v="692"/>
    <b v="0"/>
    <b v="0"/>
    <x v="1"/>
    <s v="Standard"/>
    <n v="3"/>
  </r>
  <r>
    <s v="75-964-5589"/>
    <x v="2"/>
    <x v="1"/>
    <x v="1"/>
    <s v="Widowed"/>
    <s v="Master's"/>
    <s v="High"/>
    <s v="Lipovci"/>
    <x v="6"/>
    <n v="404.57"/>
    <n v="5"/>
    <x v="0"/>
    <n v="4"/>
    <n v="3"/>
    <n v="0"/>
    <s v="Medium"/>
    <s v="Not Sensitive"/>
    <n v="2"/>
    <n v="7"/>
    <s v="None"/>
    <x v="1"/>
    <x v="2"/>
    <d v="2024-08-31T00:00:00"/>
    <n v="598"/>
    <b v="0"/>
    <b v="1"/>
    <x v="0"/>
    <s v="Express"/>
    <n v="14"/>
  </r>
  <r>
    <s v="06-594-3417"/>
    <x v="23"/>
    <x v="1"/>
    <x v="1"/>
    <s v="Single"/>
    <s v="Bachelor's"/>
    <s v="High"/>
    <s v="Panagyurishte"/>
    <x v="14"/>
    <n v="344.81"/>
    <n v="10"/>
    <x v="1"/>
    <n v="3"/>
    <n v="1"/>
    <n v="2"/>
    <s v="Low"/>
    <s v="Somewhat Sensitive"/>
    <n v="1"/>
    <n v="9"/>
    <s v="High"/>
    <x v="2"/>
    <x v="3"/>
    <d v="2024-12-23T00:00:00"/>
    <n v="484"/>
    <b v="1"/>
    <b v="1"/>
    <x v="1"/>
    <s v="Express"/>
    <n v="14"/>
  </r>
  <r>
    <s v="08-297-3351"/>
    <x v="10"/>
    <x v="1"/>
    <x v="1"/>
    <s v="Single"/>
    <s v="Master's"/>
    <s v="High"/>
    <s v="Thá»‹ Tráº¥n Than UyÃªn"/>
    <x v="10"/>
    <n v="217.84"/>
    <n v="10"/>
    <x v="2"/>
    <n v="2"/>
    <n v="2"/>
    <n v="2"/>
    <s v="None"/>
    <s v="Very Sensitive"/>
    <n v="0"/>
    <n v="8"/>
    <s v="High"/>
    <x v="0"/>
    <x v="4"/>
    <d v="2024-01-16T00:00:00"/>
    <n v="826"/>
    <b v="1"/>
    <b v="1"/>
    <x v="1"/>
    <s v="Standard"/>
    <n v="11"/>
  </r>
  <r>
    <s v="05-546-5128"/>
    <x v="6"/>
    <x v="1"/>
    <x v="0"/>
    <s v="Divorced"/>
    <s v="Bachelor's"/>
    <s v="Middle"/>
    <s v="Clichy"/>
    <x v="6"/>
    <n v="445.34"/>
    <n v="9"/>
    <x v="1"/>
    <n v="5"/>
    <n v="2"/>
    <n v="1"/>
    <s v="Low"/>
    <s v="Somewhat Sensitive"/>
    <n v="1"/>
    <n v="3"/>
    <s v="High"/>
    <x v="0"/>
    <x v="4"/>
    <d v="2024-03-04T00:00:00"/>
    <n v="778"/>
    <b v="1"/>
    <b v="1"/>
    <x v="2"/>
    <s v="No Preference"/>
    <n v="3"/>
  </r>
  <r>
    <s v="79-759-6726"/>
    <x v="27"/>
    <x v="1"/>
    <x v="1"/>
    <s v="Widowed"/>
    <s v="High School"/>
    <s v="High"/>
    <s v="KÅ‚oczew"/>
    <x v="3"/>
    <n v="151.72999999999999"/>
    <n v="3"/>
    <x v="1"/>
    <n v="2"/>
    <n v="4"/>
    <n v="1"/>
    <s v="Medium"/>
    <s v="Very Sensitive"/>
    <n v="1"/>
    <n v="3"/>
    <s v="None"/>
    <x v="1"/>
    <x v="3"/>
    <d v="2024-09-24T00:00:00"/>
    <n v="574"/>
    <b v="0"/>
    <b v="1"/>
    <x v="1"/>
    <s v="Express"/>
    <n v="11"/>
  </r>
  <r>
    <s v="12-851-1771"/>
    <x v="17"/>
    <x v="2"/>
    <x v="1"/>
    <s v="Married"/>
    <s v="High School"/>
    <s v="High"/>
    <s v="Zhukovo"/>
    <x v="13"/>
    <n v="123.73"/>
    <n v="9"/>
    <x v="2"/>
    <n v="1"/>
    <n v="4"/>
    <n v="0"/>
    <s v="High"/>
    <s v="Not Sensitive"/>
    <n v="2"/>
    <n v="5"/>
    <s v="High"/>
    <x v="1"/>
    <x v="0"/>
    <d v="2024-10-07T00:00:00"/>
    <n v="561"/>
    <b v="0"/>
    <b v="1"/>
    <x v="0"/>
    <s v="No Preference"/>
    <n v="10"/>
  </r>
  <r>
    <s v="79-960-1714"/>
    <x v="16"/>
    <x v="1"/>
    <x v="0"/>
    <s v="Single"/>
    <s v="Master's"/>
    <s v="High"/>
    <s v="NykÃ¶ping"/>
    <x v="22"/>
    <n v="370.54"/>
    <n v="2"/>
    <x v="1"/>
    <n v="3"/>
    <n v="3"/>
    <n v="0"/>
    <s v="Low"/>
    <s v="Very Sensitive"/>
    <n v="1"/>
    <n v="9"/>
    <s v="Low"/>
    <x v="1"/>
    <x v="0"/>
    <d v="2024-03-25T00:00:00"/>
    <n v="757"/>
    <b v="1"/>
    <b v="0"/>
    <x v="2"/>
    <s v="No Preference"/>
    <n v="7"/>
  </r>
  <r>
    <s v="30-417-6981"/>
    <x v="5"/>
    <x v="1"/>
    <x v="1"/>
    <s v="Married"/>
    <s v="Master's"/>
    <s v="High"/>
    <s v="Jianmin"/>
    <x v="15"/>
    <n v="152.87"/>
    <n v="3"/>
    <x v="1"/>
    <n v="1"/>
    <n v="5"/>
    <n v="2"/>
    <s v="High"/>
    <s v="Very Sensitive"/>
    <n v="1"/>
    <n v="8"/>
    <s v="None"/>
    <x v="0"/>
    <x v="2"/>
    <d v="2024-08-20T00:00:00"/>
    <n v="609"/>
    <b v="0"/>
    <b v="0"/>
    <x v="2"/>
    <s v="Express"/>
    <n v="11"/>
  </r>
  <r>
    <s v="91-532-5399"/>
    <x v="3"/>
    <x v="1"/>
    <x v="0"/>
    <s v="Single"/>
    <s v="Master's"/>
    <s v="Middle"/>
    <s v="Bucaramanga"/>
    <x v="18"/>
    <n v="295.75"/>
    <n v="4"/>
    <x v="0"/>
    <n v="1"/>
    <n v="1"/>
    <n v="0"/>
    <s v="High"/>
    <s v="Somewhat Sensitive"/>
    <n v="1"/>
    <n v="10"/>
    <s v="Low"/>
    <x v="0"/>
    <x v="0"/>
    <d v="2024-12-07T00:00:00"/>
    <n v="500"/>
    <b v="1"/>
    <b v="1"/>
    <x v="0"/>
    <s v="Standard"/>
    <n v="8"/>
  </r>
  <r>
    <s v="89-997-9041"/>
    <x v="15"/>
    <x v="1"/>
    <x v="1"/>
    <s v="Widowed"/>
    <s v="High School"/>
    <s v="Middle"/>
    <s v="Kudanding"/>
    <x v="2"/>
    <n v="358.11"/>
    <n v="11"/>
    <x v="0"/>
    <n v="5"/>
    <n v="1"/>
    <n v="0"/>
    <s v="High"/>
    <s v="Very Sensitive"/>
    <n v="0"/>
    <n v="3"/>
    <s v="High"/>
    <x v="2"/>
    <x v="0"/>
    <d v="2024-09-03T00:00:00"/>
    <n v="595"/>
    <b v="0"/>
    <b v="0"/>
    <x v="0"/>
    <s v="Standard"/>
    <n v="11"/>
  </r>
  <r>
    <s v="26-235-6745"/>
    <x v="23"/>
    <x v="0"/>
    <x v="1"/>
    <s v="Widowed"/>
    <s v="Master's"/>
    <s v="High"/>
    <s v="Kyoto"/>
    <x v="23"/>
    <n v="63.6"/>
    <n v="12"/>
    <x v="0"/>
    <n v="5"/>
    <n v="1"/>
    <n v="0"/>
    <s v="High"/>
    <s v="Not Sensitive"/>
    <n v="2"/>
    <n v="1"/>
    <s v="None"/>
    <x v="2"/>
    <x v="1"/>
    <d v="2024-02-09T00:00:00"/>
    <n v="802"/>
    <b v="0"/>
    <b v="1"/>
    <x v="1"/>
    <s v="No Preference"/>
    <n v="6"/>
  </r>
  <r>
    <s v="99-080-9462"/>
    <x v="2"/>
    <x v="1"/>
    <x v="1"/>
    <s v="Single"/>
    <s v="High School"/>
    <s v="Middle"/>
    <s v="Saraburi"/>
    <x v="5"/>
    <n v="419.53"/>
    <n v="3"/>
    <x v="0"/>
    <n v="1"/>
    <n v="5"/>
    <n v="2"/>
    <s v="High"/>
    <s v="Not Sensitive"/>
    <n v="2"/>
    <n v="10"/>
    <s v="Medium"/>
    <x v="0"/>
    <x v="3"/>
    <d v="2024-03-27T00:00:00"/>
    <n v="755"/>
    <b v="0"/>
    <b v="0"/>
    <x v="1"/>
    <s v="Express"/>
    <n v="6"/>
  </r>
  <r>
    <s v="87-056-8987"/>
    <x v="1"/>
    <x v="6"/>
    <x v="1"/>
    <s v="Widowed"/>
    <s v="High School"/>
    <s v="Middle"/>
    <s v="Negeriagung"/>
    <x v="19"/>
    <n v="491.92"/>
    <n v="10"/>
    <x v="1"/>
    <n v="5"/>
    <n v="3"/>
    <n v="0"/>
    <s v="Medium"/>
    <s v="Very Sensitive"/>
    <n v="1"/>
    <n v="1"/>
    <s v="Low"/>
    <x v="2"/>
    <x v="0"/>
    <d v="2024-12-29T00:00:00"/>
    <n v="478"/>
    <b v="0"/>
    <b v="0"/>
    <x v="1"/>
    <s v="Standard"/>
    <n v="2"/>
  </r>
  <r>
    <s v="06-160-8063"/>
    <x v="6"/>
    <x v="2"/>
    <x v="0"/>
    <s v="Divorced"/>
    <s v="High School"/>
    <s v="High"/>
    <s v="Latacunga"/>
    <x v="6"/>
    <n v="114.44"/>
    <n v="4"/>
    <x v="2"/>
    <n v="5"/>
    <n v="3"/>
    <n v="2"/>
    <s v="Low"/>
    <s v="Not Sensitive"/>
    <n v="1"/>
    <n v="9"/>
    <s v="None"/>
    <x v="2"/>
    <x v="0"/>
    <d v="2024-10-20T00:00:00"/>
    <n v="548"/>
    <b v="0"/>
    <b v="0"/>
    <x v="3"/>
    <s v="Express"/>
    <n v="1"/>
  </r>
  <r>
    <s v="73-434-2308"/>
    <x v="24"/>
    <x v="0"/>
    <x v="0"/>
    <s v="Married"/>
    <s v="Master's"/>
    <s v="High"/>
    <s v="Guanzhou"/>
    <x v="7"/>
    <n v="388.82"/>
    <n v="10"/>
    <x v="0"/>
    <n v="2"/>
    <n v="3"/>
    <n v="0"/>
    <s v="Low"/>
    <s v="Very Sensitive"/>
    <n v="0"/>
    <n v="8"/>
    <s v="Low"/>
    <x v="2"/>
    <x v="3"/>
    <d v="2024-09-03T00:00:00"/>
    <n v="595"/>
    <b v="0"/>
    <b v="0"/>
    <x v="0"/>
    <s v="No Preference"/>
    <n v="6"/>
  </r>
  <r>
    <s v="84-260-6464"/>
    <x v="25"/>
    <x v="0"/>
    <x v="0"/>
    <s v="Married"/>
    <s v="Bachelor's"/>
    <s v="High"/>
    <s v="Tabuc Pontevedra"/>
    <x v="7"/>
    <n v="58.32"/>
    <n v="7"/>
    <x v="1"/>
    <n v="1"/>
    <n v="5"/>
    <n v="0"/>
    <s v="Low"/>
    <s v="Not Sensitive"/>
    <n v="1"/>
    <n v="6"/>
    <s v="Low"/>
    <x v="1"/>
    <x v="1"/>
    <d v="2024-03-13T00:00:00"/>
    <n v="769"/>
    <b v="1"/>
    <b v="1"/>
    <x v="0"/>
    <s v="Standard"/>
    <n v="8"/>
  </r>
  <r>
    <s v="00-149-4481"/>
    <x v="31"/>
    <x v="0"/>
    <x v="1"/>
    <s v="Divorced"/>
    <s v="Master's"/>
    <s v="High"/>
    <s v="Kabale"/>
    <x v="19"/>
    <n v="464.76"/>
    <n v="2"/>
    <x v="0"/>
    <n v="5"/>
    <n v="1"/>
    <n v="0"/>
    <s v="Low"/>
    <s v="Very Sensitive"/>
    <n v="0"/>
    <n v="3"/>
    <s v="Low"/>
    <x v="2"/>
    <x v="2"/>
    <d v="2024-02-04T00:00:00"/>
    <n v="807"/>
    <b v="0"/>
    <b v="1"/>
    <x v="0"/>
    <s v="No Preference"/>
    <n v="3"/>
  </r>
  <r>
    <s v="05-710-6109"/>
    <x v="23"/>
    <x v="0"/>
    <x v="1"/>
    <s v="Divorced"/>
    <s v="Master's"/>
    <s v="High"/>
    <s v="Malveira"/>
    <x v="3"/>
    <n v="116.92"/>
    <n v="7"/>
    <x v="0"/>
    <n v="2"/>
    <n v="3"/>
    <n v="2"/>
    <s v="None"/>
    <s v="Very Sensitive"/>
    <n v="2"/>
    <n v="3"/>
    <s v="Low"/>
    <x v="2"/>
    <x v="2"/>
    <d v="2024-03-31T00:00:00"/>
    <n v="751"/>
    <b v="1"/>
    <b v="0"/>
    <x v="2"/>
    <s v="No Preference"/>
    <n v="14"/>
  </r>
  <r>
    <s v="84-724-8407"/>
    <x v="26"/>
    <x v="0"/>
    <x v="1"/>
    <s v="Divorced"/>
    <s v="Bachelor's"/>
    <s v="Middle"/>
    <s v="Veiga"/>
    <x v="23"/>
    <n v="396.76"/>
    <n v="8"/>
    <x v="2"/>
    <n v="3"/>
    <n v="3"/>
    <n v="1"/>
    <s v="None"/>
    <s v="Very Sensitive"/>
    <n v="2"/>
    <n v="4"/>
    <s v="High"/>
    <x v="0"/>
    <x v="4"/>
    <d v="2024-07-17T00:00:00"/>
    <n v="643"/>
    <b v="1"/>
    <b v="1"/>
    <x v="3"/>
    <s v="Express"/>
    <n v="8"/>
  </r>
  <r>
    <s v="45-795-1873"/>
    <x v="28"/>
    <x v="6"/>
    <x v="1"/>
    <s v="Widowed"/>
    <s v="Master's"/>
    <s v="Middle"/>
    <s v="Jagistay"/>
    <x v="12"/>
    <n v="393.35"/>
    <n v="7"/>
    <x v="0"/>
    <n v="3"/>
    <n v="4"/>
    <n v="2"/>
    <s v="High"/>
    <s v="Not Sensitive"/>
    <n v="0"/>
    <n v="4"/>
    <s v="High"/>
    <x v="0"/>
    <x v="0"/>
    <d v="2024-06-16T00:00:00"/>
    <n v="674"/>
    <b v="1"/>
    <b v="1"/>
    <x v="0"/>
    <s v="No Preference"/>
    <n v="12"/>
  </r>
  <r>
    <s v="06-647-3248"/>
    <x v="29"/>
    <x v="0"/>
    <x v="1"/>
    <s v="Single"/>
    <s v="Master's"/>
    <s v="High"/>
    <s v="Yuannan"/>
    <x v="13"/>
    <n v="114.03"/>
    <n v="7"/>
    <x v="0"/>
    <n v="4"/>
    <n v="3"/>
    <n v="0"/>
    <s v="Medium"/>
    <s v="Not Sensitive"/>
    <n v="1"/>
    <n v="10"/>
    <s v="High"/>
    <x v="0"/>
    <x v="0"/>
    <d v="2024-04-13T00:00:00"/>
    <n v="738"/>
    <b v="1"/>
    <b v="1"/>
    <x v="3"/>
    <s v="No Preference"/>
    <n v="6"/>
  </r>
  <r>
    <s v="06-767-5206"/>
    <x v="1"/>
    <x v="1"/>
    <x v="1"/>
    <s v="Single"/>
    <s v="Bachelor's"/>
    <s v="Middle"/>
    <s v="Mount Darwin"/>
    <x v="18"/>
    <n v="109.97"/>
    <n v="4"/>
    <x v="1"/>
    <n v="4"/>
    <n v="4"/>
    <n v="1"/>
    <s v="None"/>
    <s v="Very Sensitive"/>
    <n v="1"/>
    <n v="5"/>
    <s v="None"/>
    <x v="0"/>
    <x v="0"/>
    <d v="2024-08-12T00:00:00"/>
    <n v="617"/>
    <b v="1"/>
    <b v="0"/>
    <x v="1"/>
    <s v="No Preference"/>
    <n v="1"/>
  </r>
  <r>
    <s v="94-288-4423"/>
    <x v="7"/>
    <x v="0"/>
    <x v="1"/>
    <s v="Widowed"/>
    <s v="Master's"/>
    <s v="High"/>
    <s v="Qalâ€˜eh-ye KhvÄjeh"/>
    <x v="21"/>
    <n v="310.23"/>
    <n v="12"/>
    <x v="1"/>
    <n v="1"/>
    <n v="4"/>
    <n v="0"/>
    <s v="None"/>
    <s v="Somewhat Sensitive"/>
    <n v="0"/>
    <n v="6"/>
    <s v="None"/>
    <x v="2"/>
    <x v="1"/>
    <d v="2024-12-17T00:00:00"/>
    <n v="490"/>
    <b v="1"/>
    <b v="0"/>
    <x v="2"/>
    <s v="Express"/>
    <n v="3"/>
  </r>
  <r>
    <s v="49-891-9711"/>
    <x v="0"/>
    <x v="1"/>
    <x v="0"/>
    <s v="Divorced"/>
    <s v="Master's"/>
    <s v="Middle"/>
    <s v="Veiga"/>
    <x v="22"/>
    <n v="383.13"/>
    <n v="3"/>
    <x v="0"/>
    <n v="4"/>
    <n v="5"/>
    <n v="0"/>
    <s v="Medium"/>
    <s v="Not Sensitive"/>
    <n v="2"/>
    <n v="6"/>
    <s v="None"/>
    <x v="2"/>
    <x v="4"/>
    <d v="2024-09-25T00:00:00"/>
    <n v="573"/>
    <b v="0"/>
    <b v="0"/>
    <x v="0"/>
    <s v="No Preference"/>
    <n v="7"/>
  </r>
  <r>
    <s v="08-806-0588"/>
    <x v="8"/>
    <x v="1"/>
    <x v="1"/>
    <s v="Single"/>
    <s v="High School"/>
    <s v="Middle"/>
    <s v="Al QarÄrah"/>
    <x v="18"/>
    <n v="434.86"/>
    <n v="11"/>
    <x v="1"/>
    <n v="2"/>
    <n v="5"/>
    <n v="2"/>
    <s v="High"/>
    <s v="Somewhat Sensitive"/>
    <n v="0"/>
    <n v="4"/>
    <s v="Medium"/>
    <x v="1"/>
    <x v="3"/>
    <d v="2024-06-24T00:00:00"/>
    <n v="666"/>
    <b v="1"/>
    <b v="0"/>
    <x v="2"/>
    <s v="Express"/>
    <n v="11"/>
  </r>
  <r>
    <s v="94-746-2001"/>
    <x v="12"/>
    <x v="0"/>
    <x v="0"/>
    <s v="Married"/>
    <s v="Bachelor's"/>
    <s v="Middle"/>
    <s v="Fandriana"/>
    <x v="2"/>
    <n v="489.1"/>
    <n v="9"/>
    <x v="0"/>
    <n v="3"/>
    <n v="4"/>
    <n v="1"/>
    <s v="Low"/>
    <s v="Somewhat Sensitive"/>
    <n v="2"/>
    <n v="4"/>
    <s v="Medium"/>
    <x v="1"/>
    <x v="0"/>
    <d v="2024-11-18T00:00:00"/>
    <n v="519"/>
    <b v="1"/>
    <b v="0"/>
    <x v="0"/>
    <s v="Standard"/>
    <n v="13"/>
  </r>
  <r>
    <s v="38-943-5744"/>
    <x v="24"/>
    <x v="5"/>
    <x v="1"/>
    <s v="Married"/>
    <s v="Bachelor's"/>
    <s v="High"/>
    <s v="Carregueira"/>
    <x v="23"/>
    <n v="288.14999999999998"/>
    <n v="3"/>
    <x v="2"/>
    <n v="1"/>
    <n v="4"/>
    <n v="1"/>
    <s v="High"/>
    <s v="Somewhat Sensitive"/>
    <n v="1"/>
    <n v="4"/>
    <s v="Medium"/>
    <x v="0"/>
    <x v="4"/>
    <d v="2024-08-06T00:00:00"/>
    <n v="623"/>
    <b v="1"/>
    <b v="0"/>
    <x v="2"/>
    <s v="Standard"/>
    <n v="13"/>
  </r>
  <r>
    <s v="98-535-8497"/>
    <x v="22"/>
    <x v="1"/>
    <x v="1"/>
    <s v="Divorced"/>
    <s v="Master's"/>
    <s v="Middle"/>
    <s v="Lincheng"/>
    <x v="20"/>
    <n v="105.87"/>
    <n v="12"/>
    <x v="0"/>
    <n v="3"/>
    <n v="2"/>
    <n v="1"/>
    <s v="Low"/>
    <s v="Not Sensitive"/>
    <n v="1"/>
    <n v="1"/>
    <s v="Medium"/>
    <x v="0"/>
    <x v="4"/>
    <d v="2024-09-15T00:00:00"/>
    <n v="583"/>
    <b v="0"/>
    <b v="0"/>
    <x v="3"/>
    <s v="Express"/>
    <n v="4"/>
  </r>
  <r>
    <s v="33-243-8793"/>
    <x v="5"/>
    <x v="1"/>
    <x v="0"/>
    <s v="Widowed"/>
    <s v="High School"/>
    <s v="High"/>
    <s v="Semenivka"/>
    <x v="8"/>
    <n v="163.4"/>
    <n v="3"/>
    <x v="1"/>
    <n v="3"/>
    <n v="5"/>
    <n v="1"/>
    <s v="High"/>
    <s v="Somewhat Sensitive"/>
    <n v="2"/>
    <n v="10"/>
    <s v="High"/>
    <x v="2"/>
    <x v="4"/>
    <d v="2024-07-08T00:00:00"/>
    <n v="652"/>
    <b v="1"/>
    <b v="0"/>
    <x v="3"/>
    <s v="Standard"/>
    <n v="7"/>
  </r>
  <r>
    <s v="99-581-5577"/>
    <x v="28"/>
    <x v="1"/>
    <x v="1"/>
    <s v="Single"/>
    <s v="High School"/>
    <s v="High"/>
    <s v="YlÃ¤ne"/>
    <x v="0"/>
    <n v="422.92"/>
    <n v="6"/>
    <x v="0"/>
    <n v="4"/>
    <n v="1"/>
    <n v="2"/>
    <s v="None"/>
    <s v="Somewhat Sensitive"/>
    <n v="0"/>
    <n v="6"/>
    <s v="Low"/>
    <x v="2"/>
    <x v="2"/>
    <d v="2024-10-17T00:00:00"/>
    <n v="551"/>
    <b v="0"/>
    <b v="1"/>
    <x v="3"/>
    <s v="No Preference"/>
    <n v="6"/>
  </r>
  <r>
    <s v="64-180-2404"/>
    <x v="18"/>
    <x v="1"/>
    <x v="0"/>
    <s v="Divorced"/>
    <s v="High School"/>
    <s v="High"/>
    <s v="Cendagah"/>
    <x v="0"/>
    <n v="361.48"/>
    <n v="10"/>
    <x v="2"/>
    <n v="1"/>
    <n v="4"/>
    <n v="1"/>
    <s v="Medium"/>
    <s v="Somewhat Sensitive"/>
    <n v="2"/>
    <n v="9"/>
    <s v="High"/>
    <x v="0"/>
    <x v="4"/>
    <d v="2024-06-16T00:00:00"/>
    <n v="674"/>
    <b v="1"/>
    <b v="1"/>
    <x v="1"/>
    <s v="Express"/>
    <n v="13"/>
  </r>
  <r>
    <s v="73-097-0986"/>
    <x v="25"/>
    <x v="1"/>
    <x v="0"/>
    <s v="Single"/>
    <s v="Master's"/>
    <s v="High"/>
    <s v="FÄ«rÅ«zÄbÄd"/>
    <x v="11"/>
    <n v="270.82"/>
    <n v="2"/>
    <x v="1"/>
    <n v="4"/>
    <n v="2"/>
    <n v="0"/>
    <s v="None"/>
    <s v="Somewhat Sensitive"/>
    <n v="1"/>
    <n v="8"/>
    <s v="Low"/>
    <x v="0"/>
    <x v="3"/>
    <d v="2024-10-30T00:00:00"/>
    <n v="538"/>
    <b v="1"/>
    <b v="0"/>
    <x v="1"/>
    <s v="Standard"/>
    <n v="13"/>
  </r>
  <r>
    <s v="88-051-0567"/>
    <x v="1"/>
    <x v="0"/>
    <x v="1"/>
    <s v="Widowed"/>
    <s v="High School"/>
    <s v="High"/>
    <s v="Trondheim"/>
    <x v="16"/>
    <n v="372.26"/>
    <n v="11"/>
    <x v="1"/>
    <n v="1"/>
    <n v="5"/>
    <n v="2"/>
    <s v="None"/>
    <s v="Very Sensitive"/>
    <n v="1"/>
    <n v="8"/>
    <s v="High"/>
    <x v="1"/>
    <x v="1"/>
    <d v="2024-08-13T00:00:00"/>
    <n v="616"/>
    <b v="0"/>
    <b v="1"/>
    <x v="1"/>
    <s v="Express"/>
    <n v="6"/>
  </r>
  <r>
    <s v="44-715-9594"/>
    <x v="25"/>
    <x v="0"/>
    <x v="0"/>
    <s v="Widowed"/>
    <s v="Bachelor's"/>
    <s v="High"/>
    <s v="Yakovlevo"/>
    <x v="13"/>
    <n v="208.59"/>
    <n v="3"/>
    <x v="0"/>
    <n v="1"/>
    <n v="1"/>
    <n v="2"/>
    <s v="Medium"/>
    <s v="Somewhat Sensitive"/>
    <n v="0"/>
    <n v="4"/>
    <s v="None"/>
    <x v="2"/>
    <x v="1"/>
    <d v="2024-09-03T00:00:00"/>
    <n v="595"/>
    <b v="1"/>
    <b v="0"/>
    <x v="2"/>
    <s v="Express"/>
    <n v="1"/>
  </r>
  <r>
    <s v="84-188-6577"/>
    <x v="7"/>
    <x v="1"/>
    <x v="0"/>
    <s v="Widowed"/>
    <s v="High School"/>
    <s v="High"/>
    <s v="Katav-Ivanovsk"/>
    <x v="0"/>
    <n v="163.22"/>
    <n v="8"/>
    <x v="2"/>
    <n v="5"/>
    <n v="3"/>
    <n v="0"/>
    <s v="High"/>
    <s v="Somewhat Sensitive"/>
    <n v="1"/>
    <n v="3"/>
    <s v="None"/>
    <x v="1"/>
    <x v="1"/>
    <d v="2024-07-01T00:00:00"/>
    <n v="659"/>
    <b v="0"/>
    <b v="1"/>
    <x v="1"/>
    <s v="No Preference"/>
    <n v="8"/>
  </r>
  <r>
    <s v="19-116-4723"/>
    <x v="5"/>
    <x v="1"/>
    <x v="1"/>
    <s v="Married"/>
    <s v="High School"/>
    <s v="High"/>
    <s v="Voznesenskoye"/>
    <x v="9"/>
    <n v="364.98"/>
    <n v="7"/>
    <x v="1"/>
    <n v="4"/>
    <n v="1"/>
    <n v="0"/>
    <s v="Low"/>
    <s v="Very Sensitive"/>
    <n v="0"/>
    <n v="1"/>
    <s v="None"/>
    <x v="2"/>
    <x v="4"/>
    <d v="2024-05-11T00:00:00"/>
    <n v="710"/>
    <b v="1"/>
    <b v="0"/>
    <x v="1"/>
    <s v="Standard"/>
    <n v="8"/>
  </r>
  <r>
    <s v="21-783-9242"/>
    <x v="16"/>
    <x v="7"/>
    <x v="1"/>
    <s v="Divorced"/>
    <s v="Master's"/>
    <s v="High"/>
    <s v="Voskhod"/>
    <x v="19"/>
    <n v="142.43"/>
    <n v="3"/>
    <x v="1"/>
    <n v="2"/>
    <n v="5"/>
    <n v="2"/>
    <s v="High"/>
    <s v="Very Sensitive"/>
    <n v="1"/>
    <n v="9"/>
    <s v="None"/>
    <x v="2"/>
    <x v="1"/>
    <d v="2024-09-28T00:00:00"/>
    <n v="570"/>
    <b v="1"/>
    <b v="0"/>
    <x v="3"/>
    <s v="Express"/>
    <n v="8"/>
  </r>
  <r>
    <s v="95-528-2313"/>
    <x v="24"/>
    <x v="0"/>
    <x v="0"/>
    <s v="Married"/>
    <s v="Bachelor's"/>
    <s v="High"/>
    <s v="Gudja"/>
    <x v="13"/>
    <n v="449.72"/>
    <n v="3"/>
    <x v="0"/>
    <n v="3"/>
    <n v="3"/>
    <n v="0"/>
    <s v="High"/>
    <s v="Somewhat Sensitive"/>
    <n v="1"/>
    <n v="9"/>
    <s v="None"/>
    <x v="1"/>
    <x v="3"/>
    <d v="2024-02-18T00:00:00"/>
    <n v="793"/>
    <b v="1"/>
    <b v="1"/>
    <x v="1"/>
    <s v="Express"/>
    <n v="3"/>
  </r>
  <r>
    <s v="94-682-4886"/>
    <x v="23"/>
    <x v="1"/>
    <x v="0"/>
    <s v="Single"/>
    <s v="Bachelor's"/>
    <s v="High"/>
    <s v="Gawul"/>
    <x v="0"/>
    <n v="241.56"/>
    <n v="12"/>
    <x v="0"/>
    <n v="3"/>
    <n v="2"/>
    <n v="0"/>
    <s v="High"/>
    <s v="Not Sensitive"/>
    <n v="0"/>
    <n v="5"/>
    <s v="High"/>
    <x v="0"/>
    <x v="1"/>
    <d v="2024-11-28T00:00:00"/>
    <n v="509"/>
    <b v="1"/>
    <b v="0"/>
    <x v="0"/>
    <s v="Express"/>
    <n v="2"/>
  </r>
  <r>
    <s v="55-944-9669"/>
    <x v="11"/>
    <x v="2"/>
    <x v="0"/>
    <s v="Divorced"/>
    <s v="Master's"/>
    <s v="High"/>
    <s v="Sobeok"/>
    <x v="20"/>
    <n v="249.73"/>
    <n v="5"/>
    <x v="0"/>
    <n v="1"/>
    <n v="4"/>
    <n v="2"/>
    <s v="Low"/>
    <s v="Very Sensitive"/>
    <n v="1"/>
    <n v="4"/>
    <s v="Low"/>
    <x v="2"/>
    <x v="4"/>
    <d v="2024-11-15T00:00:00"/>
    <n v="522"/>
    <b v="1"/>
    <b v="0"/>
    <x v="1"/>
    <s v="No Preference"/>
    <n v="1"/>
  </r>
  <r>
    <s v="32-314-2958"/>
    <x v="2"/>
    <x v="1"/>
    <x v="0"/>
    <s v="Married"/>
    <s v="Master's"/>
    <s v="High"/>
    <s v="Nanhuang"/>
    <x v="3"/>
    <n v="437.3"/>
    <n v="7"/>
    <x v="0"/>
    <n v="2"/>
    <n v="4"/>
    <n v="0"/>
    <s v="High"/>
    <s v="Somewhat Sensitive"/>
    <n v="0"/>
    <n v="7"/>
    <s v="None"/>
    <x v="0"/>
    <x v="4"/>
    <d v="2024-07-24T00:00:00"/>
    <n v="636"/>
    <b v="1"/>
    <b v="1"/>
    <x v="2"/>
    <s v="No Preference"/>
    <n v="1"/>
  </r>
  <r>
    <s v="67-697-2331"/>
    <x v="0"/>
    <x v="1"/>
    <x v="0"/>
    <s v="Married"/>
    <s v="Master's"/>
    <s v="High"/>
    <s v="Tanudan"/>
    <x v="19"/>
    <n v="277.29000000000002"/>
    <n v="4"/>
    <x v="0"/>
    <n v="1"/>
    <n v="4"/>
    <n v="1"/>
    <s v="None"/>
    <s v="Somewhat Sensitive"/>
    <n v="2"/>
    <n v="8"/>
    <s v="Low"/>
    <x v="1"/>
    <x v="0"/>
    <d v="2024-01-27T00:00:00"/>
    <n v="815"/>
    <b v="1"/>
    <b v="1"/>
    <x v="1"/>
    <s v="No Preference"/>
    <n v="4"/>
  </r>
  <r>
    <s v="28-855-1639"/>
    <x v="19"/>
    <x v="1"/>
    <x v="1"/>
    <s v="Single"/>
    <s v="High School"/>
    <s v="Middle"/>
    <s v="Jiaozuo"/>
    <x v="13"/>
    <n v="445.93"/>
    <n v="6"/>
    <x v="2"/>
    <n v="5"/>
    <n v="5"/>
    <n v="2"/>
    <s v="High"/>
    <s v="Somewhat Sensitive"/>
    <n v="2"/>
    <n v="4"/>
    <s v="High"/>
    <x v="1"/>
    <x v="2"/>
    <d v="2024-05-15T00:00:00"/>
    <n v="706"/>
    <b v="0"/>
    <b v="1"/>
    <x v="0"/>
    <s v="No Preference"/>
    <n v="13"/>
  </r>
  <r>
    <s v="38-069-8615"/>
    <x v="14"/>
    <x v="0"/>
    <x v="0"/>
    <s v="Married"/>
    <s v="Bachelor's"/>
    <s v="Middle"/>
    <s v="TakÄb"/>
    <x v="14"/>
    <n v="242.79"/>
    <n v="6"/>
    <x v="0"/>
    <n v="2"/>
    <n v="4"/>
    <n v="0"/>
    <s v="High"/>
    <s v="Somewhat Sensitive"/>
    <n v="1"/>
    <n v="7"/>
    <s v="None"/>
    <x v="1"/>
    <x v="3"/>
    <d v="2024-01-20T00:00:00"/>
    <n v="822"/>
    <b v="1"/>
    <b v="0"/>
    <x v="2"/>
    <s v="Express"/>
    <n v="7"/>
  </r>
  <r>
    <s v="58-233-5963"/>
    <x v="10"/>
    <x v="1"/>
    <x v="1"/>
    <s v="Single"/>
    <s v="Bachelor's"/>
    <s v="High"/>
    <s v="Gualeguay"/>
    <x v="22"/>
    <n v="393.09"/>
    <n v="8"/>
    <x v="2"/>
    <n v="5"/>
    <n v="3"/>
    <n v="2"/>
    <s v="Medium"/>
    <s v="Somewhat Sensitive"/>
    <n v="0"/>
    <n v="3"/>
    <s v="Medium"/>
    <x v="0"/>
    <x v="4"/>
    <d v="2024-04-11T00:00:00"/>
    <n v="740"/>
    <b v="0"/>
    <b v="1"/>
    <x v="3"/>
    <s v="Standard"/>
    <n v="1"/>
  </r>
  <r>
    <s v="02-004-0620"/>
    <x v="11"/>
    <x v="1"/>
    <x v="0"/>
    <s v="Single"/>
    <s v="Master's"/>
    <s v="High"/>
    <s v="Lagoa Seca"/>
    <x v="19"/>
    <n v="167.61"/>
    <n v="2"/>
    <x v="2"/>
    <n v="3"/>
    <n v="5"/>
    <n v="1"/>
    <s v="None"/>
    <s v="Not Sensitive"/>
    <n v="2"/>
    <n v="2"/>
    <s v="Low"/>
    <x v="2"/>
    <x v="3"/>
    <d v="2024-11-10T00:00:00"/>
    <n v="527"/>
    <b v="1"/>
    <b v="0"/>
    <x v="0"/>
    <s v="No Preference"/>
    <n v="13"/>
  </r>
  <r>
    <s v="78-822-9328"/>
    <x v="32"/>
    <x v="1"/>
    <x v="1"/>
    <s v="Divorced"/>
    <s v="High School"/>
    <s v="Middle"/>
    <s v="Bugarama"/>
    <x v="0"/>
    <n v="324.22000000000003"/>
    <n v="2"/>
    <x v="1"/>
    <n v="4"/>
    <n v="2"/>
    <n v="0"/>
    <s v="None"/>
    <s v="Somewhat Sensitive"/>
    <n v="1"/>
    <n v="6"/>
    <s v="Medium"/>
    <x v="2"/>
    <x v="1"/>
    <d v="2024-04-18T00:00:00"/>
    <n v="733"/>
    <b v="0"/>
    <b v="0"/>
    <x v="1"/>
    <s v="Express"/>
    <n v="14"/>
  </r>
  <r>
    <s v="73-359-1998"/>
    <x v="2"/>
    <x v="0"/>
    <x v="0"/>
    <s v="Divorced"/>
    <s v="Bachelor's"/>
    <s v="Middle"/>
    <s v="Dicamay"/>
    <x v="7"/>
    <n v="159.30000000000001"/>
    <n v="11"/>
    <x v="0"/>
    <n v="5"/>
    <n v="4"/>
    <n v="0"/>
    <s v="Medium"/>
    <s v="Somewhat Sensitive"/>
    <n v="0"/>
    <n v="6"/>
    <s v="High"/>
    <x v="0"/>
    <x v="1"/>
    <d v="2024-04-24T00:00:00"/>
    <n v="727"/>
    <b v="0"/>
    <b v="1"/>
    <x v="2"/>
    <s v="Express"/>
    <n v="2"/>
  </r>
  <r>
    <s v="84-459-7736"/>
    <x v="0"/>
    <x v="7"/>
    <x v="0"/>
    <s v="Widowed"/>
    <s v="Master's"/>
    <s v="Middle"/>
    <s v="Xiluodu"/>
    <x v="8"/>
    <n v="324.39"/>
    <n v="5"/>
    <x v="2"/>
    <n v="2"/>
    <n v="2"/>
    <n v="0"/>
    <s v="High"/>
    <s v="Very Sensitive"/>
    <n v="1"/>
    <n v="6"/>
    <s v="Medium"/>
    <x v="2"/>
    <x v="1"/>
    <d v="2024-11-19T00:00:00"/>
    <n v="518"/>
    <b v="1"/>
    <b v="0"/>
    <x v="0"/>
    <s v="Express"/>
    <n v="1"/>
  </r>
  <r>
    <s v="07-395-5818"/>
    <x v="14"/>
    <x v="6"/>
    <x v="1"/>
    <s v="Single"/>
    <s v="High School"/>
    <s v="High"/>
    <s v="á¸¨abÄbah"/>
    <x v="20"/>
    <n v="198.89"/>
    <n v="2"/>
    <x v="1"/>
    <n v="2"/>
    <n v="2"/>
    <n v="0"/>
    <s v="High"/>
    <s v="Not Sensitive"/>
    <n v="0"/>
    <n v="4"/>
    <s v="Low"/>
    <x v="0"/>
    <x v="0"/>
    <d v="2024-01-12T00:00:00"/>
    <n v="830"/>
    <b v="0"/>
    <b v="0"/>
    <x v="2"/>
    <s v="Standard"/>
    <n v="1"/>
  </r>
  <r>
    <s v="07-560-6637"/>
    <x v="30"/>
    <x v="0"/>
    <x v="0"/>
    <s v="Divorced"/>
    <s v="Master's"/>
    <s v="High"/>
    <s v="Lobuk"/>
    <x v="20"/>
    <n v="287.18"/>
    <n v="7"/>
    <x v="1"/>
    <n v="4"/>
    <n v="5"/>
    <n v="0"/>
    <s v="None"/>
    <s v="Not Sensitive"/>
    <n v="0"/>
    <n v="1"/>
    <s v="None"/>
    <x v="0"/>
    <x v="2"/>
    <d v="2024-03-11T00:00:00"/>
    <n v="771"/>
    <b v="1"/>
    <b v="0"/>
    <x v="3"/>
    <s v="No Preference"/>
    <n v="8"/>
  </r>
  <r>
    <s v="61-926-1691"/>
    <x v="11"/>
    <x v="1"/>
    <x v="1"/>
    <s v="Divorced"/>
    <s v="High School"/>
    <s v="Middle"/>
    <s v="Waiwukak"/>
    <x v="2"/>
    <n v="162.24"/>
    <n v="7"/>
    <x v="1"/>
    <n v="5"/>
    <n v="3"/>
    <n v="1"/>
    <s v="None"/>
    <s v="Very Sensitive"/>
    <n v="2"/>
    <n v="6"/>
    <s v="Low"/>
    <x v="1"/>
    <x v="1"/>
    <d v="2024-10-11T00:00:00"/>
    <n v="557"/>
    <b v="0"/>
    <b v="0"/>
    <x v="1"/>
    <s v="Express"/>
    <n v="7"/>
  </r>
  <r>
    <s v="68-129-1060"/>
    <x v="14"/>
    <x v="0"/>
    <x v="1"/>
    <s v="Divorced"/>
    <s v="Bachelor's"/>
    <s v="High"/>
    <s v="AbaetÃ©"/>
    <x v="17"/>
    <n v="92.97"/>
    <n v="6"/>
    <x v="1"/>
    <n v="5"/>
    <n v="5"/>
    <n v="0"/>
    <s v="Medium"/>
    <s v="Very Sensitive"/>
    <n v="0"/>
    <n v="7"/>
    <s v="Low"/>
    <x v="2"/>
    <x v="3"/>
    <d v="2024-12-15T00:00:00"/>
    <n v="492"/>
    <b v="0"/>
    <b v="1"/>
    <x v="2"/>
    <s v="Standard"/>
    <n v="7"/>
  </r>
  <r>
    <s v="04-052-5592"/>
    <x v="30"/>
    <x v="1"/>
    <x v="0"/>
    <s v="Widowed"/>
    <s v="High School"/>
    <s v="Middle"/>
    <s v="Xiaqiao"/>
    <x v="1"/>
    <n v="144.38999999999999"/>
    <n v="12"/>
    <x v="1"/>
    <n v="5"/>
    <n v="3"/>
    <n v="2"/>
    <s v="High"/>
    <s v="Very Sensitive"/>
    <n v="0"/>
    <n v="4"/>
    <s v="Low"/>
    <x v="2"/>
    <x v="4"/>
    <d v="2024-06-11T00:00:00"/>
    <n v="679"/>
    <b v="1"/>
    <b v="1"/>
    <x v="2"/>
    <s v="Standard"/>
    <n v="12"/>
  </r>
  <r>
    <s v="41-215-6092"/>
    <x v="14"/>
    <x v="0"/>
    <x v="1"/>
    <s v="Single"/>
    <s v="High School"/>
    <s v="High"/>
    <s v="ZubÅ«bah"/>
    <x v="5"/>
    <n v="253.37"/>
    <n v="12"/>
    <x v="1"/>
    <n v="2"/>
    <n v="5"/>
    <n v="0"/>
    <s v="None"/>
    <s v="Very Sensitive"/>
    <n v="0"/>
    <n v="9"/>
    <s v="Low"/>
    <x v="0"/>
    <x v="0"/>
    <d v="2024-05-08T00:00:00"/>
    <n v="713"/>
    <b v="0"/>
    <b v="1"/>
    <x v="3"/>
    <s v="Express"/>
    <n v="6"/>
  </r>
  <r>
    <s v="89-833-7175"/>
    <x v="20"/>
    <x v="1"/>
    <x v="0"/>
    <s v="Widowed"/>
    <s v="High School"/>
    <s v="High"/>
    <s v="KÄ™sowo"/>
    <x v="9"/>
    <n v="209.62"/>
    <n v="12"/>
    <x v="0"/>
    <n v="1"/>
    <n v="2"/>
    <n v="1"/>
    <s v="Medium"/>
    <s v="Very Sensitive"/>
    <n v="0"/>
    <n v="7"/>
    <s v="Medium"/>
    <x v="0"/>
    <x v="3"/>
    <d v="2024-10-12T00:00:00"/>
    <n v="556"/>
    <b v="1"/>
    <b v="0"/>
    <x v="3"/>
    <s v="Standard"/>
    <n v="9"/>
  </r>
  <r>
    <s v="08-117-9893"/>
    <x v="1"/>
    <x v="1"/>
    <x v="1"/>
    <s v="Single"/>
    <s v="High School"/>
    <s v="Middle"/>
    <s v="Colombo"/>
    <x v="15"/>
    <n v="411.62"/>
    <n v="6"/>
    <x v="0"/>
    <n v="2"/>
    <n v="1"/>
    <n v="0"/>
    <s v="Medium"/>
    <s v="Somewhat Sensitive"/>
    <n v="2"/>
    <n v="7"/>
    <s v="Medium"/>
    <x v="0"/>
    <x v="1"/>
    <d v="2024-10-05T00:00:00"/>
    <n v="563"/>
    <b v="1"/>
    <b v="0"/>
    <x v="1"/>
    <s v="Express"/>
    <n v="12"/>
  </r>
  <r>
    <s v="24-109-2173"/>
    <x v="23"/>
    <x v="0"/>
    <x v="1"/>
    <s v="Single"/>
    <s v="Bachelor's"/>
    <s v="High"/>
    <s v="MessÃ­ni"/>
    <x v="1"/>
    <n v="388.01"/>
    <n v="2"/>
    <x v="2"/>
    <n v="1"/>
    <n v="5"/>
    <n v="1"/>
    <s v="High"/>
    <s v="Very Sensitive"/>
    <n v="1"/>
    <n v="2"/>
    <s v="None"/>
    <x v="0"/>
    <x v="1"/>
    <d v="2024-11-19T00:00:00"/>
    <n v="518"/>
    <b v="0"/>
    <b v="1"/>
    <x v="1"/>
    <s v="Standard"/>
    <n v="10"/>
  </r>
  <r>
    <s v="79-939-2140"/>
    <x v="30"/>
    <x v="1"/>
    <x v="0"/>
    <s v="Widowed"/>
    <s v="High School"/>
    <s v="High"/>
    <s v="Yishui"/>
    <x v="10"/>
    <n v="50.78"/>
    <n v="6"/>
    <x v="2"/>
    <n v="5"/>
    <n v="1"/>
    <n v="1"/>
    <s v="Low"/>
    <s v="Somewhat Sensitive"/>
    <n v="1"/>
    <n v="8"/>
    <s v="None"/>
    <x v="0"/>
    <x v="2"/>
    <d v="2024-01-12T00:00:00"/>
    <n v="830"/>
    <b v="0"/>
    <b v="1"/>
    <x v="0"/>
    <s v="Standard"/>
    <n v="9"/>
  </r>
  <r>
    <s v="95-999-0984"/>
    <x v="4"/>
    <x v="1"/>
    <x v="1"/>
    <s v="Divorced"/>
    <s v="Bachelor's"/>
    <s v="Middle"/>
    <s v="Nanyaojie"/>
    <x v="12"/>
    <n v="159.82"/>
    <n v="2"/>
    <x v="1"/>
    <n v="2"/>
    <n v="1"/>
    <n v="1"/>
    <s v="High"/>
    <s v="Very Sensitive"/>
    <n v="2"/>
    <n v="8"/>
    <s v="Medium"/>
    <x v="0"/>
    <x v="4"/>
    <d v="2024-12-09T00:00:00"/>
    <n v="498"/>
    <b v="1"/>
    <b v="1"/>
    <x v="3"/>
    <s v="No Preference"/>
    <n v="10"/>
  </r>
  <r>
    <s v="64-799-3174"/>
    <x v="19"/>
    <x v="1"/>
    <x v="0"/>
    <s v="Divorced"/>
    <s v="Master's"/>
    <s v="Middle"/>
    <s v="Buzen"/>
    <x v="22"/>
    <n v="79.430000000000007"/>
    <n v="3"/>
    <x v="1"/>
    <n v="1"/>
    <n v="5"/>
    <n v="0"/>
    <s v="Medium"/>
    <s v="Somewhat Sensitive"/>
    <n v="2"/>
    <n v="7"/>
    <s v="None"/>
    <x v="1"/>
    <x v="1"/>
    <d v="2024-01-15T00:00:00"/>
    <n v="827"/>
    <b v="0"/>
    <b v="0"/>
    <x v="1"/>
    <s v="No Preference"/>
    <n v="6"/>
  </r>
  <r>
    <s v="27-018-2262"/>
    <x v="21"/>
    <x v="0"/>
    <x v="0"/>
    <s v="Married"/>
    <s v="Bachelor's"/>
    <s v="Middle"/>
    <s v="Bom Jesus do Itabapoana"/>
    <x v="22"/>
    <n v="131.36000000000001"/>
    <n v="4"/>
    <x v="1"/>
    <n v="4"/>
    <n v="4"/>
    <n v="2"/>
    <s v="None"/>
    <s v="Somewhat Sensitive"/>
    <n v="1"/>
    <n v="6"/>
    <s v="High"/>
    <x v="1"/>
    <x v="2"/>
    <d v="2024-11-21T00:00:00"/>
    <n v="516"/>
    <b v="0"/>
    <b v="0"/>
    <x v="1"/>
    <s v="Express"/>
    <n v="3"/>
  </r>
  <r>
    <s v="38-881-0766"/>
    <x v="23"/>
    <x v="1"/>
    <x v="0"/>
    <s v="Widowed"/>
    <s v="High School"/>
    <s v="Middle"/>
    <s v="Centenario"/>
    <x v="21"/>
    <n v="299.75"/>
    <n v="12"/>
    <x v="0"/>
    <n v="2"/>
    <n v="5"/>
    <n v="0.3"/>
    <s v="Low"/>
    <s v="Very Sensitive"/>
    <n v="0"/>
    <n v="4"/>
    <s v="Low"/>
    <x v="2"/>
    <x v="0"/>
    <d v="2024-07-05T00:00:00"/>
    <n v="655"/>
    <b v="0"/>
    <b v="1"/>
    <x v="0"/>
    <s v="No Preference"/>
    <n v="7"/>
  </r>
  <r>
    <s v="17-344-8603"/>
    <x v="3"/>
    <x v="1"/>
    <x v="1"/>
    <s v="Divorced"/>
    <s v="Bachelor's"/>
    <s v="Middle"/>
    <s v="Al JÄ«zah"/>
    <x v="9"/>
    <n v="319.38"/>
    <n v="9"/>
    <x v="1"/>
    <n v="4"/>
    <n v="1"/>
    <n v="0"/>
    <s v="Low"/>
    <s v="Not Sensitive"/>
    <n v="1"/>
    <n v="6"/>
    <s v="High"/>
    <x v="0"/>
    <x v="1"/>
    <d v="2024-11-15T00:00:00"/>
    <n v="522"/>
    <b v="1"/>
    <b v="1"/>
    <x v="0"/>
    <s v="No Preference"/>
    <n v="8"/>
  </r>
  <r>
    <s v="51-387-9144"/>
    <x v="9"/>
    <x v="1"/>
    <x v="1"/>
    <s v="Single"/>
    <s v="Master's"/>
    <s v="Middle"/>
    <s v="Thá»‹ Tráº¥n Cáº©m Thá»§y"/>
    <x v="13"/>
    <n v="476.48"/>
    <n v="8"/>
    <x v="2"/>
    <n v="5"/>
    <n v="2"/>
    <n v="1"/>
    <s v="None"/>
    <s v="Somewhat Sensitive"/>
    <n v="2"/>
    <n v="10"/>
    <s v="High"/>
    <x v="2"/>
    <x v="1"/>
    <d v="2024-07-06T00:00:00"/>
    <n v="654"/>
    <b v="0"/>
    <b v="1"/>
    <x v="2"/>
    <s v="Express"/>
    <n v="3"/>
  </r>
  <r>
    <s v="42-101-8525"/>
    <x v="6"/>
    <x v="1"/>
    <x v="0"/>
    <s v="Widowed"/>
    <s v="Bachelor's"/>
    <s v="Middle"/>
    <s v="Curahkalak Tengah"/>
    <x v="0"/>
    <n v="301.01"/>
    <n v="9"/>
    <x v="0"/>
    <n v="2"/>
    <n v="1"/>
    <n v="2"/>
    <s v="High"/>
    <s v="Not Sensitive"/>
    <n v="2"/>
    <n v="8"/>
    <s v="Medium"/>
    <x v="1"/>
    <x v="3"/>
    <d v="2024-08-23T00:00:00"/>
    <n v="606"/>
    <b v="0"/>
    <b v="1"/>
    <x v="0"/>
    <s v="Express"/>
    <n v="13"/>
  </r>
  <r>
    <s v="69-157-6752"/>
    <x v="27"/>
    <x v="1"/>
    <x v="0"/>
    <s v="Single"/>
    <s v="Bachelor's"/>
    <s v="Middle"/>
    <s v="Ebu"/>
    <x v="13"/>
    <n v="378.71"/>
    <n v="5"/>
    <x v="2"/>
    <n v="4"/>
    <n v="1"/>
    <n v="2"/>
    <s v="Medium"/>
    <s v="Somewhat Sensitive"/>
    <n v="2"/>
    <n v="5"/>
    <s v="None"/>
    <x v="2"/>
    <x v="3"/>
    <d v="2024-08-30T00:00:00"/>
    <n v="599"/>
    <b v="1"/>
    <b v="1"/>
    <x v="3"/>
    <s v="Express"/>
    <n v="14"/>
  </r>
  <r>
    <s v="27-843-5553"/>
    <x v="32"/>
    <x v="4"/>
    <x v="0"/>
    <s v="Single"/>
    <s v="Bachelor's"/>
    <s v="Middle"/>
    <s v="TÃ­o Pujio"/>
    <x v="7"/>
    <n v="314.32"/>
    <n v="6"/>
    <x v="2"/>
    <n v="1"/>
    <n v="4"/>
    <n v="2"/>
    <s v="High"/>
    <s v="Very Sensitive"/>
    <n v="2"/>
    <n v="5"/>
    <s v="Low"/>
    <x v="1"/>
    <x v="0"/>
    <d v="2024-03-16T00:00:00"/>
    <n v="766"/>
    <b v="1"/>
    <b v="0"/>
    <x v="2"/>
    <s v="Standard"/>
    <n v="7"/>
  </r>
  <r>
    <s v="04-468-5487"/>
    <x v="0"/>
    <x v="1"/>
    <x v="0"/>
    <s v="Married"/>
    <s v="High School"/>
    <s v="High"/>
    <s v="CrÃ©teil"/>
    <x v="2"/>
    <n v="210.9"/>
    <n v="12"/>
    <x v="1"/>
    <n v="2"/>
    <n v="1"/>
    <n v="2"/>
    <s v="None"/>
    <s v="Somewhat Sensitive"/>
    <n v="1"/>
    <n v="1"/>
    <s v="None"/>
    <x v="0"/>
    <x v="2"/>
    <d v="2024-08-17T00:00:00"/>
    <n v="612"/>
    <b v="0"/>
    <b v="0"/>
    <x v="2"/>
    <s v="Standard"/>
    <n v="12"/>
  </r>
  <r>
    <s v="08-584-8296"/>
    <x v="27"/>
    <x v="0"/>
    <x v="0"/>
    <s v="Divorced"/>
    <s v="High School"/>
    <s v="High"/>
    <s v="Shaxi"/>
    <x v="1"/>
    <n v="218.26"/>
    <n v="4"/>
    <x v="0"/>
    <n v="3"/>
    <n v="1"/>
    <n v="2"/>
    <s v="Low"/>
    <s v="Very Sensitive"/>
    <n v="0"/>
    <n v="8"/>
    <s v="High"/>
    <x v="1"/>
    <x v="2"/>
    <d v="2024-02-27T00:00:00"/>
    <n v="784"/>
    <b v="0"/>
    <b v="0"/>
    <x v="1"/>
    <s v="Standard"/>
    <n v="12"/>
  </r>
  <r>
    <s v="81-014-4502"/>
    <x v="2"/>
    <x v="0"/>
    <x v="0"/>
    <s v="Widowed"/>
    <s v="Master's"/>
    <s v="Middle"/>
    <s v="KelÄ«shÄd va SÅ«darjÄn"/>
    <x v="9"/>
    <n v="424.18"/>
    <n v="5"/>
    <x v="0"/>
    <n v="4"/>
    <n v="4"/>
    <n v="1"/>
    <s v="None"/>
    <s v="Not Sensitive"/>
    <n v="2"/>
    <n v="4"/>
    <s v="Medium"/>
    <x v="1"/>
    <x v="2"/>
    <d v="2024-02-14T00:00:00"/>
    <n v="797"/>
    <b v="0"/>
    <b v="1"/>
    <x v="0"/>
    <s v="Express"/>
    <n v="5"/>
  </r>
  <r>
    <s v="65-167-9819"/>
    <x v="31"/>
    <x v="1"/>
    <x v="1"/>
    <s v="Divorced"/>
    <s v="High School"/>
    <s v="Middle"/>
    <s v="Punta Gorda"/>
    <x v="8"/>
    <n v="430.75"/>
    <n v="11"/>
    <x v="2"/>
    <n v="1"/>
    <n v="3"/>
    <n v="1"/>
    <s v="Low"/>
    <s v="Somewhat Sensitive"/>
    <n v="0"/>
    <n v="8"/>
    <s v="High"/>
    <x v="0"/>
    <x v="0"/>
    <d v="2024-06-24T00:00:00"/>
    <n v="666"/>
    <b v="1"/>
    <b v="0"/>
    <x v="3"/>
    <s v="No Preference"/>
    <n v="6"/>
  </r>
  <r>
    <s v="19-925-2376"/>
    <x v="2"/>
    <x v="1"/>
    <x v="1"/>
    <s v="Single"/>
    <s v="Bachelor's"/>
    <s v="Middle"/>
    <s v="Segodim"/>
    <x v="7"/>
    <n v="162.94999999999999"/>
    <n v="11"/>
    <x v="1"/>
    <n v="1"/>
    <n v="2"/>
    <n v="2"/>
    <s v="High"/>
    <s v="Very Sensitive"/>
    <n v="1"/>
    <n v="8"/>
    <s v="Low"/>
    <x v="2"/>
    <x v="4"/>
    <d v="2024-07-21T00:00:00"/>
    <n v="639"/>
    <b v="0"/>
    <b v="1"/>
    <x v="2"/>
    <s v="Express"/>
    <n v="14"/>
  </r>
  <r>
    <s v="03-669-7519"/>
    <x v="13"/>
    <x v="0"/>
    <x v="0"/>
    <s v="Married"/>
    <s v="Master's"/>
    <s v="High"/>
    <s v="Yinying"/>
    <x v="18"/>
    <n v="209.68"/>
    <n v="2"/>
    <x v="2"/>
    <n v="3"/>
    <n v="1"/>
    <n v="1"/>
    <s v="None"/>
    <s v="Not Sensitive"/>
    <n v="0"/>
    <n v="1"/>
    <s v="Medium"/>
    <x v="1"/>
    <x v="3"/>
    <d v="2024-06-30T00:00:00"/>
    <n v="660"/>
    <b v="0"/>
    <b v="1"/>
    <x v="2"/>
    <s v="Express"/>
    <n v="8"/>
  </r>
  <r>
    <s v="00-520-4376"/>
    <x v="17"/>
    <x v="1"/>
    <x v="1"/>
    <s v="Widowed"/>
    <s v="Bachelor's"/>
    <s v="Middle"/>
    <s v="Harembo"/>
    <x v="21"/>
    <n v="97.97"/>
    <n v="2"/>
    <x v="1"/>
    <n v="5"/>
    <n v="5"/>
    <n v="1"/>
    <s v="Low"/>
    <s v="Somewhat Sensitive"/>
    <n v="0"/>
    <n v="10"/>
    <s v="None"/>
    <x v="2"/>
    <x v="0"/>
    <d v="2024-10-03T00:00:00"/>
    <n v="565"/>
    <b v="1"/>
    <b v="0"/>
    <x v="3"/>
    <s v="No Preference"/>
    <n v="1"/>
  </r>
  <r>
    <s v="62-701-1037"/>
    <x v="1"/>
    <x v="1"/>
    <x v="0"/>
    <s v="Widowed"/>
    <s v="Master's"/>
    <s v="High"/>
    <s v="Lazarevac"/>
    <x v="5"/>
    <n v="192.51"/>
    <n v="9"/>
    <x v="0"/>
    <n v="2"/>
    <n v="5"/>
    <n v="2"/>
    <s v="Medium"/>
    <s v="Very Sensitive"/>
    <n v="0"/>
    <n v="2"/>
    <s v="Medium"/>
    <x v="1"/>
    <x v="0"/>
    <d v="2024-08-23T00:00:00"/>
    <n v="606"/>
    <b v="1"/>
    <b v="0"/>
    <x v="0"/>
    <s v="Standard"/>
    <n v="9"/>
  </r>
  <r>
    <s v="87-806-4478"/>
    <x v="22"/>
    <x v="1"/>
    <x v="0"/>
    <s v="Widowed"/>
    <s v="Master's"/>
    <s v="Middle"/>
    <s v="Al JÄ«zah"/>
    <x v="13"/>
    <n v="151.81"/>
    <n v="8"/>
    <x v="2"/>
    <n v="3"/>
    <n v="4"/>
    <n v="0"/>
    <s v="Medium"/>
    <s v="Not Sensitive"/>
    <n v="1"/>
    <n v="10"/>
    <s v="None"/>
    <x v="0"/>
    <x v="2"/>
    <d v="2024-01-13T00:00:00"/>
    <n v="829"/>
    <b v="0"/>
    <b v="0"/>
    <x v="3"/>
    <s v="No Preference"/>
    <n v="1"/>
  </r>
  <r>
    <s v="04-809-8989"/>
    <x v="8"/>
    <x v="0"/>
    <x v="1"/>
    <s v="Married"/>
    <s v="High School"/>
    <s v="Middle"/>
    <s v="Zhongcun"/>
    <x v="4"/>
    <n v="239.28"/>
    <n v="8"/>
    <x v="2"/>
    <n v="1"/>
    <n v="4"/>
    <n v="1"/>
    <s v="Medium"/>
    <s v="Somewhat Sensitive"/>
    <n v="2"/>
    <n v="5"/>
    <s v="Medium"/>
    <x v="0"/>
    <x v="3"/>
    <d v="2024-11-08T00:00:00"/>
    <n v="529"/>
    <b v="0"/>
    <b v="1"/>
    <x v="2"/>
    <s v="No Preference"/>
    <n v="10"/>
  </r>
  <r>
    <s v="39-867-1989"/>
    <x v="13"/>
    <x v="0"/>
    <x v="1"/>
    <s v="Widowed"/>
    <s v="High School"/>
    <s v="High"/>
    <s v="Gaopeng"/>
    <x v="7"/>
    <n v="306.17"/>
    <n v="4"/>
    <x v="1"/>
    <n v="3"/>
    <n v="5"/>
    <n v="1"/>
    <s v="Medium"/>
    <s v="Somewhat Sensitive"/>
    <n v="0"/>
    <n v="6"/>
    <s v="Medium"/>
    <x v="0"/>
    <x v="1"/>
    <d v="2024-01-29T00:00:00"/>
    <n v="813"/>
    <b v="0"/>
    <b v="1"/>
    <x v="1"/>
    <s v="Express"/>
    <n v="8"/>
  </r>
  <r>
    <s v="45-584-7333"/>
    <x v="13"/>
    <x v="0"/>
    <x v="1"/>
    <s v="Widowed"/>
    <s v="Master's"/>
    <s v="High"/>
    <s v="Tabonok"/>
    <x v="13"/>
    <n v="370.38"/>
    <n v="11"/>
    <x v="1"/>
    <n v="1"/>
    <n v="2"/>
    <n v="1"/>
    <s v="None"/>
    <s v="Not Sensitive"/>
    <n v="1"/>
    <n v="1"/>
    <s v="High"/>
    <x v="2"/>
    <x v="3"/>
    <d v="2024-03-04T00:00:00"/>
    <n v="778"/>
    <b v="1"/>
    <b v="1"/>
    <x v="1"/>
    <s v="No Preference"/>
    <n v="9"/>
  </r>
  <r>
    <s v="85-885-6579"/>
    <x v="17"/>
    <x v="1"/>
    <x v="0"/>
    <s v="Single"/>
    <s v="Bachelor's"/>
    <s v="Middle"/>
    <s v="Tirana"/>
    <x v="17"/>
    <n v="346.58"/>
    <n v="6"/>
    <x v="0"/>
    <n v="5"/>
    <n v="1"/>
    <n v="1"/>
    <s v="High"/>
    <s v="Somewhat Sensitive"/>
    <n v="0"/>
    <n v="9"/>
    <s v="Low"/>
    <x v="0"/>
    <x v="3"/>
    <d v="2024-06-03T00:00:00"/>
    <n v="687"/>
    <b v="0"/>
    <b v="0"/>
    <x v="2"/>
    <s v="Express"/>
    <n v="7"/>
  </r>
  <r>
    <s v="65-457-2840"/>
    <x v="2"/>
    <x v="1"/>
    <x v="0"/>
    <s v="Single"/>
    <s v="High School"/>
    <s v="Middle"/>
    <s v="Maralal"/>
    <x v="14"/>
    <n v="292.64"/>
    <n v="5"/>
    <x v="1"/>
    <n v="1"/>
    <n v="1"/>
    <n v="1"/>
    <s v="None"/>
    <s v="Somewhat Sensitive"/>
    <n v="2"/>
    <n v="10"/>
    <s v="Medium"/>
    <x v="0"/>
    <x v="0"/>
    <d v="2024-12-06T00:00:00"/>
    <n v="501"/>
    <b v="1"/>
    <b v="0"/>
    <x v="1"/>
    <s v="Standard"/>
    <n v="1"/>
  </r>
  <r>
    <s v="82-726-1255"/>
    <x v="12"/>
    <x v="0"/>
    <x v="0"/>
    <s v="Married"/>
    <s v="Bachelor's"/>
    <s v="High"/>
    <s v="Xinjiang"/>
    <x v="22"/>
    <n v="102.91"/>
    <n v="12"/>
    <x v="0"/>
    <n v="2"/>
    <n v="1"/>
    <n v="1"/>
    <s v="Medium"/>
    <s v="Very Sensitive"/>
    <n v="1"/>
    <n v="10"/>
    <s v="None"/>
    <x v="2"/>
    <x v="1"/>
    <d v="2024-03-26T00:00:00"/>
    <n v="756"/>
    <b v="1"/>
    <b v="0"/>
    <x v="2"/>
    <s v="Express"/>
    <n v="13"/>
  </r>
  <r>
    <s v="90-602-3583"/>
    <x v="11"/>
    <x v="0"/>
    <x v="1"/>
    <s v="Widowed"/>
    <s v="Bachelor's"/>
    <s v="Middle"/>
    <s v="Mocho"/>
    <x v="3"/>
    <n v="283.77999999999997"/>
    <n v="4"/>
    <x v="0"/>
    <n v="2"/>
    <n v="4"/>
    <n v="1.2"/>
    <s v="None"/>
    <s v="Somewhat Sensitive"/>
    <n v="0"/>
    <n v="6"/>
    <s v="None"/>
    <x v="1"/>
    <x v="2"/>
    <d v="2024-08-09T00:00:00"/>
    <n v="620"/>
    <b v="1"/>
    <b v="0"/>
    <x v="0"/>
    <s v="Express"/>
    <n v="10"/>
  </r>
  <r>
    <s v="02-711-1034"/>
    <x v="18"/>
    <x v="0"/>
    <x v="1"/>
    <s v="Widowed"/>
    <s v="High School"/>
    <s v="Middle"/>
    <s v="Likhoy"/>
    <x v="21"/>
    <n v="51.44"/>
    <n v="2"/>
    <x v="1"/>
    <n v="1"/>
    <n v="3"/>
    <n v="2"/>
    <s v="High"/>
    <s v="Not Sensitive"/>
    <n v="0"/>
    <n v="1"/>
    <s v="High"/>
    <x v="0"/>
    <x v="3"/>
    <d v="2024-05-17T00:00:00"/>
    <n v="704"/>
    <b v="1"/>
    <b v="0"/>
    <x v="3"/>
    <s v="No Preference"/>
    <n v="5"/>
  </r>
  <r>
    <s v="27-347-7437"/>
    <x v="32"/>
    <x v="0"/>
    <x v="1"/>
    <s v="Married"/>
    <s v="Bachelor's"/>
    <s v="High"/>
    <s v="Mineiros"/>
    <x v="8"/>
    <n v="405.7"/>
    <n v="12"/>
    <x v="2"/>
    <n v="1"/>
    <n v="3"/>
    <n v="1"/>
    <s v="Low"/>
    <s v="Very Sensitive"/>
    <n v="2"/>
    <n v="10"/>
    <s v="Low"/>
    <x v="0"/>
    <x v="0"/>
    <d v="2024-02-17T00:00:00"/>
    <n v="794"/>
    <b v="1"/>
    <b v="1"/>
    <x v="1"/>
    <s v="Standard"/>
    <n v="14"/>
  </r>
  <r>
    <s v="95-675-7816"/>
    <x v="24"/>
    <x v="0"/>
    <x v="1"/>
    <s v="Widowed"/>
    <s v="Master's"/>
    <s v="Middle"/>
    <s v="Noisy-le-Grand"/>
    <x v="19"/>
    <n v="311.74"/>
    <n v="11"/>
    <x v="0"/>
    <n v="1"/>
    <n v="4"/>
    <n v="2"/>
    <s v="Low"/>
    <s v="Somewhat Sensitive"/>
    <n v="2"/>
    <n v="10"/>
    <s v="Medium"/>
    <x v="1"/>
    <x v="1"/>
    <d v="2024-01-17T00:00:00"/>
    <n v="825"/>
    <b v="1"/>
    <b v="0"/>
    <x v="2"/>
    <s v="Express"/>
    <n v="11"/>
  </r>
  <r>
    <s v="87-418-1400"/>
    <x v="7"/>
    <x v="1"/>
    <x v="0"/>
    <s v="Widowed"/>
    <s v="Bachelor's"/>
    <s v="High"/>
    <s v="Taoyuan"/>
    <x v="20"/>
    <n v="293.43"/>
    <n v="9"/>
    <x v="1"/>
    <n v="4"/>
    <n v="4"/>
    <n v="1"/>
    <s v="Medium"/>
    <s v="Very Sensitive"/>
    <n v="0"/>
    <n v="5"/>
    <s v="None"/>
    <x v="2"/>
    <x v="4"/>
    <d v="2024-07-05T00:00:00"/>
    <n v="655"/>
    <b v="0"/>
    <b v="1"/>
    <x v="0"/>
    <s v="Standard"/>
    <n v="7"/>
  </r>
  <r>
    <s v="73-991-0066"/>
    <x v="22"/>
    <x v="0"/>
    <x v="1"/>
    <s v="Single"/>
    <s v="Bachelor's"/>
    <s v="Middle"/>
    <s v="San Marcos de ColÃ³n"/>
    <x v="15"/>
    <n v="418.51"/>
    <n v="6"/>
    <x v="2"/>
    <n v="4"/>
    <n v="4"/>
    <n v="2"/>
    <s v="Low"/>
    <s v="Somewhat Sensitive"/>
    <n v="2"/>
    <n v="2"/>
    <s v="High"/>
    <x v="2"/>
    <x v="0"/>
    <d v="2024-05-01T00:00:00"/>
    <n v="720"/>
    <b v="0"/>
    <b v="1"/>
    <x v="0"/>
    <s v="Standard"/>
    <n v="3"/>
  </r>
  <r>
    <s v="62-273-8089"/>
    <x v="7"/>
    <x v="1"/>
    <x v="0"/>
    <s v="Single"/>
    <s v="Master's"/>
    <s v="Middle"/>
    <s v="Pokrovka"/>
    <x v="10"/>
    <n v="85.03"/>
    <n v="9"/>
    <x v="1"/>
    <n v="5"/>
    <n v="4"/>
    <n v="1"/>
    <s v="Medium"/>
    <s v="Not Sensitive"/>
    <n v="0"/>
    <n v="9"/>
    <s v="High"/>
    <x v="1"/>
    <x v="0"/>
    <d v="2024-10-06T00:00:00"/>
    <n v="562"/>
    <b v="1"/>
    <b v="1"/>
    <x v="1"/>
    <s v="Express"/>
    <n v="8"/>
  </r>
  <r>
    <s v="51-220-3072"/>
    <x v="16"/>
    <x v="1"/>
    <x v="0"/>
    <s v="Married"/>
    <s v="Master's"/>
    <s v="High"/>
    <s v="Shuntian"/>
    <x v="7"/>
    <n v="164.94"/>
    <n v="4"/>
    <x v="1"/>
    <n v="4"/>
    <n v="4"/>
    <n v="2"/>
    <s v="High"/>
    <s v="Somewhat Sensitive"/>
    <n v="2"/>
    <n v="2"/>
    <s v="Low"/>
    <x v="2"/>
    <x v="1"/>
    <d v="2024-07-18T00:00:00"/>
    <n v="642"/>
    <b v="1"/>
    <b v="1"/>
    <x v="1"/>
    <s v="Express"/>
    <n v="6"/>
  </r>
  <r>
    <s v="17-648-0171"/>
    <x v="9"/>
    <x v="0"/>
    <x v="1"/>
    <s v="Widowed"/>
    <s v="Bachelor's"/>
    <s v="Middle"/>
    <s v="JoÃ£o CÃ¢mara"/>
    <x v="19"/>
    <n v="89.32"/>
    <n v="11"/>
    <x v="2"/>
    <n v="1"/>
    <n v="1"/>
    <n v="0.3"/>
    <s v="Low"/>
    <s v="Somewhat Sensitive"/>
    <n v="1"/>
    <n v="3"/>
    <s v="High"/>
    <x v="2"/>
    <x v="3"/>
    <d v="2024-04-23T00:00:00"/>
    <n v="728"/>
    <b v="1"/>
    <b v="0"/>
    <x v="1"/>
    <s v="No Preference"/>
    <n v="12"/>
  </r>
  <r>
    <s v="11-975-9054"/>
    <x v="4"/>
    <x v="1"/>
    <x v="0"/>
    <s v="Married"/>
    <s v="High School"/>
    <s v="High"/>
    <s v="Cunha"/>
    <x v="20"/>
    <n v="388.26"/>
    <n v="2"/>
    <x v="0"/>
    <n v="3"/>
    <n v="1"/>
    <n v="1"/>
    <s v="High"/>
    <s v="Not Sensitive"/>
    <n v="0"/>
    <n v="7"/>
    <s v="None"/>
    <x v="1"/>
    <x v="0"/>
    <d v="2024-04-02T00:00:00"/>
    <n v="749"/>
    <b v="0"/>
    <b v="0"/>
    <x v="3"/>
    <s v="No Preference"/>
    <n v="5"/>
  </r>
  <r>
    <s v="75-518-2831"/>
    <x v="4"/>
    <x v="1"/>
    <x v="0"/>
    <s v="Divorced"/>
    <s v="Master's"/>
    <s v="Middle"/>
    <s v="Fengyi"/>
    <x v="23"/>
    <n v="106.69"/>
    <n v="5"/>
    <x v="2"/>
    <n v="3"/>
    <n v="4"/>
    <n v="1.3"/>
    <s v="Medium"/>
    <s v="Very Sensitive"/>
    <n v="2"/>
    <n v="10"/>
    <s v="None"/>
    <x v="2"/>
    <x v="1"/>
    <d v="2024-09-20T00:00:00"/>
    <n v="578"/>
    <b v="0"/>
    <b v="1"/>
    <x v="1"/>
    <s v="Standard"/>
    <n v="14"/>
  </r>
  <r>
    <s v="13-297-9777"/>
    <x v="21"/>
    <x v="6"/>
    <x v="0"/>
    <s v="Married"/>
    <s v="Bachelor's"/>
    <s v="High"/>
    <s v="Myshkin"/>
    <x v="12"/>
    <n v="301.16000000000003"/>
    <n v="10"/>
    <x v="2"/>
    <n v="4"/>
    <n v="3"/>
    <n v="2"/>
    <s v="None"/>
    <s v="Very Sensitive"/>
    <n v="2"/>
    <n v="9"/>
    <s v="Medium"/>
    <x v="0"/>
    <x v="4"/>
    <d v="2024-07-26T00:00:00"/>
    <n v="634"/>
    <b v="0"/>
    <b v="0"/>
    <x v="0"/>
    <s v="Standard"/>
    <n v="1"/>
  </r>
  <r>
    <s v="81-604-7906"/>
    <x v="1"/>
    <x v="1"/>
    <x v="0"/>
    <s v="Divorced"/>
    <s v="High School"/>
    <s v="High"/>
    <s v="Tewulike"/>
    <x v="11"/>
    <n v="61.71"/>
    <n v="6"/>
    <x v="0"/>
    <n v="2"/>
    <n v="5"/>
    <n v="1"/>
    <s v="Low"/>
    <s v="Very Sensitive"/>
    <n v="2"/>
    <n v="7"/>
    <s v="Low"/>
    <x v="0"/>
    <x v="4"/>
    <d v="2024-10-03T00:00:00"/>
    <n v="565"/>
    <b v="0"/>
    <b v="0"/>
    <x v="2"/>
    <s v="No Preference"/>
    <n v="12"/>
  </r>
  <r>
    <s v="87-518-0375"/>
    <x v="19"/>
    <x v="4"/>
    <x v="0"/>
    <s v="Divorced"/>
    <s v="High School"/>
    <s v="High"/>
    <s v="Bistrinci"/>
    <x v="6"/>
    <n v="83.33"/>
    <n v="11"/>
    <x v="1"/>
    <n v="1"/>
    <n v="5"/>
    <n v="1"/>
    <s v="Medium"/>
    <s v="Very Sensitive"/>
    <n v="1"/>
    <n v="6"/>
    <s v="Low"/>
    <x v="2"/>
    <x v="2"/>
    <d v="2024-02-27T00:00:00"/>
    <n v="784"/>
    <b v="1"/>
    <b v="1"/>
    <x v="3"/>
    <s v="Express"/>
    <n v="1"/>
  </r>
  <r>
    <s v="53-437-2629"/>
    <x v="21"/>
    <x v="1"/>
    <x v="1"/>
    <s v="Single"/>
    <s v="Bachelor's"/>
    <s v="Middle"/>
    <s v="Chenguang"/>
    <x v="5"/>
    <n v="411.81"/>
    <n v="4"/>
    <x v="0"/>
    <n v="1"/>
    <n v="3"/>
    <n v="1"/>
    <s v="High"/>
    <s v="Somewhat Sensitive"/>
    <n v="1"/>
    <n v="1"/>
    <s v="High"/>
    <x v="1"/>
    <x v="4"/>
    <d v="2024-04-08T00:00:00"/>
    <n v="743"/>
    <b v="1"/>
    <b v="1"/>
    <x v="3"/>
    <s v="Standard"/>
    <n v="1"/>
  </r>
  <r>
    <s v="46-681-0764"/>
    <x v="32"/>
    <x v="0"/>
    <x v="0"/>
    <s v="Married"/>
    <s v="Master's"/>
    <s v="High"/>
    <s v="Muara"/>
    <x v="8"/>
    <n v="114.93"/>
    <n v="3"/>
    <x v="1"/>
    <n v="4"/>
    <n v="3"/>
    <n v="1"/>
    <s v="High"/>
    <s v="Somewhat Sensitive"/>
    <n v="0"/>
    <n v="4"/>
    <s v="None"/>
    <x v="2"/>
    <x v="3"/>
    <d v="2024-08-23T00:00:00"/>
    <n v="606"/>
    <b v="1"/>
    <b v="1"/>
    <x v="2"/>
    <s v="Standard"/>
    <n v="4"/>
  </r>
  <r>
    <s v="43-990-6454"/>
    <x v="4"/>
    <x v="0"/>
    <x v="1"/>
    <s v="Divorced"/>
    <s v="Master's"/>
    <s v="Middle"/>
    <s v="Qorveh"/>
    <x v="23"/>
    <n v="438.42"/>
    <n v="11"/>
    <x v="2"/>
    <n v="3"/>
    <n v="2"/>
    <n v="2"/>
    <s v="Medium"/>
    <s v="Very Sensitive"/>
    <n v="0"/>
    <n v="4"/>
    <s v="Low"/>
    <x v="0"/>
    <x v="4"/>
    <d v="2024-09-10T00:00:00"/>
    <n v="588"/>
    <b v="1"/>
    <b v="0"/>
    <x v="3"/>
    <s v="Express"/>
    <n v="4"/>
  </r>
  <r>
    <s v="55-570-3804"/>
    <x v="15"/>
    <x v="1"/>
    <x v="0"/>
    <s v="Widowed"/>
    <s v="Master's"/>
    <s v="Middle"/>
    <s v="Bom Despacho"/>
    <x v="8"/>
    <n v="189.97"/>
    <n v="2"/>
    <x v="1"/>
    <n v="2"/>
    <n v="3"/>
    <n v="1"/>
    <s v="High"/>
    <s v="Somewhat Sensitive"/>
    <n v="0"/>
    <n v="3"/>
    <s v="Medium"/>
    <x v="1"/>
    <x v="0"/>
    <d v="2024-03-06T00:00:00"/>
    <n v="776"/>
    <b v="1"/>
    <b v="0"/>
    <x v="0"/>
    <s v="Standard"/>
    <n v="8"/>
  </r>
  <r>
    <s v="29-067-4901"/>
    <x v="22"/>
    <x v="1"/>
    <x v="1"/>
    <s v="Divorced"/>
    <s v="Master's"/>
    <s v="Middle"/>
    <s v="Arhust"/>
    <x v="18"/>
    <n v="227.03"/>
    <n v="12"/>
    <x v="2"/>
    <n v="2"/>
    <n v="2"/>
    <n v="0"/>
    <s v="High"/>
    <s v="Very Sensitive"/>
    <n v="2"/>
    <n v="10"/>
    <s v="Low"/>
    <x v="2"/>
    <x v="1"/>
    <d v="2024-07-07T00:00:00"/>
    <n v="653"/>
    <b v="1"/>
    <b v="1"/>
    <x v="3"/>
    <s v="Standard"/>
    <n v="2"/>
  </r>
  <r>
    <s v="93-957-6269"/>
    <x v="29"/>
    <x v="1"/>
    <x v="1"/>
    <s v="Divorced"/>
    <s v="Bachelor's"/>
    <s v="Middle"/>
    <s v="Thaton"/>
    <x v="3"/>
    <n v="278.49"/>
    <n v="4"/>
    <x v="0"/>
    <n v="5"/>
    <n v="5"/>
    <n v="0"/>
    <s v="Low"/>
    <s v="Somewhat Sensitive"/>
    <n v="1"/>
    <n v="5"/>
    <s v="Low"/>
    <x v="1"/>
    <x v="0"/>
    <d v="2024-09-08T00:00:00"/>
    <n v="590"/>
    <b v="1"/>
    <b v="1"/>
    <x v="0"/>
    <s v="Express"/>
    <n v="8"/>
  </r>
  <r>
    <s v="81-225-6647"/>
    <x v="20"/>
    <x v="0"/>
    <x v="1"/>
    <s v="Widowed"/>
    <s v="Bachelor's"/>
    <s v="High"/>
    <s v="Changbai"/>
    <x v="9"/>
    <n v="120.56"/>
    <n v="5"/>
    <x v="2"/>
    <n v="4"/>
    <n v="3"/>
    <n v="2"/>
    <s v="None"/>
    <s v="Not Sensitive"/>
    <n v="2"/>
    <n v="7"/>
    <s v="Low"/>
    <x v="0"/>
    <x v="2"/>
    <d v="2024-06-03T00:00:00"/>
    <n v="687"/>
    <b v="0"/>
    <b v="0"/>
    <x v="0"/>
    <s v="Express"/>
    <n v="7"/>
  </r>
  <r>
    <s v="64-706-7841"/>
    <x v="8"/>
    <x v="1"/>
    <x v="1"/>
    <s v="Divorced"/>
    <s v="Bachelor's"/>
    <s v="Middle"/>
    <s v="Kragan"/>
    <x v="0"/>
    <n v="320.94"/>
    <n v="11"/>
    <x v="2"/>
    <n v="3"/>
    <n v="3"/>
    <n v="2"/>
    <s v="High"/>
    <s v="Not Sensitive"/>
    <n v="2"/>
    <n v="10"/>
    <s v="None"/>
    <x v="1"/>
    <x v="4"/>
    <d v="2024-11-08T00:00:00"/>
    <n v="529"/>
    <b v="0"/>
    <b v="0"/>
    <x v="2"/>
    <s v="No Preference"/>
    <n v="10"/>
  </r>
  <r>
    <s v="47-178-9529"/>
    <x v="14"/>
    <x v="0"/>
    <x v="1"/>
    <s v="Divorced"/>
    <s v="Master's"/>
    <s v="Middle"/>
    <s v="Bida"/>
    <x v="23"/>
    <n v="217.72"/>
    <n v="3"/>
    <x v="1"/>
    <n v="4"/>
    <n v="4"/>
    <n v="2"/>
    <s v="Medium"/>
    <s v="Not Sensitive"/>
    <n v="1"/>
    <n v="4"/>
    <s v="High"/>
    <x v="0"/>
    <x v="2"/>
    <d v="2024-10-16T00:00:00"/>
    <n v="552"/>
    <b v="0"/>
    <b v="1"/>
    <x v="1"/>
    <s v="No Preference"/>
    <n v="14"/>
  </r>
  <r>
    <s v="63-808-3641"/>
    <x v="8"/>
    <x v="1"/>
    <x v="1"/>
    <s v="Widowed"/>
    <s v="Bachelor's"/>
    <s v="Middle"/>
    <s v="Pointe Michel"/>
    <x v="3"/>
    <n v="222.61"/>
    <n v="3"/>
    <x v="2"/>
    <n v="1"/>
    <n v="2"/>
    <n v="1"/>
    <s v="Medium"/>
    <s v="Very Sensitive"/>
    <n v="1"/>
    <n v="1"/>
    <s v="None"/>
    <x v="2"/>
    <x v="1"/>
    <d v="2024-07-03T00:00:00"/>
    <n v="657"/>
    <b v="0"/>
    <b v="1"/>
    <x v="0"/>
    <s v="Standard"/>
    <n v="3"/>
  </r>
  <r>
    <s v="85-738-8909"/>
    <x v="13"/>
    <x v="0"/>
    <x v="0"/>
    <s v="Divorced"/>
    <s v="High School"/>
    <s v="Middle"/>
    <s v="Juyuan"/>
    <x v="21"/>
    <n v="102.73"/>
    <n v="3"/>
    <x v="0"/>
    <n v="4"/>
    <n v="5"/>
    <n v="0.3"/>
    <s v="None"/>
    <s v="Not Sensitive"/>
    <n v="2"/>
    <n v="5"/>
    <s v="None"/>
    <x v="0"/>
    <x v="2"/>
    <d v="2024-07-18T00:00:00"/>
    <n v="642"/>
    <b v="0"/>
    <b v="0"/>
    <x v="1"/>
    <s v="Express"/>
    <n v="14"/>
  </r>
  <r>
    <s v="40-224-1057"/>
    <x v="13"/>
    <x v="0"/>
    <x v="0"/>
    <s v="Married"/>
    <s v="Bachelor's"/>
    <s v="High"/>
    <s v="Sabugo"/>
    <x v="6"/>
    <n v="426.87"/>
    <n v="2"/>
    <x v="1"/>
    <n v="4"/>
    <n v="2"/>
    <n v="2"/>
    <s v="None"/>
    <s v="Not Sensitive"/>
    <n v="0"/>
    <n v="4"/>
    <s v="Medium"/>
    <x v="1"/>
    <x v="2"/>
    <d v="2024-03-14T00:00:00"/>
    <n v="768"/>
    <b v="0"/>
    <b v="0"/>
    <x v="1"/>
    <s v="No Preference"/>
    <n v="3"/>
  </r>
  <r>
    <s v="24-853-1635"/>
    <x v="28"/>
    <x v="0"/>
    <x v="0"/>
    <s v="Widowed"/>
    <s v="High School"/>
    <s v="Middle"/>
    <s v="Huangjin"/>
    <x v="23"/>
    <n v="473.28"/>
    <n v="5"/>
    <x v="2"/>
    <n v="5"/>
    <n v="5"/>
    <n v="1"/>
    <s v="Medium"/>
    <s v="Very Sensitive"/>
    <n v="1"/>
    <n v="9"/>
    <s v="None"/>
    <x v="1"/>
    <x v="4"/>
    <d v="2024-12-09T00:00:00"/>
    <n v="498"/>
    <b v="0"/>
    <b v="0"/>
    <x v="0"/>
    <s v="Standard"/>
    <n v="13"/>
  </r>
  <r>
    <s v="61-627-1822"/>
    <x v="7"/>
    <x v="1"/>
    <x v="1"/>
    <s v="Widowed"/>
    <s v="Bachelor's"/>
    <s v="High"/>
    <s v="Huquan"/>
    <x v="23"/>
    <n v="446.03"/>
    <n v="9"/>
    <x v="1"/>
    <n v="2"/>
    <n v="1"/>
    <n v="2"/>
    <s v="Low"/>
    <s v="Somewhat Sensitive"/>
    <n v="2"/>
    <n v="7"/>
    <s v="None"/>
    <x v="0"/>
    <x v="3"/>
    <d v="2024-06-26T00:00:00"/>
    <n v="664"/>
    <b v="1"/>
    <b v="1"/>
    <x v="0"/>
    <s v="Express"/>
    <n v="12"/>
  </r>
  <r>
    <s v="89-392-5002"/>
    <x v="24"/>
    <x v="0"/>
    <x v="1"/>
    <s v="Single"/>
    <s v="Bachelor's"/>
    <s v="High"/>
    <s v="Xinqiao"/>
    <x v="17"/>
    <n v="287.95"/>
    <n v="3"/>
    <x v="0"/>
    <n v="2"/>
    <n v="3"/>
    <n v="2"/>
    <s v="None"/>
    <s v="Very Sensitive"/>
    <n v="2"/>
    <n v="7"/>
    <s v="High"/>
    <x v="0"/>
    <x v="1"/>
    <d v="2024-11-12T00:00:00"/>
    <n v="525"/>
    <b v="1"/>
    <b v="1"/>
    <x v="3"/>
    <s v="Standard"/>
    <n v="11"/>
  </r>
  <r>
    <s v="71-573-6085"/>
    <x v="16"/>
    <x v="0"/>
    <x v="0"/>
    <s v="Widowed"/>
    <s v="Master's"/>
    <s v="High"/>
    <s v="Trzemeszno"/>
    <x v="8"/>
    <n v="132.52000000000001"/>
    <n v="6"/>
    <x v="0"/>
    <n v="1"/>
    <n v="2"/>
    <n v="0"/>
    <s v="Medium"/>
    <s v="Somewhat Sensitive"/>
    <n v="2"/>
    <n v="10"/>
    <s v="Low"/>
    <x v="1"/>
    <x v="2"/>
    <d v="2024-12-20T00:00:00"/>
    <n v="487"/>
    <b v="1"/>
    <b v="1"/>
    <x v="2"/>
    <s v="Express"/>
    <n v="12"/>
  </r>
  <r>
    <s v="91-810-3612"/>
    <x v="15"/>
    <x v="0"/>
    <x v="0"/>
    <s v="Married"/>
    <s v="Bachelor's"/>
    <s v="Middle"/>
    <s v="Dashkawka"/>
    <x v="6"/>
    <n v="379.2"/>
    <n v="7"/>
    <x v="2"/>
    <n v="5"/>
    <n v="1"/>
    <n v="0"/>
    <s v="Medium"/>
    <s v="Very Sensitive"/>
    <n v="2"/>
    <n v="2"/>
    <s v="High"/>
    <x v="1"/>
    <x v="2"/>
    <d v="2024-05-28T00:00:00"/>
    <n v="693"/>
    <b v="1"/>
    <b v="1"/>
    <x v="0"/>
    <s v="No Preference"/>
    <n v="7"/>
  </r>
  <r>
    <s v="07-323-0255"/>
    <x v="16"/>
    <x v="3"/>
    <x v="0"/>
    <s v="Married"/>
    <s v="High School"/>
    <s v="High"/>
    <s v="Sakura"/>
    <x v="19"/>
    <n v="447.53"/>
    <n v="4"/>
    <x v="2"/>
    <n v="2"/>
    <n v="1"/>
    <n v="2"/>
    <s v="High"/>
    <s v="Somewhat Sensitive"/>
    <n v="1"/>
    <n v="6"/>
    <s v="None"/>
    <x v="1"/>
    <x v="1"/>
    <d v="2024-10-13T00:00:00"/>
    <n v="555"/>
    <b v="1"/>
    <b v="1"/>
    <x v="1"/>
    <s v="No Preference"/>
    <n v="3"/>
  </r>
  <r>
    <s v="81-054-5343"/>
    <x v="5"/>
    <x v="0"/>
    <x v="1"/>
    <s v="Divorced"/>
    <s v="Bachelor's"/>
    <s v="Middle"/>
    <s v="Lianghu"/>
    <x v="2"/>
    <n v="138.44"/>
    <n v="4"/>
    <x v="0"/>
    <n v="5"/>
    <n v="1"/>
    <n v="1"/>
    <s v="None"/>
    <s v="Very Sensitive"/>
    <n v="1"/>
    <n v="2"/>
    <s v="None"/>
    <x v="1"/>
    <x v="4"/>
    <d v="2024-02-22T00:00:00"/>
    <n v="789"/>
    <b v="0"/>
    <b v="1"/>
    <x v="1"/>
    <s v="Express"/>
    <n v="1"/>
  </r>
  <r>
    <s v="14-854-9545"/>
    <x v="5"/>
    <x v="6"/>
    <x v="0"/>
    <s v="Single"/>
    <s v="High School"/>
    <s v="Middle"/>
    <s v="Karabash"/>
    <x v="3"/>
    <n v="440.62"/>
    <n v="8"/>
    <x v="0"/>
    <n v="2"/>
    <n v="2"/>
    <n v="2"/>
    <s v="None"/>
    <s v="Very Sensitive"/>
    <n v="1"/>
    <n v="3"/>
    <s v="Medium"/>
    <x v="0"/>
    <x v="2"/>
    <d v="2024-02-01T00:00:00"/>
    <n v="810"/>
    <b v="1"/>
    <b v="1"/>
    <x v="0"/>
    <s v="Express"/>
    <n v="6"/>
  </r>
  <r>
    <s v="52-150-4629"/>
    <x v="25"/>
    <x v="0"/>
    <x v="1"/>
    <s v="Divorced"/>
    <s v="Master's"/>
    <s v="High"/>
    <s v="Maomiaoji"/>
    <x v="6"/>
    <n v="145.97999999999999"/>
    <n v="4"/>
    <x v="1"/>
    <n v="1"/>
    <n v="2"/>
    <n v="1"/>
    <s v="Low"/>
    <s v="Very Sensitive"/>
    <n v="2"/>
    <n v="5"/>
    <s v="High"/>
    <x v="2"/>
    <x v="3"/>
    <d v="2024-09-16T00:00:00"/>
    <n v="582"/>
    <b v="0"/>
    <b v="0"/>
    <x v="0"/>
    <s v="No Preference"/>
    <n v="1"/>
  </r>
  <r>
    <s v="48-918-4473"/>
    <x v="31"/>
    <x v="1"/>
    <x v="0"/>
    <s v="Married"/>
    <s v="High School"/>
    <s v="High"/>
    <s v="Pingtian"/>
    <x v="14"/>
    <n v="405.66"/>
    <n v="11"/>
    <x v="2"/>
    <n v="5"/>
    <n v="2"/>
    <n v="1"/>
    <s v="Medium"/>
    <s v="Somewhat Sensitive"/>
    <n v="1"/>
    <n v="3"/>
    <s v="High"/>
    <x v="0"/>
    <x v="4"/>
    <d v="2024-04-27T00:00:00"/>
    <n v="724"/>
    <b v="1"/>
    <b v="0"/>
    <x v="2"/>
    <s v="Express"/>
    <n v="11"/>
  </r>
  <r>
    <s v="06-764-5496"/>
    <x v="29"/>
    <x v="0"/>
    <x v="1"/>
    <s v="Single"/>
    <s v="High School"/>
    <s v="Middle"/>
    <s v="TiÅ¡ina"/>
    <x v="20"/>
    <n v="419.98"/>
    <n v="7"/>
    <x v="1"/>
    <n v="4"/>
    <n v="4"/>
    <n v="0"/>
    <s v="None"/>
    <s v="Very Sensitive"/>
    <n v="0"/>
    <n v="10"/>
    <s v="Medium"/>
    <x v="2"/>
    <x v="1"/>
    <d v="2024-04-28T00:00:00"/>
    <n v="723"/>
    <b v="1"/>
    <b v="1"/>
    <x v="2"/>
    <s v="No Preference"/>
    <n v="14"/>
  </r>
  <r>
    <s v="67-036-4295"/>
    <x v="17"/>
    <x v="0"/>
    <x v="0"/>
    <s v="Divorced"/>
    <s v="Master's"/>
    <s v="High"/>
    <s v="Montceau-les-Mines"/>
    <x v="17"/>
    <n v="260.14"/>
    <n v="5"/>
    <x v="2"/>
    <n v="3"/>
    <n v="2"/>
    <n v="1"/>
    <s v="None"/>
    <s v="Somewhat Sensitive"/>
    <n v="1"/>
    <n v="7"/>
    <s v="Low"/>
    <x v="1"/>
    <x v="3"/>
    <d v="2024-09-01T00:00:00"/>
    <n v="597"/>
    <b v="1"/>
    <b v="1"/>
    <x v="0"/>
    <s v="Standard"/>
    <n v="7"/>
  </r>
  <r>
    <s v="35-880-9374"/>
    <x v="15"/>
    <x v="0"/>
    <x v="0"/>
    <s v="Widowed"/>
    <s v="Bachelor's"/>
    <s v="High"/>
    <s v="Karengan"/>
    <x v="17"/>
    <n v="368.91"/>
    <n v="10"/>
    <x v="1"/>
    <n v="1"/>
    <n v="3"/>
    <n v="2"/>
    <s v="High"/>
    <s v="Not Sensitive"/>
    <n v="2"/>
    <n v="10"/>
    <s v="High"/>
    <x v="2"/>
    <x v="2"/>
    <d v="2024-03-21T00:00:00"/>
    <n v="761"/>
    <b v="0"/>
    <b v="0"/>
    <x v="0"/>
    <s v="No Preference"/>
    <n v="7"/>
  </r>
  <r>
    <s v="08-614-6177"/>
    <x v="11"/>
    <x v="1"/>
    <x v="0"/>
    <s v="Widowed"/>
    <s v="Master's"/>
    <s v="Middle"/>
    <s v="Sungai Raya"/>
    <x v="3"/>
    <n v="100.32"/>
    <n v="2"/>
    <x v="1"/>
    <n v="5"/>
    <n v="1"/>
    <n v="1"/>
    <s v="Low"/>
    <s v="Very Sensitive"/>
    <n v="0"/>
    <n v="1"/>
    <s v="Medium"/>
    <x v="0"/>
    <x v="0"/>
    <d v="2024-12-11T00:00:00"/>
    <n v="496"/>
    <b v="0"/>
    <b v="1"/>
    <x v="3"/>
    <s v="Express"/>
    <n v="8"/>
  </r>
  <r>
    <s v="35-879-0014"/>
    <x v="10"/>
    <x v="1"/>
    <x v="1"/>
    <s v="Married"/>
    <s v="Master's"/>
    <s v="Middle"/>
    <s v="Zwedru"/>
    <x v="1"/>
    <n v="107.82"/>
    <n v="7"/>
    <x v="0"/>
    <n v="5"/>
    <n v="3"/>
    <n v="2"/>
    <s v="High"/>
    <s v="Very Sensitive"/>
    <n v="2"/>
    <n v="10"/>
    <s v="Low"/>
    <x v="1"/>
    <x v="0"/>
    <d v="2024-12-04T00:00:00"/>
    <n v="503"/>
    <b v="0"/>
    <b v="1"/>
    <x v="1"/>
    <s v="No Preference"/>
    <n v="2"/>
  </r>
  <r>
    <s v="91-570-2695"/>
    <x v="17"/>
    <x v="1"/>
    <x v="0"/>
    <s v="Married"/>
    <s v="High School"/>
    <s v="Middle"/>
    <s v="Å¢ahÅ£Ä"/>
    <x v="15"/>
    <n v="83.88"/>
    <n v="11"/>
    <x v="2"/>
    <n v="4"/>
    <n v="2"/>
    <n v="1"/>
    <s v="Medium"/>
    <s v="Not Sensitive"/>
    <n v="0"/>
    <n v="6"/>
    <s v="Low"/>
    <x v="2"/>
    <x v="3"/>
    <d v="2024-02-24T00:00:00"/>
    <n v="787"/>
    <b v="1"/>
    <b v="1"/>
    <x v="3"/>
    <s v="Express"/>
    <n v="4"/>
  </r>
  <r>
    <s v="54-193-3526"/>
    <x v="2"/>
    <x v="0"/>
    <x v="0"/>
    <s v="Widowed"/>
    <s v="Bachelor's"/>
    <s v="Middle"/>
    <s v="Masaran"/>
    <x v="22"/>
    <n v="81.25"/>
    <n v="9"/>
    <x v="2"/>
    <n v="1"/>
    <n v="2"/>
    <n v="1"/>
    <s v="Low"/>
    <s v="Very Sensitive"/>
    <n v="2"/>
    <n v="8"/>
    <s v="Medium"/>
    <x v="2"/>
    <x v="4"/>
    <d v="2024-05-24T00:00:00"/>
    <n v="697"/>
    <b v="1"/>
    <b v="1"/>
    <x v="3"/>
    <s v="No Preference"/>
    <n v="10"/>
  </r>
  <r>
    <s v="55-237-7991"/>
    <x v="1"/>
    <x v="1"/>
    <x v="0"/>
    <s v="Widowed"/>
    <s v="Master's"/>
    <s v="High"/>
    <s v="Huangtang"/>
    <x v="3"/>
    <n v="125.8"/>
    <n v="12"/>
    <x v="1"/>
    <n v="4"/>
    <n v="4"/>
    <n v="2"/>
    <s v="None"/>
    <s v="Somewhat Sensitive"/>
    <n v="0"/>
    <n v="8"/>
    <s v="High"/>
    <x v="2"/>
    <x v="1"/>
    <d v="2024-05-18T00:00:00"/>
    <n v="703"/>
    <b v="0"/>
    <b v="1"/>
    <x v="3"/>
    <s v="No Preference"/>
    <n v="1"/>
  </r>
  <r>
    <s v="90-569-7391"/>
    <x v="27"/>
    <x v="0"/>
    <x v="0"/>
    <s v="Single"/>
    <s v="Bachelor's"/>
    <s v="Middle"/>
    <s v="SkoÃºtari"/>
    <x v="18"/>
    <n v="197.9"/>
    <n v="11"/>
    <x v="0"/>
    <n v="2"/>
    <n v="4"/>
    <n v="2"/>
    <s v="Medium"/>
    <s v="Not Sensitive"/>
    <n v="1"/>
    <n v="4"/>
    <s v="Low"/>
    <x v="2"/>
    <x v="2"/>
    <d v="2024-04-02T00:00:00"/>
    <n v="749"/>
    <b v="1"/>
    <b v="1"/>
    <x v="1"/>
    <s v="Standard"/>
    <n v="5"/>
  </r>
  <r>
    <s v="88-395-8741"/>
    <x v="32"/>
    <x v="1"/>
    <x v="1"/>
    <s v="Divorced"/>
    <s v="High School"/>
    <s v="Middle"/>
    <s v="Jelat"/>
    <x v="22"/>
    <n v="299.08999999999997"/>
    <n v="8"/>
    <x v="1"/>
    <n v="1"/>
    <n v="1"/>
    <n v="2"/>
    <s v="High"/>
    <s v="Very Sensitive"/>
    <n v="2"/>
    <n v="7"/>
    <s v="High"/>
    <x v="0"/>
    <x v="2"/>
    <d v="2024-06-24T00:00:00"/>
    <n v="666"/>
    <b v="0"/>
    <b v="0"/>
    <x v="2"/>
    <s v="Standard"/>
    <n v="14"/>
  </r>
  <r>
    <s v="06-638-0433"/>
    <x v="30"/>
    <x v="1"/>
    <x v="1"/>
    <s v="Married"/>
    <s v="High School"/>
    <s v="Middle"/>
    <s v="Doibang"/>
    <x v="22"/>
    <n v="79.3"/>
    <n v="10"/>
    <x v="2"/>
    <n v="3"/>
    <n v="2"/>
    <n v="1"/>
    <s v="Low"/>
    <s v="Somewhat Sensitive"/>
    <n v="2"/>
    <n v="4"/>
    <s v="High"/>
    <x v="1"/>
    <x v="2"/>
    <d v="2024-09-03T00:00:00"/>
    <n v="595"/>
    <b v="0"/>
    <b v="0"/>
    <x v="3"/>
    <s v="No Preference"/>
    <n v="2"/>
  </r>
  <r>
    <s v="84-208-7045"/>
    <x v="4"/>
    <x v="1"/>
    <x v="1"/>
    <s v="Divorced"/>
    <s v="High School"/>
    <s v="High"/>
    <s v="Kazimierz Dolny"/>
    <x v="5"/>
    <n v="55.73"/>
    <n v="12"/>
    <x v="1"/>
    <n v="4"/>
    <n v="3"/>
    <n v="0.3"/>
    <s v="Medium"/>
    <s v="Not Sensitive"/>
    <n v="1"/>
    <n v="3"/>
    <s v="High"/>
    <x v="0"/>
    <x v="1"/>
    <d v="2024-05-19T00:00:00"/>
    <n v="702"/>
    <b v="0"/>
    <b v="1"/>
    <x v="0"/>
    <s v="Express"/>
    <n v="3"/>
  </r>
  <r>
    <s v="71-568-0867"/>
    <x v="19"/>
    <x v="1"/>
    <x v="1"/>
    <s v="Single"/>
    <s v="Bachelor's"/>
    <s v="High"/>
    <s v="Margasari"/>
    <x v="14"/>
    <n v="256.44"/>
    <n v="8"/>
    <x v="1"/>
    <n v="4"/>
    <n v="1"/>
    <n v="2"/>
    <s v="High"/>
    <s v="Somewhat Sensitive"/>
    <n v="1"/>
    <n v="6"/>
    <s v="Medium"/>
    <x v="0"/>
    <x v="3"/>
    <d v="2024-08-04T00:00:00"/>
    <n v="625"/>
    <b v="0"/>
    <b v="0"/>
    <x v="1"/>
    <s v="Express"/>
    <n v="3"/>
  </r>
  <r>
    <s v="18-925-1867"/>
    <x v="25"/>
    <x v="0"/>
    <x v="1"/>
    <s v="Married"/>
    <s v="Bachelor's"/>
    <s v="High"/>
    <s v="GarÃ§a"/>
    <x v="16"/>
    <n v="337.21"/>
    <n v="12"/>
    <x v="2"/>
    <n v="1"/>
    <n v="5"/>
    <n v="1"/>
    <s v="Low"/>
    <s v="Somewhat Sensitive"/>
    <n v="0"/>
    <n v="9"/>
    <s v="None"/>
    <x v="1"/>
    <x v="2"/>
    <d v="2024-10-24T00:00:00"/>
    <n v="544"/>
    <b v="1"/>
    <b v="1"/>
    <x v="3"/>
    <s v="Express"/>
    <n v="11"/>
  </r>
  <r>
    <s v="69-394-1424"/>
    <x v="22"/>
    <x v="0"/>
    <x v="1"/>
    <s v="Single"/>
    <s v="Master's"/>
    <s v="Middle"/>
    <s v="Muff"/>
    <x v="14"/>
    <n v="494.97"/>
    <n v="12"/>
    <x v="1"/>
    <n v="5"/>
    <n v="4"/>
    <n v="2"/>
    <s v="Low"/>
    <s v="Not Sensitive"/>
    <n v="1"/>
    <n v="5"/>
    <s v="Low"/>
    <x v="0"/>
    <x v="2"/>
    <d v="2024-08-16T00:00:00"/>
    <n v="613"/>
    <b v="0"/>
    <b v="0"/>
    <x v="3"/>
    <s v="No Preference"/>
    <n v="7"/>
  </r>
  <r>
    <s v="91-695-8237"/>
    <x v="16"/>
    <x v="0"/>
    <x v="0"/>
    <s v="Widowed"/>
    <s v="High School"/>
    <s v="High"/>
    <s v="Kryva Hora"/>
    <x v="17"/>
    <n v="238.58"/>
    <n v="6"/>
    <x v="2"/>
    <n v="3"/>
    <n v="2"/>
    <n v="2"/>
    <s v="Medium"/>
    <s v="Very Sensitive"/>
    <n v="2"/>
    <n v="9"/>
    <s v="Medium"/>
    <x v="0"/>
    <x v="1"/>
    <d v="2024-06-11T00:00:00"/>
    <n v="679"/>
    <b v="1"/>
    <b v="1"/>
    <x v="1"/>
    <s v="Standard"/>
    <n v="8"/>
  </r>
  <r>
    <s v="68-458-0904"/>
    <x v="28"/>
    <x v="0"/>
    <x v="1"/>
    <s v="Single"/>
    <s v="Bachelor's"/>
    <s v="High"/>
    <s v="Pyra"/>
    <x v="6"/>
    <n v="131.9"/>
    <n v="8"/>
    <x v="0"/>
    <n v="3"/>
    <n v="5"/>
    <n v="0"/>
    <s v="None"/>
    <s v="Not Sensitive"/>
    <n v="2"/>
    <n v="4"/>
    <s v="Medium"/>
    <x v="0"/>
    <x v="0"/>
    <d v="2024-11-01T00:00:00"/>
    <n v="536"/>
    <b v="1"/>
    <b v="1"/>
    <x v="3"/>
    <s v="No Preference"/>
    <n v="4"/>
  </r>
  <r>
    <s v="28-862-5550"/>
    <x v="1"/>
    <x v="0"/>
    <x v="0"/>
    <s v="Married"/>
    <s v="Bachelor's"/>
    <s v="High"/>
    <s v="General Lavalle"/>
    <x v="1"/>
    <n v="403.03"/>
    <n v="12"/>
    <x v="0"/>
    <n v="1"/>
    <n v="5"/>
    <n v="1"/>
    <s v="Medium"/>
    <s v="Somewhat Sensitive"/>
    <n v="0"/>
    <n v="1"/>
    <s v="High"/>
    <x v="0"/>
    <x v="3"/>
    <d v="2024-08-22T00:00:00"/>
    <n v="607"/>
    <b v="1"/>
    <b v="1"/>
    <x v="1"/>
    <s v="Standard"/>
    <n v="2"/>
  </r>
  <r>
    <s v="85-666-7449"/>
    <x v="29"/>
    <x v="0"/>
    <x v="1"/>
    <s v="Widowed"/>
    <s v="Bachelor's"/>
    <s v="High"/>
    <s v="Zhongzhang"/>
    <x v="18"/>
    <n v="338.6"/>
    <n v="10"/>
    <x v="1"/>
    <n v="1"/>
    <n v="3"/>
    <n v="2"/>
    <s v="Medium"/>
    <s v="Somewhat Sensitive"/>
    <n v="1"/>
    <n v="3"/>
    <s v="Medium"/>
    <x v="2"/>
    <x v="3"/>
    <d v="2024-08-24T00:00:00"/>
    <n v="605"/>
    <b v="0"/>
    <b v="0"/>
    <x v="3"/>
    <s v="No Preference"/>
    <n v="9"/>
  </r>
  <r>
    <s v="30-987-7421"/>
    <x v="15"/>
    <x v="1"/>
    <x v="0"/>
    <s v="Widowed"/>
    <s v="High School"/>
    <s v="High"/>
    <s v="Estacion"/>
    <x v="4"/>
    <n v="365.38"/>
    <n v="11"/>
    <x v="2"/>
    <n v="1"/>
    <n v="4"/>
    <n v="0"/>
    <s v="High"/>
    <s v="Somewhat Sensitive"/>
    <n v="0"/>
    <n v="9"/>
    <s v="Medium"/>
    <x v="2"/>
    <x v="4"/>
    <d v="2024-08-01T00:00:00"/>
    <n v="628"/>
    <b v="0"/>
    <b v="0"/>
    <x v="1"/>
    <s v="Express"/>
    <n v="14"/>
  </r>
  <r>
    <s v="39-107-6852"/>
    <x v="6"/>
    <x v="1"/>
    <x v="0"/>
    <s v="Married"/>
    <s v="High School"/>
    <s v="High"/>
    <s v="Xinglongchang"/>
    <x v="6"/>
    <n v="433.99"/>
    <n v="11"/>
    <x v="0"/>
    <n v="3"/>
    <n v="2"/>
    <n v="1"/>
    <s v="High"/>
    <s v="Not Sensitive"/>
    <n v="0"/>
    <n v="2"/>
    <s v="None"/>
    <x v="2"/>
    <x v="0"/>
    <d v="2024-02-09T00:00:00"/>
    <n v="802"/>
    <b v="0"/>
    <b v="0"/>
    <x v="0"/>
    <s v="No Preference"/>
    <n v="8"/>
  </r>
  <r>
    <s v="85-467-6564"/>
    <x v="22"/>
    <x v="0"/>
    <x v="0"/>
    <s v="Widowed"/>
    <s v="High School"/>
    <s v="Middle"/>
    <s v="San Nicolas"/>
    <x v="10"/>
    <n v="495.95"/>
    <n v="5"/>
    <x v="1"/>
    <n v="4"/>
    <n v="2"/>
    <n v="0"/>
    <s v="High"/>
    <s v="Very Sensitive"/>
    <n v="1"/>
    <n v="7"/>
    <s v="None"/>
    <x v="1"/>
    <x v="3"/>
    <d v="2024-04-10T00:00:00"/>
    <n v="741"/>
    <b v="0"/>
    <b v="0"/>
    <x v="3"/>
    <s v="No Preference"/>
    <n v="6"/>
  </r>
  <r>
    <s v="82-692-9306"/>
    <x v="30"/>
    <x v="1"/>
    <x v="1"/>
    <s v="Married"/>
    <s v="High School"/>
    <s v="Middle"/>
    <s v="Ropa"/>
    <x v="15"/>
    <n v="356.22"/>
    <n v="7"/>
    <x v="1"/>
    <n v="2"/>
    <n v="5"/>
    <n v="0"/>
    <s v="Medium"/>
    <s v="Very Sensitive"/>
    <n v="1"/>
    <n v="7"/>
    <s v="High"/>
    <x v="1"/>
    <x v="0"/>
    <d v="2024-06-10T00:00:00"/>
    <n v="680"/>
    <b v="0"/>
    <b v="1"/>
    <x v="3"/>
    <s v="Express"/>
    <n v="6"/>
  </r>
  <r>
    <s v="18-593-8611"/>
    <x v="0"/>
    <x v="7"/>
    <x v="1"/>
    <s v="Single"/>
    <s v="High School"/>
    <s v="Middle"/>
    <s v="San Diego"/>
    <x v="18"/>
    <n v="156.4"/>
    <n v="7"/>
    <x v="1"/>
    <n v="4"/>
    <n v="5"/>
    <n v="2"/>
    <s v="Low"/>
    <s v="Somewhat Sensitive"/>
    <n v="1"/>
    <n v="7"/>
    <s v="Low"/>
    <x v="2"/>
    <x v="0"/>
    <d v="2024-11-07T00:00:00"/>
    <n v="530"/>
    <b v="0"/>
    <b v="1"/>
    <x v="0"/>
    <s v="Standard"/>
    <n v="4"/>
  </r>
  <r>
    <s v="93-093-0556"/>
    <x v="21"/>
    <x v="1"/>
    <x v="0"/>
    <s v="Single"/>
    <s v="Master's"/>
    <s v="Middle"/>
    <s v="Pan-an"/>
    <x v="6"/>
    <n v="454.36"/>
    <n v="3"/>
    <x v="1"/>
    <n v="4"/>
    <n v="5"/>
    <n v="1"/>
    <s v="Low"/>
    <s v="Very Sensitive"/>
    <n v="1"/>
    <n v="8"/>
    <s v="Medium"/>
    <x v="0"/>
    <x v="4"/>
    <d v="2024-09-16T00:00:00"/>
    <n v="582"/>
    <b v="1"/>
    <b v="0"/>
    <x v="3"/>
    <s v="No Preference"/>
    <n v="12"/>
  </r>
  <r>
    <s v="59-080-5779"/>
    <x v="17"/>
    <x v="1"/>
    <x v="1"/>
    <s v="Single"/>
    <s v="Bachelor's"/>
    <s v="High"/>
    <s v="Shu"/>
    <x v="14"/>
    <n v="486.07"/>
    <n v="11"/>
    <x v="0"/>
    <n v="5"/>
    <n v="1"/>
    <n v="0"/>
    <s v="Medium"/>
    <s v="Somewhat Sensitive"/>
    <n v="2"/>
    <n v="6"/>
    <s v="None"/>
    <x v="0"/>
    <x v="0"/>
    <d v="2024-01-16T00:00:00"/>
    <n v="826"/>
    <b v="0"/>
    <b v="0"/>
    <x v="3"/>
    <s v="Standard"/>
    <n v="12"/>
  </r>
  <r>
    <s v="64-915-2968"/>
    <x v="12"/>
    <x v="0"/>
    <x v="1"/>
    <s v="Divorced"/>
    <s v="High School"/>
    <s v="Middle"/>
    <s v="TÃ½n nad Vltavou"/>
    <x v="12"/>
    <n v="427.86"/>
    <n v="11"/>
    <x v="0"/>
    <n v="4"/>
    <n v="3"/>
    <n v="1"/>
    <s v="Medium"/>
    <s v="Not Sensitive"/>
    <n v="0"/>
    <n v="6"/>
    <s v="Medium"/>
    <x v="2"/>
    <x v="2"/>
    <d v="2024-03-03T00:00:00"/>
    <n v="779"/>
    <b v="1"/>
    <b v="1"/>
    <x v="0"/>
    <s v="Express"/>
    <n v="8"/>
  </r>
  <r>
    <s v="94-495-3402"/>
    <x v="1"/>
    <x v="0"/>
    <x v="1"/>
    <s v="Divorced"/>
    <s v="Master's"/>
    <s v="High"/>
    <s v="Mojogajeh"/>
    <x v="21"/>
    <n v="235.13"/>
    <n v="10"/>
    <x v="2"/>
    <n v="5"/>
    <n v="4"/>
    <n v="1"/>
    <s v="Medium"/>
    <s v="Very Sensitive"/>
    <n v="2"/>
    <n v="3"/>
    <s v="None"/>
    <x v="1"/>
    <x v="3"/>
    <d v="2024-03-29T00:00:00"/>
    <n v="753"/>
    <b v="1"/>
    <b v="0"/>
    <x v="3"/>
    <s v="No Preference"/>
    <n v="6"/>
  </r>
  <r>
    <s v="84-458-6432"/>
    <x v="13"/>
    <x v="0"/>
    <x v="0"/>
    <s v="Divorced"/>
    <s v="Bachelor's"/>
    <s v="Middle"/>
    <s v="Mawu"/>
    <x v="19"/>
    <n v="361.27"/>
    <n v="4"/>
    <x v="2"/>
    <n v="3"/>
    <n v="3"/>
    <n v="1"/>
    <s v="None"/>
    <s v="Not Sensitive"/>
    <n v="0"/>
    <n v="5"/>
    <s v="High"/>
    <x v="0"/>
    <x v="0"/>
    <d v="2024-09-15T00:00:00"/>
    <n v="583"/>
    <b v="1"/>
    <b v="0"/>
    <x v="0"/>
    <s v="Standard"/>
    <n v="2"/>
  </r>
  <r>
    <s v="46-452-3822"/>
    <x v="9"/>
    <x v="0"/>
    <x v="0"/>
    <s v="Single"/>
    <s v="Bachelor's"/>
    <s v="Middle"/>
    <s v="Genting"/>
    <x v="4"/>
    <n v="195.83"/>
    <n v="10"/>
    <x v="0"/>
    <n v="1"/>
    <n v="2"/>
    <n v="2"/>
    <s v="None"/>
    <s v="Not Sensitive"/>
    <n v="1"/>
    <n v="7"/>
    <s v="High"/>
    <x v="2"/>
    <x v="2"/>
    <d v="2024-01-25T00:00:00"/>
    <n v="817"/>
    <b v="1"/>
    <b v="0"/>
    <x v="0"/>
    <s v="No Preference"/>
    <n v="13"/>
  </r>
  <r>
    <s v="54-877-5699"/>
    <x v="6"/>
    <x v="1"/>
    <x v="1"/>
    <s v="Married"/>
    <s v="Master's"/>
    <s v="High"/>
    <s v="Madan"/>
    <x v="6"/>
    <n v="340.31"/>
    <n v="10"/>
    <x v="2"/>
    <n v="5"/>
    <n v="1"/>
    <n v="1"/>
    <s v="Low"/>
    <s v="Somewhat Sensitive"/>
    <n v="0"/>
    <n v="5"/>
    <s v="Low"/>
    <x v="2"/>
    <x v="3"/>
    <d v="2024-09-18T00:00:00"/>
    <n v="580"/>
    <b v="0"/>
    <b v="1"/>
    <x v="2"/>
    <s v="No Preference"/>
    <n v="14"/>
  </r>
  <r>
    <s v="15-146-4456"/>
    <x v="13"/>
    <x v="1"/>
    <x v="1"/>
    <s v="Divorced"/>
    <s v="Master's"/>
    <s v="High"/>
    <s v="Hexiangqiao"/>
    <x v="9"/>
    <n v="489.67"/>
    <n v="5"/>
    <x v="0"/>
    <n v="5"/>
    <n v="5"/>
    <n v="1"/>
    <s v="None"/>
    <s v="Very Sensitive"/>
    <n v="1"/>
    <n v="5"/>
    <s v="Medium"/>
    <x v="0"/>
    <x v="2"/>
    <d v="2024-12-21T00:00:00"/>
    <n v="486"/>
    <b v="0"/>
    <b v="0"/>
    <x v="1"/>
    <s v="Standard"/>
    <n v="11"/>
  </r>
  <r>
    <s v="76-620-2994"/>
    <x v="29"/>
    <x v="1"/>
    <x v="1"/>
    <s v="Divorced"/>
    <s v="Master's"/>
    <s v="Middle"/>
    <s v="Na Muen"/>
    <x v="7"/>
    <n v="482.5"/>
    <n v="11"/>
    <x v="0"/>
    <n v="1"/>
    <n v="1"/>
    <n v="1"/>
    <s v="None"/>
    <s v="Very Sensitive"/>
    <n v="2"/>
    <n v="1"/>
    <s v="None"/>
    <x v="1"/>
    <x v="4"/>
    <d v="2024-09-28T00:00:00"/>
    <n v="570"/>
    <b v="1"/>
    <b v="1"/>
    <x v="0"/>
    <s v="No Preference"/>
    <n v="13"/>
  </r>
  <r>
    <s v="60-834-3348"/>
    <x v="11"/>
    <x v="0"/>
    <x v="0"/>
    <s v="Married"/>
    <s v="Master's"/>
    <s v="Middle"/>
    <s v="Gafargaon"/>
    <x v="23"/>
    <n v="433.14"/>
    <n v="10"/>
    <x v="1"/>
    <n v="3"/>
    <n v="1"/>
    <n v="2"/>
    <s v="Medium"/>
    <s v="Not Sensitive"/>
    <n v="2"/>
    <n v="3"/>
    <s v="High"/>
    <x v="0"/>
    <x v="2"/>
    <d v="2024-07-09T00:00:00"/>
    <n v="651"/>
    <b v="0"/>
    <b v="0"/>
    <x v="2"/>
    <s v="No Preference"/>
    <n v="5"/>
  </r>
  <r>
    <s v="77-742-5663"/>
    <x v="26"/>
    <x v="0"/>
    <x v="0"/>
    <s v="Widowed"/>
    <s v="High School"/>
    <s v="High"/>
    <s v="Qingban"/>
    <x v="23"/>
    <n v="375.7"/>
    <n v="6"/>
    <x v="2"/>
    <n v="3"/>
    <n v="1"/>
    <n v="2"/>
    <s v="Low"/>
    <s v="Very Sensitive"/>
    <n v="2"/>
    <n v="10"/>
    <s v="Medium"/>
    <x v="0"/>
    <x v="3"/>
    <d v="2024-09-27T00:00:00"/>
    <n v="571"/>
    <b v="1"/>
    <b v="0"/>
    <x v="1"/>
    <s v="No Preference"/>
    <n v="10"/>
  </r>
  <r>
    <s v="05-167-0833"/>
    <x v="6"/>
    <x v="1"/>
    <x v="0"/>
    <s v="Single"/>
    <s v="Master's"/>
    <s v="Middle"/>
    <s v="LabÃ¨ge"/>
    <x v="22"/>
    <n v="381.3"/>
    <n v="12"/>
    <x v="2"/>
    <n v="2"/>
    <n v="1"/>
    <n v="1"/>
    <s v="High"/>
    <s v="Very Sensitive"/>
    <n v="0"/>
    <n v="4"/>
    <s v="Low"/>
    <x v="2"/>
    <x v="0"/>
    <d v="2024-01-09T00:00:00"/>
    <n v="833"/>
    <b v="0"/>
    <b v="0"/>
    <x v="3"/>
    <s v="Express"/>
    <n v="7"/>
  </r>
  <r>
    <s v="86-182-9556"/>
    <x v="10"/>
    <x v="1"/>
    <x v="1"/>
    <s v="Widowed"/>
    <s v="High School"/>
    <s v="High"/>
    <s v="Port Elizabeth"/>
    <x v="13"/>
    <n v="210.21"/>
    <n v="4"/>
    <x v="0"/>
    <n v="4"/>
    <n v="1"/>
    <n v="2"/>
    <s v="High"/>
    <s v="Very Sensitive"/>
    <n v="0"/>
    <n v="10"/>
    <s v="High"/>
    <x v="2"/>
    <x v="1"/>
    <d v="2024-07-05T00:00:00"/>
    <n v="655"/>
    <b v="0"/>
    <b v="1"/>
    <x v="0"/>
    <s v="No Preference"/>
    <n v="14"/>
  </r>
  <r>
    <s v="14-415-2802"/>
    <x v="3"/>
    <x v="1"/>
    <x v="0"/>
    <s v="Widowed"/>
    <s v="Master's"/>
    <s v="High"/>
    <s v="Sauri"/>
    <x v="18"/>
    <n v="408.81"/>
    <n v="8"/>
    <x v="0"/>
    <n v="5"/>
    <n v="4"/>
    <n v="2"/>
    <s v="Low"/>
    <s v="Very Sensitive"/>
    <n v="1"/>
    <n v="3"/>
    <s v="Medium"/>
    <x v="2"/>
    <x v="2"/>
    <d v="2024-07-16T00:00:00"/>
    <n v="644"/>
    <b v="0"/>
    <b v="1"/>
    <x v="1"/>
    <s v="Express"/>
    <n v="12"/>
  </r>
  <r>
    <s v="49-469-9163"/>
    <x v="28"/>
    <x v="0"/>
    <x v="0"/>
    <s v="Divorced"/>
    <s v="Bachelor's"/>
    <s v="High"/>
    <s v="Desakolot"/>
    <x v="23"/>
    <n v="118.65"/>
    <n v="10"/>
    <x v="0"/>
    <n v="1"/>
    <n v="3"/>
    <n v="0"/>
    <s v="Low"/>
    <s v="Very Sensitive"/>
    <n v="0"/>
    <n v="2"/>
    <s v="Low"/>
    <x v="1"/>
    <x v="0"/>
    <d v="2024-01-09T00:00:00"/>
    <n v="833"/>
    <b v="1"/>
    <b v="1"/>
    <x v="2"/>
    <s v="Standard"/>
    <n v="13"/>
  </r>
  <r>
    <s v="67-937-6624"/>
    <x v="17"/>
    <x v="1"/>
    <x v="1"/>
    <s v="Divorced"/>
    <s v="Bachelor's"/>
    <s v="Middle"/>
    <s v="Huambo"/>
    <x v="14"/>
    <n v="166.45"/>
    <n v="7"/>
    <x v="0"/>
    <n v="5"/>
    <n v="2"/>
    <n v="2"/>
    <s v="Low"/>
    <s v="Very Sensitive"/>
    <n v="2"/>
    <n v="1"/>
    <s v="High"/>
    <x v="1"/>
    <x v="4"/>
    <d v="2024-08-13T00:00:00"/>
    <n v="616"/>
    <b v="1"/>
    <b v="0"/>
    <x v="3"/>
    <s v="Express"/>
    <n v="12"/>
  </r>
  <r>
    <s v="91-761-9492"/>
    <x v="3"/>
    <x v="0"/>
    <x v="0"/>
    <s v="Divorced"/>
    <s v="Master's"/>
    <s v="High"/>
    <s v="Luoting"/>
    <x v="22"/>
    <n v="385.32"/>
    <n v="10"/>
    <x v="2"/>
    <n v="1"/>
    <n v="1"/>
    <n v="1"/>
    <s v="Low"/>
    <s v="Very Sensitive"/>
    <n v="0"/>
    <n v="1"/>
    <s v="Medium"/>
    <x v="1"/>
    <x v="1"/>
    <d v="2024-09-05T00:00:00"/>
    <n v="593"/>
    <b v="1"/>
    <b v="1"/>
    <x v="2"/>
    <s v="Standard"/>
    <n v="9"/>
  </r>
  <r>
    <s v="19-184-7665"/>
    <x v="8"/>
    <x v="4"/>
    <x v="0"/>
    <s v="Married"/>
    <s v="Bachelor's"/>
    <s v="High"/>
    <s v="Stepnogorsk"/>
    <x v="7"/>
    <n v="293.99"/>
    <n v="10"/>
    <x v="0"/>
    <n v="3"/>
    <n v="4"/>
    <n v="0"/>
    <s v="None"/>
    <s v="Somewhat Sensitive"/>
    <n v="2"/>
    <n v="7"/>
    <s v="None"/>
    <x v="0"/>
    <x v="0"/>
    <d v="2024-09-29T00:00:00"/>
    <n v="569"/>
    <b v="0"/>
    <b v="1"/>
    <x v="1"/>
    <s v="No Preference"/>
    <n v="5"/>
  </r>
  <r>
    <s v="19-383-9741"/>
    <x v="14"/>
    <x v="1"/>
    <x v="0"/>
    <s v="Widowed"/>
    <s v="High School"/>
    <s v="Middle"/>
    <s v="Zarechnyy"/>
    <x v="16"/>
    <n v="161.41"/>
    <n v="9"/>
    <x v="0"/>
    <n v="1"/>
    <n v="4"/>
    <n v="0"/>
    <s v="Low"/>
    <s v="Very Sensitive"/>
    <n v="1"/>
    <n v="8"/>
    <s v="High"/>
    <x v="2"/>
    <x v="1"/>
    <d v="2024-04-07T00:00:00"/>
    <n v="744"/>
    <b v="1"/>
    <b v="0"/>
    <x v="2"/>
    <s v="Standard"/>
    <n v="3"/>
  </r>
  <r>
    <s v="15-625-4047"/>
    <x v="7"/>
    <x v="1"/>
    <x v="0"/>
    <s v="Single"/>
    <s v="Master's"/>
    <s v="Middle"/>
    <s v="La UniÃ³n"/>
    <x v="19"/>
    <n v="130.91999999999999"/>
    <n v="2"/>
    <x v="2"/>
    <n v="1"/>
    <n v="2"/>
    <n v="1"/>
    <s v="High"/>
    <s v="Very Sensitive"/>
    <n v="2"/>
    <n v="2"/>
    <s v="None"/>
    <x v="0"/>
    <x v="4"/>
    <d v="2024-12-18T00:00:00"/>
    <n v="489"/>
    <b v="1"/>
    <b v="1"/>
    <x v="2"/>
    <s v="No Preference"/>
    <n v="9"/>
  </r>
  <r>
    <s v="81-820-4735"/>
    <x v="18"/>
    <x v="0"/>
    <x v="0"/>
    <s v="Divorced"/>
    <s v="Bachelor's"/>
    <s v="High"/>
    <s v="Banjar Medura"/>
    <x v="16"/>
    <n v="468.6"/>
    <n v="4"/>
    <x v="0"/>
    <n v="3"/>
    <n v="4"/>
    <n v="2"/>
    <s v="Medium"/>
    <s v="Somewhat Sensitive"/>
    <n v="0"/>
    <n v="6"/>
    <s v="None"/>
    <x v="2"/>
    <x v="1"/>
    <d v="2024-06-14T00:00:00"/>
    <n v="676"/>
    <b v="0"/>
    <b v="1"/>
    <x v="0"/>
    <s v="No Preference"/>
    <n v="2"/>
  </r>
  <r>
    <s v="71-436-6908"/>
    <x v="26"/>
    <x v="1"/>
    <x v="1"/>
    <s v="Divorced"/>
    <s v="Bachelor's"/>
    <s v="Middle"/>
    <s v="Arnprior"/>
    <x v="16"/>
    <n v="237.57"/>
    <n v="5"/>
    <x v="2"/>
    <n v="3"/>
    <n v="3"/>
    <n v="0"/>
    <s v="Medium"/>
    <s v="Somewhat Sensitive"/>
    <n v="0"/>
    <n v="3"/>
    <s v="Medium"/>
    <x v="1"/>
    <x v="4"/>
    <d v="2024-04-25T00:00:00"/>
    <n v="726"/>
    <b v="1"/>
    <b v="1"/>
    <x v="0"/>
    <s v="No Preference"/>
    <n v="11"/>
  </r>
  <r>
    <s v="73-145-5784"/>
    <x v="17"/>
    <x v="0"/>
    <x v="0"/>
    <s v="Divorced"/>
    <s v="High School"/>
    <s v="High"/>
    <s v="Donglu"/>
    <x v="4"/>
    <n v="395.18"/>
    <n v="5"/>
    <x v="1"/>
    <n v="2"/>
    <n v="2"/>
    <n v="1"/>
    <s v="None"/>
    <s v="Not Sensitive"/>
    <n v="0"/>
    <n v="5"/>
    <s v="High"/>
    <x v="1"/>
    <x v="3"/>
    <d v="2024-07-20T00:00:00"/>
    <n v="640"/>
    <b v="1"/>
    <b v="1"/>
    <x v="0"/>
    <s v="Standard"/>
    <n v="6"/>
  </r>
  <r>
    <s v="50-637-1630"/>
    <x v="21"/>
    <x v="5"/>
    <x v="1"/>
    <s v="Married"/>
    <s v="High School"/>
    <s v="Middle"/>
    <s v="Inderka"/>
    <x v="13"/>
    <n v="427.94"/>
    <n v="12"/>
    <x v="0"/>
    <n v="5"/>
    <n v="4"/>
    <n v="1.3"/>
    <s v="High"/>
    <s v="Not Sensitive"/>
    <n v="1"/>
    <n v="2"/>
    <s v="None"/>
    <x v="1"/>
    <x v="3"/>
    <d v="2024-03-29T00:00:00"/>
    <n v="753"/>
    <b v="0"/>
    <b v="0"/>
    <x v="2"/>
    <s v="No Preference"/>
    <n v="10"/>
  </r>
  <r>
    <s v="44-938-7475"/>
    <x v="31"/>
    <x v="0"/>
    <x v="1"/>
    <s v="Single"/>
    <s v="Bachelor's"/>
    <s v="High"/>
    <s v="Tochio-honchÅ"/>
    <x v="11"/>
    <n v="81.23"/>
    <n v="9"/>
    <x v="0"/>
    <n v="2"/>
    <n v="5"/>
    <n v="2"/>
    <s v="High"/>
    <s v="Not Sensitive"/>
    <n v="1"/>
    <n v="10"/>
    <s v="Medium"/>
    <x v="0"/>
    <x v="4"/>
    <d v="2024-03-26T00:00:00"/>
    <n v="756"/>
    <b v="0"/>
    <b v="1"/>
    <x v="1"/>
    <s v="Standard"/>
    <n v="6"/>
  </r>
  <r>
    <s v="55-279-3045"/>
    <x v="25"/>
    <x v="1"/>
    <x v="0"/>
    <s v="Single"/>
    <s v="High School"/>
    <s v="Middle"/>
    <s v="Pasadena"/>
    <x v="11"/>
    <n v="257.43"/>
    <n v="5"/>
    <x v="2"/>
    <n v="4"/>
    <n v="2"/>
    <n v="0"/>
    <s v="Low"/>
    <s v="Somewhat Sensitive"/>
    <n v="1"/>
    <n v="7"/>
    <s v="Low"/>
    <x v="2"/>
    <x v="3"/>
    <d v="2024-04-14T00:00:00"/>
    <n v="737"/>
    <b v="1"/>
    <b v="1"/>
    <x v="0"/>
    <s v="Standard"/>
    <n v="13"/>
  </r>
  <r>
    <s v="59-997-3903"/>
    <x v="21"/>
    <x v="1"/>
    <x v="1"/>
    <s v="Divorced"/>
    <s v="High School"/>
    <s v="High"/>
    <s v="BarishÄl"/>
    <x v="17"/>
    <n v="305.73"/>
    <n v="7"/>
    <x v="0"/>
    <n v="2"/>
    <n v="5"/>
    <n v="1"/>
    <s v="Medium"/>
    <s v="Not Sensitive"/>
    <n v="2"/>
    <n v="8"/>
    <s v="Medium"/>
    <x v="0"/>
    <x v="4"/>
    <d v="2024-12-14T00:00:00"/>
    <n v="493"/>
    <b v="1"/>
    <b v="0"/>
    <x v="3"/>
    <s v="Express"/>
    <n v="14"/>
  </r>
  <r>
    <s v="12-029-9344"/>
    <x v="11"/>
    <x v="1"/>
    <x v="1"/>
    <s v="Single"/>
    <s v="Bachelor's"/>
    <s v="High"/>
    <s v="Kihurio"/>
    <x v="16"/>
    <n v="249.82"/>
    <n v="10"/>
    <x v="1"/>
    <n v="5"/>
    <n v="3"/>
    <n v="1"/>
    <s v="High"/>
    <s v="Not Sensitive"/>
    <n v="2"/>
    <n v="6"/>
    <s v="Medium"/>
    <x v="0"/>
    <x v="1"/>
    <d v="2024-08-12T00:00:00"/>
    <n v="617"/>
    <b v="1"/>
    <b v="0"/>
    <x v="1"/>
    <s v="No Preference"/>
    <n v="10"/>
  </r>
  <r>
    <s v="41-130-2570"/>
    <x v="4"/>
    <x v="1"/>
    <x v="0"/>
    <s v="Divorced"/>
    <s v="Bachelor's"/>
    <s v="High"/>
    <s v="Oekero"/>
    <x v="9"/>
    <n v="332.79"/>
    <n v="11"/>
    <x v="2"/>
    <n v="3"/>
    <n v="5"/>
    <n v="2"/>
    <s v="None"/>
    <s v="Not Sensitive"/>
    <n v="2"/>
    <n v="1"/>
    <s v="High"/>
    <x v="0"/>
    <x v="1"/>
    <d v="2024-08-29T00:00:00"/>
    <n v="600"/>
    <b v="0"/>
    <b v="0"/>
    <x v="1"/>
    <s v="No Preference"/>
    <n v="4"/>
  </r>
  <r>
    <s v="25-285-7453"/>
    <x v="11"/>
    <x v="1"/>
    <x v="1"/>
    <s v="Single"/>
    <s v="Bachelor's"/>
    <s v="Middle"/>
    <s v="Cluses"/>
    <x v="17"/>
    <n v="78.900000000000006"/>
    <n v="3"/>
    <x v="1"/>
    <n v="4"/>
    <n v="1"/>
    <n v="1"/>
    <s v="Low"/>
    <s v="Not Sensitive"/>
    <n v="0"/>
    <n v="1"/>
    <s v="Medium"/>
    <x v="0"/>
    <x v="2"/>
    <d v="2024-09-07T00:00:00"/>
    <n v="591"/>
    <b v="0"/>
    <b v="1"/>
    <x v="3"/>
    <s v="Standard"/>
    <n v="10"/>
  </r>
  <r>
    <s v="47-225-8686"/>
    <x v="3"/>
    <x v="1"/>
    <x v="1"/>
    <s v="Widowed"/>
    <s v="High School"/>
    <s v="High"/>
    <s v="WrzÄ…sowice"/>
    <x v="10"/>
    <n v="122.55"/>
    <n v="9"/>
    <x v="0"/>
    <n v="2"/>
    <n v="4"/>
    <n v="0.3"/>
    <s v="Low"/>
    <s v="Not Sensitive"/>
    <n v="2"/>
    <n v="3"/>
    <s v="Medium"/>
    <x v="2"/>
    <x v="0"/>
    <d v="2024-06-28T00:00:00"/>
    <n v="662"/>
    <b v="0"/>
    <b v="0"/>
    <x v="2"/>
    <s v="Express"/>
    <n v="4"/>
  </r>
  <r>
    <s v="33-519-4214"/>
    <x v="8"/>
    <x v="4"/>
    <x v="1"/>
    <s v="Divorced"/>
    <s v="Bachelor's"/>
    <s v="Middle"/>
    <s v="Hengfeng"/>
    <x v="7"/>
    <n v="307.61"/>
    <n v="6"/>
    <x v="0"/>
    <n v="1"/>
    <n v="1"/>
    <n v="0"/>
    <s v="Low"/>
    <s v="Somewhat Sensitive"/>
    <n v="0"/>
    <n v="9"/>
    <s v="Medium"/>
    <x v="1"/>
    <x v="1"/>
    <d v="2024-09-12T00:00:00"/>
    <n v="586"/>
    <b v="1"/>
    <b v="1"/>
    <x v="0"/>
    <s v="No Preference"/>
    <n v="10"/>
  </r>
  <r>
    <s v="03-991-2098"/>
    <x v="30"/>
    <x v="0"/>
    <x v="1"/>
    <s v="Divorced"/>
    <s v="Bachelor's"/>
    <s v="Middle"/>
    <s v="Bor"/>
    <x v="14"/>
    <n v="152.33000000000001"/>
    <n v="2"/>
    <x v="1"/>
    <n v="1"/>
    <n v="5"/>
    <n v="1"/>
    <s v="None"/>
    <s v="Not Sensitive"/>
    <n v="1"/>
    <n v="6"/>
    <s v="High"/>
    <x v="1"/>
    <x v="2"/>
    <d v="2024-01-19T00:00:00"/>
    <n v="823"/>
    <b v="0"/>
    <b v="1"/>
    <x v="2"/>
    <s v="No Preference"/>
    <n v="8"/>
  </r>
  <r>
    <s v="30-735-8744"/>
    <x v="2"/>
    <x v="0"/>
    <x v="0"/>
    <s v="Divorced"/>
    <s v="Bachelor's"/>
    <s v="High"/>
    <s v="Nawu"/>
    <x v="7"/>
    <n v="465.07"/>
    <n v="8"/>
    <x v="2"/>
    <n v="2"/>
    <n v="4"/>
    <n v="0"/>
    <s v="Medium"/>
    <s v="Not Sensitive"/>
    <n v="1"/>
    <n v="2"/>
    <s v="High"/>
    <x v="2"/>
    <x v="4"/>
    <d v="2024-03-02T00:00:00"/>
    <n v="780"/>
    <b v="0"/>
    <b v="0"/>
    <x v="1"/>
    <s v="No Preference"/>
    <n v="8"/>
  </r>
  <r>
    <s v="13-848-5757"/>
    <x v="11"/>
    <x v="0"/>
    <x v="1"/>
    <s v="Single"/>
    <s v="Master's"/>
    <s v="Middle"/>
    <s v="Longotea"/>
    <x v="6"/>
    <n v="498.23"/>
    <n v="10"/>
    <x v="2"/>
    <n v="5"/>
    <n v="2"/>
    <n v="0"/>
    <s v="None"/>
    <s v="Very Sensitive"/>
    <n v="0"/>
    <n v="7"/>
    <s v="Medium"/>
    <x v="1"/>
    <x v="3"/>
    <d v="2024-01-08T00:00:00"/>
    <n v="834"/>
    <b v="1"/>
    <b v="0"/>
    <x v="3"/>
    <s v="No Preference"/>
    <n v="9"/>
  </r>
  <r>
    <s v="21-300-2001"/>
    <x v="30"/>
    <x v="0"/>
    <x v="0"/>
    <s v="Widowed"/>
    <s v="High School"/>
    <s v="Middle"/>
    <s v="á¸¨abÄ«l al Jabr"/>
    <x v="8"/>
    <n v="491.18"/>
    <n v="3"/>
    <x v="0"/>
    <n v="4"/>
    <n v="4"/>
    <n v="1"/>
    <s v="High"/>
    <s v="Very Sensitive"/>
    <n v="0"/>
    <n v="6"/>
    <s v="None"/>
    <x v="1"/>
    <x v="4"/>
    <d v="2024-08-27T00:00:00"/>
    <n v="602"/>
    <b v="0"/>
    <b v="0"/>
    <x v="2"/>
    <s v="No Preference"/>
    <n v="14"/>
  </r>
  <r>
    <s v="38-587-1781"/>
    <x v="27"/>
    <x v="1"/>
    <x v="0"/>
    <s v="Divorced"/>
    <s v="Bachelor's"/>
    <s v="Middle"/>
    <s v="Gueset"/>
    <x v="10"/>
    <n v="149.41999999999999"/>
    <n v="3"/>
    <x v="0"/>
    <n v="1"/>
    <n v="1"/>
    <n v="2"/>
    <s v="Medium"/>
    <s v="Very Sensitive"/>
    <n v="0"/>
    <n v="6"/>
    <s v="None"/>
    <x v="2"/>
    <x v="4"/>
    <d v="2024-01-03T00:00:00"/>
    <n v="839"/>
    <b v="1"/>
    <b v="0"/>
    <x v="1"/>
    <s v="Express"/>
    <n v="5"/>
  </r>
  <r>
    <s v="66-557-1474"/>
    <x v="8"/>
    <x v="1"/>
    <x v="0"/>
    <s v="Single"/>
    <s v="Master's"/>
    <s v="Middle"/>
    <s v="LÄ«kak"/>
    <x v="4"/>
    <n v="82.13"/>
    <n v="9"/>
    <x v="2"/>
    <n v="5"/>
    <n v="1"/>
    <n v="0"/>
    <s v="Medium"/>
    <s v="Somewhat Sensitive"/>
    <n v="2"/>
    <n v="6"/>
    <s v="High"/>
    <x v="0"/>
    <x v="2"/>
    <d v="2024-04-09T00:00:00"/>
    <n v="742"/>
    <b v="1"/>
    <b v="1"/>
    <x v="0"/>
    <s v="Express"/>
    <n v="6"/>
  </r>
  <r>
    <s v="03-422-8710"/>
    <x v="1"/>
    <x v="1"/>
    <x v="0"/>
    <s v="Divorced"/>
    <s v="Bachelor's"/>
    <s v="High"/>
    <s v="Yuanguping"/>
    <x v="6"/>
    <n v="425.18"/>
    <n v="4"/>
    <x v="0"/>
    <n v="2"/>
    <n v="1"/>
    <n v="0"/>
    <s v="Medium"/>
    <s v="Very Sensitive"/>
    <n v="1"/>
    <n v="8"/>
    <s v="Medium"/>
    <x v="0"/>
    <x v="1"/>
    <d v="2024-03-19T00:00:00"/>
    <n v="763"/>
    <b v="1"/>
    <b v="0"/>
    <x v="1"/>
    <s v="Standard"/>
    <n v="10"/>
  </r>
  <r>
    <s v="39-731-8532"/>
    <x v="7"/>
    <x v="1"/>
    <x v="1"/>
    <s v="Married"/>
    <s v="Master's"/>
    <s v="Middle"/>
    <s v="ColÃ³n"/>
    <x v="17"/>
    <n v="176.12"/>
    <n v="8"/>
    <x v="2"/>
    <n v="2"/>
    <n v="3"/>
    <n v="1.2"/>
    <s v="Medium"/>
    <s v="Somewhat Sensitive"/>
    <n v="1"/>
    <n v="10"/>
    <s v="Low"/>
    <x v="2"/>
    <x v="0"/>
    <d v="2024-06-15T00:00:00"/>
    <n v="675"/>
    <b v="1"/>
    <b v="1"/>
    <x v="2"/>
    <s v="Standard"/>
    <n v="14"/>
  </r>
  <r>
    <s v="80-830-3184"/>
    <x v="26"/>
    <x v="0"/>
    <x v="1"/>
    <s v="Single"/>
    <s v="High School"/>
    <s v="Middle"/>
    <s v="Lyon"/>
    <x v="23"/>
    <n v="70.3"/>
    <n v="6"/>
    <x v="2"/>
    <n v="3"/>
    <n v="5"/>
    <n v="0"/>
    <s v="None"/>
    <s v="Very Sensitive"/>
    <n v="1"/>
    <n v="8"/>
    <s v="Medium"/>
    <x v="2"/>
    <x v="4"/>
    <d v="2024-03-03T00:00:00"/>
    <n v="779"/>
    <b v="1"/>
    <b v="1"/>
    <x v="0"/>
    <s v="Standard"/>
    <n v="3"/>
  </r>
  <r>
    <s v="97-505-8416"/>
    <x v="20"/>
    <x v="1"/>
    <x v="0"/>
    <s v="Married"/>
    <s v="Bachelor's"/>
    <s v="Middle"/>
    <s v="Chamical"/>
    <x v="8"/>
    <n v="319.39"/>
    <n v="7"/>
    <x v="0"/>
    <n v="4"/>
    <n v="5"/>
    <n v="0"/>
    <s v="None"/>
    <s v="Very Sensitive"/>
    <n v="1"/>
    <n v="10"/>
    <s v="High"/>
    <x v="2"/>
    <x v="0"/>
    <d v="2024-11-17T00:00:00"/>
    <n v="520"/>
    <b v="0"/>
    <b v="1"/>
    <x v="3"/>
    <s v="Standard"/>
    <n v="3"/>
  </r>
  <r>
    <s v="98-585-4742"/>
    <x v="9"/>
    <x v="0"/>
    <x v="1"/>
    <s v="Widowed"/>
    <s v="High School"/>
    <s v="High"/>
    <s v="Ãgios AndrÃ©as"/>
    <x v="3"/>
    <n v="113.51"/>
    <n v="11"/>
    <x v="0"/>
    <n v="4"/>
    <n v="1"/>
    <n v="1"/>
    <s v="High"/>
    <s v="Not Sensitive"/>
    <n v="2"/>
    <n v="2"/>
    <s v="Low"/>
    <x v="2"/>
    <x v="0"/>
    <d v="2024-02-14T00:00:00"/>
    <n v="797"/>
    <b v="1"/>
    <b v="1"/>
    <x v="3"/>
    <s v="Express"/>
    <n v="8"/>
  </r>
  <r>
    <s v="51-302-9537"/>
    <x v="13"/>
    <x v="0"/>
    <x v="1"/>
    <s v="Single"/>
    <s v="Bachelor's"/>
    <s v="Middle"/>
    <s v="Cibeusi"/>
    <x v="9"/>
    <n v="492.74"/>
    <n v="2"/>
    <x v="0"/>
    <n v="1"/>
    <n v="5"/>
    <n v="2"/>
    <s v="Low"/>
    <s v="Very Sensitive"/>
    <n v="1"/>
    <n v="3"/>
    <s v="High"/>
    <x v="0"/>
    <x v="3"/>
    <d v="2024-02-29T00:00:00"/>
    <n v="782"/>
    <b v="1"/>
    <b v="0"/>
    <x v="0"/>
    <s v="Express"/>
    <n v="13"/>
  </r>
  <r>
    <s v="88-313-2633"/>
    <x v="4"/>
    <x v="1"/>
    <x v="0"/>
    <s v="Divorced"/>
    <s v="Master's"/>
    <s v="Middle"/>
    <s v="ItsandzÃ©ni"/>
    <x v="4"/>
    <n v="143.80000000000001"/>
    <n v="9"/>
    <x v="1"/>
    <n v="2"/>
    <n v="2"/>
    <n v="2"/>
    <s v="Low"/>
    <s v="Somewhat Sensitive"/>
    <n v="0"/>
    <n v="7"/>
    <s v="None"/>
    <x v="0"/>
    <x v="2"/>
    <d v="2024-02-22T00:00:00"/>
    <n v="789"/>
    <b v="1"/>
    <b v="0"/>
    <x v="1"/>
    <s v="No Preference"/>
    <n v="11"/>
  </r>
  <r>
    <s v="61-286-0069"/>
    <x v="27"/>
    <x v="6"/>
    <x v="0"/>
    <s v="Widowed"/>
    <s v="Bachelor's"/>
    <s v="Middle"/>
    <s v="Kosh-Agach"/>
    <x v="17"/>
    <n v="158.54"/>
    <n v="5"/>
    <x v="2"/>
    <n v="2"/>
    <n v="1"/>
    <n v="1"/>
    <s v="Low"/>
    <s v="Not Sensitive"/>
    <n v="2"/>
    <n v="7"/>
    <s v="High"/>
    <x v="1"/>
    <x v="2"/>
    <d v="2024-03-31T00:00:00"/>
    <n v="751"/>
    <b v="0"/>
    <b v="0"/>
    <x v="3"/>
    <s v="Express"/>
    <n v="5"/>
  </r>
  <r>
    <s v="35-907-0586"/>
    <x v="7"/>
    <x v="0"/>
    <x v="1"/>
    <s v="Married"/>
    <s v="Bachelor's"/>
    <s v="High"/>
    <s v="Kuafeu"/>
    <x v="4"/>
    <n v="213.39"/>
    <n v="6"/>
    <x v="2"/>
    <n v="3"/>
    <n v="4"/>
    <n v="2"/>
    <s v="Medium"/>
    <s v="Not Sensitive"/>
    <n v="2"/>
    <n v="5"/>
    <s v="Medium"/>
    <x v="2"/>
    <x v="4"/>
    <d v="2024-10-27T00:00:00"/>
    <n v="541"/>
    <b v="0"/>
    <b v="1"/>
    <x v="3"/>
    <s v="Standard"/>
    <n v="4"/>
  </r>
  <r>
    <s v="30-522-1574"/>
    <x v="16"/>
    <x v="1"/>
    <x v="0"/>
    <s v="Divorced"/>
    <s v="Bachelor's"/>
    <s v="High"/>
    <s v="Xincheng"/>
    <x v="18"/>
    <n v="127.18"/>
    <n v="2"/>
    <x v="1"/>
    <n v="5"/>
    <n v="5"/>
    <n v="1"/>
    <s v="Medium"/>
    <s v="Somewhat Sensitive"/>
    <n v="0"/>
    <n v="2"/>
    <s v="Medium"/>
    <x v="2"/>
    <x v="2"/>
    <d v="2024-12-21T00:00:00"/>
    <n v="486"/>
    <b v="0"/>
    <b v="0"/>
    <x v="3"/>
    <s v="Standard"/>
    <n v="4"/>
  </r>
  <r>
    <s v="43-715-8777"/>
    <x v="23"/>
    <x v="1"/>
    <x v="0"/>
    <s v="Divorced"/>
    <s v="Master's"/>
    <s v="High"/>
    <s v="Minneapolis"/>
    <x v="8"/>
    <n v="476.63"/>
    <n v="9"/>
    <x v="1"/>
    <n v="3"/>
    <n v="5"/>
    <n v="2"/>
    <s v="Medium"/>
    <s v="Not Sensitive"/>
    <n v="2"/>
    <n v="2"/>
    <s v="None"/>
    <x v="2"/>
    <x v="2"/>
    <d v="2024-11-19T00:00:00"/>
    <n v="518"/>
    <b v="1"/>
    <b v="0"/>
    <x v="2"/>
    <s v="No Preference"/>
    <n v="1"/>
  </r>
  <r>
    <s v="94-692-4313"/>
    <x v="16"/>
    <x v="0"/>
    <x v="1"/>
    <s v="Single"/>
    <s v="Bachelor's"/>
    <s v="Middle"/>
    <s v="PÃ©fki"/>
    <x v="9"/>
    <n v="56.02"/>
    <n v="3"/>
    <x v="2"/>
    <n v="5"/>
    <n v="3"/>
    <n v="1"/>
    <s v="None"/>
    <s v="Very Sensitive"/>
    <n v="1"/>
    <n v="6"/>
    <s v="High"/>
    <x v="2"/>
    <x v="1"/>
    <d v="2024-09-13T00:00:00"/>
    <n v="585"/>
    <b v="0"/>
    <b v="1"/>
    <x v="0"/>
    <s v="Standard"/>
    <n v="12"/>
  </r>
  <r>
    <s v="96-915-4091"/>
    <x v="15"/>
    <x v="0"/>
    <x v="1"/>
    <s v="Widowed"/>
    <s v="Bachelor's"/>
    <s v="Middle"/>
    <s v="á¸¨awallÄ«"/>
    <x v="13"/>
    <n v="398.97"/>
    <n v="3"/>
    <x v="2"/>
    <n v="2"/>
    <n v="3"/>
    <n v="1"/>
    <s v="High"/>
    <s v="Not Sensitive"/>
    <n v="2"/>
    <n v="3"/>
    <s v="High"/>
    <x v="0"/>
    <x v="2"/>
    <d v="2024-09-26T00:00:00"/>
    <n v="572"/>
    <b v="0"/>
    <b v="0"/>
    <x v="2"/>
    <s v="No Preference"/>
    <n v="9"/>
  </r>
  <r>
    <s v="67-073-5578"/>
    <x v="23"/>
    <x v="0"/>
    <x v="0"/>
    <s v="Divorced"/>
    <s v="High School"/>
    <s v="Middle"/>
    <s v="SÃ£o Mateus do MaranhÃ£o"/>
    <x v="19"/>
    <n v="53.45"/>
    <n v="6"/>
    <x v="0"/>
    <n v="2"/>
    <n v="3"/>
    <n v="1"/>
    <s v="High"/>
    <s v="Somewhat Sensitive"/>
    <n v="1"/>
    <n v="9"/>
    <s v="High"/>
    <x v="0"/>
    <x v="2"/>
    <d v="2024-07-14T00:00:00"/>
    <n v="646"/>
    <b v="0"/>
    <b v="0"/>
    <x v="0"/>
    <s v="Standard"/>
    <n v="11"/>
  </r>
  <r>
    <s v="27-010-9462"/>
    <x v="6"/>
    <x v="6"/>
    <x v="0"/>
    <s v="Married"/>
    <s v="Bachelor's"/>
    <s v="High"/>
    <s v="Imielin"/>
    <x v="19"/>
    <n v="61.19"/>
    <n v="2"/>
    <x v="0"/>
    <n v="4"/>
    <n v="5"/>
    <n v="1"/>
    <s v="None"/>
    <s v="Not Sensitive"/>
    <n v="2"/>
    <n v="6"/>
    <s v="High"/>
    <x v="2"/>
    <x v="1"/>
    <d v="2024-08-12T00:00:00"/>
    <n v="617"/>
    <b v="1"/>
    <b v="1"/>
    <x v="1"/>
    <s v="No Preference"/>
    <n v="3"/>
  </r>
  <r>
    <s v="19-689-4556"/>
    <x v="17"/>
    <x v="0"/>
    <x v="0"/>
    <s v="Married"/>
    <s v="High School"/>
    <s v="Middle"/>
    <s v="Przeworsk"/>
    <x v="8"/>
    <n v="471.31"/>
    <n v="4"/>
    <x v="0"/>
    <n v="1"/>
    <n v="5"/>
    <n v="2"/>
    <s v="High"/>
    <s v="Very Sensitive"/>
    <n v="0"/>
    <n v="8"/>
    <s v="None"/>
    <x v="1"/>
    <x v="3"/>
    <d v="2024-12-17T00:00:00"/>
    <n v="490"/>
    <b v="0"/>
    <b v="1"/>
    <x v="2"/>
    <s v="Express"/>
    <n v="7"/>
  </r>
  <r>
    <s v="53-143-6147"/>
    <x v="1"/>
    <x v="0"/>
    <x v="1"/>
    <s v="Divorced"/>
    <s v="High School"/>
    <s v="High"/>
    <s v="Amsterdam Nieuw West"/>
    <x v="10"/>
    <n v="179.19"/>
    <n v="10"/>
    <x v="1"/>
    <n v="3"/>
    <n v="1"/>
    <n v="1"/>
    <s v="Low"/>
    <s v="Not Sensitive"/>
    <n v="2"/>
    <n v="7"/>
    <s v="None"/>
    <x v="0"/>
    <x v="1"/>
    <d v="2024-03-21T00:00:00"/>
    <n v="761"/>
    <b v="0"/>
    <b v="0"/>
    <x v="2"/>
    <s v="Express"/>
    <n v="12"/>
  </r>
  <r>
    <s v="02-725-7664"/>
    <x v="20"/>
    <x v="0"/>
    <x v="1"/>
    <s v="Divorced"/>
    <s v="High School"/>
    <s v="Middle"/>
    <s v="Klishkivtsi"/>
    <x v="1"/>
    <n v="294.61"/>
    <n v="6"/>
    <x v="1"/>
    <n v="2"/>
    <n v="1"/>
    <n v="0"/>
    <s v="None"/>
    <s v="Very Sensitive"/>
    <n v="0"/>
    <n v="2"/>
    <s v="None"/>
    <x v="2"/>
    <x v="1"/>
    <d v="2024-10-03T00:00:00"/>
    <n v="565"/>
    <b v="0"/>
    <b v="1"/>
    <x v="1"/>
    <s v="Express"/>
    <n v="4"/>
  </r>
  <r>
    <s v="54-439-4748"/>
    <x v="22"/>
    <x v="4"/>
    <x v="1"/>
    <s v="Widowed"/>
    <s v="Bachelor's"/>
    <s v="High"/>
    <s v="Borova"/>
    <x v="10"/>
    <n v="375.45"/>
    <n v="6"/>
    <x v="2"/>
    <n v="3"/>
    <n v="4"/>
    <n v="0"/>
    <s v="High"/>
    <s v="Not Sensitive"/>
    <n v="1"/>
    <n v="8"/>
    <s v="Medium"/>
    <x v="1"/>
    <x v="3"/>
    <d v="2024-04-14T00:00:00"/>
    <n v="737"/>
    <b v="0"/>
    <b v="1"/>
    <x v="2"/>
    <s v="Express"/>
    <n v="1"/>
  </r>
  <r>
    <s v="66-949-9895"/>
    <x v="6"/>
    <x v="1"/>
    <x v="0"/>
    <s v="Widowed"/>
    <s v="Master's"/>
    <s v="High"/>
    <s v="Vendargues"/>
    <x v="13"/>
    <n v="83.5"/>
    <n v="12"/>
    <x v="1"/>
    <n v="2"/>
    <n v="4"/>
    <n v="0"/>
    <s v="None"/>
    <s v="Not Sensitive"/>
    <n v="2"/>
    <n v="7"/>
    <s v="Low"/>
    <x v="1"/>
    <x v="4"/>
    <d v="2024-01-25T00:00:00"/>
    <n v="817"/>
    <b v="1"/>
    <b v="1"/>
    <x v="0"/>
    <s v="Standard"/>
    <n v="10"/>
  </r>
  <r>
    <s v="20-648-1010"/>
    <x v="10"/>
    <x v="1"/>
    <x v="1"/>
    <s v="Married"/>
    <s v="High School"/>
    <s v="Middle"/>
    <s v="Zilang"/>
    <x v="3"/>
    <n v="109.88"/>
    <n v="7"/>
    <x v="2"/>
    <n v="4"/>
    <n v="4"/>
    <n v="1"/>
    <s v="Low"/>
    <s v="Very Sensitive"/>
    <n v="1"/>
    <n v="3"/>
    <s v="Medium"/>
    <x v="1"/>
    <x v="0"/>
    <d v="2024-01-05T00:00:00"/>
    <n v="837"/>
    <b v="0"/>
    <b v="1"/>
    <x v="2"/>
    <s v="Standard"/>
    <n v="11"/>
  </r>
  <r>
    <s v="79-939-5393"/>
    <x v="6"/>
    <x v="0"/>
    <x v="1"/>
    <s v="Married"/>
    <s v="High School"/>
    <s v="High"/>
    <s v="Camalote"/>
    <x v="2"/>
    <n v="182.54"/>
    <n v="11"/>
    <x v="0"/>
    <n v="5"/>
    <n v="5"/>
    <n v="1"/>
    <s v="Medium"/>
    <s v="Somewhat Sensitive"/>
    <n v="1"/>
    <n v="1"/>
    <s v="High"/>
    <x v="0"/>
    <x v="4"/>
    <d v="2024-08-21T00:00:00"/>
    <n v="608"/>
    <b v="0"/>
    <b v="0"/>
    <x v="0"/>
    <s v="Standard"/>
    <n v="13"/>
  </r>
  <r>
    <s v="89-249-8369"/>
    <x v="25"/>
    <x v="0"/>
    <x v="1"/>
    <s v="Widowed"/>
    <s v="Bachelor's"/>
    <s v="High"/>
    <s v="Julayjilah"/>
    <x v="4"/>
    <n v="465.48"/>
    <n v="3"/>
    <x v="0"/>
    <n v="3"/>
    <n v="3"/>
    <n v="2"/>
    <s v="Medium"/>
    <s v="Very Sensitive"/>
    <n v="1"/>
    <n v="8"/>
    <s v="Medium"/>
    <x v="0"/>
    <x v="4"/>
    <d v="2024-06-21T00:00:00"/>
    <n v="669"/>
    <b v="0"/>
    <b v="0"/>
    <x v="1"/>
    <s v="No Preference"/>
    <n v="1"/>
  </r>
  <r>
    <s v="85-366-1482"/>
    <x v="16"/>
    <x v="0"/>
    <x v="0"/>
    <s v="Married"/>
    <s v="High School"/>
    <s v="Middle"/>
    <s v="Badajoz"/>
    <x v="10"/>
    <n v="224.52"/>
    <n v="8"/>
    <x v="0"/>
    <n v="3"/>
    <n v="3"/>
    <n v="2"/>
    <s v="Low"/>
    <s v="Not Sensitive"/>
    <n v="1"/>
    <n v="5"/>
    <s v="High"/>
    <x v="2"/>
    <x v="0"/>
    <d v="2024-11-29T00:00:00"/>
    <n v="508"/>
    <b v="1"/>
    <b v="0"/>
    <x v="2"/>
    <s v="Express"/>
    <n v="1"/>
  </r>
  <r>
    <s v="34-874-7357"/>
    <x v="6"/>
    <x v="1"/>
    <x v="1"/>
    <s v="Widowed"/>
    <s v="Master's"/>
    <s v="Middle"/>
    <s v="Fort Wayne"/>
    <x v="21"/>
    <n v="281.37"/>
    <n v="12"/>
    <x v="2"/>
    <n v="2"/>
    <n v="3"/>
    <n v="2"/>
    <s v="Low"/>
    <s v="Very Sensitive"/>
    <n v="0"/>
    <n v="2"/>
    <s v="Low"/>
    <x v="1"/>
    <x v="2"/>
    <d v="2024-01-02T00:00:00"/>
    <n v="840"/>
    <b v="0"/>
    <b v="1"/>
    <x v="2"/>
    <s v="Express"/>
    <n v="14"/>
  </r>
  <r>
    <s v="11-820-5039"/>
    <x v="0"/>
    <x v="0"/>
    <x v="0"/>
    <s v="Married"/>
    <s v="Bachelor's"/>
    <s v="Middle"/>
    <s v="GalÃ¡n"/>
    <x v="2"/>
    <n v="125.68"/>
    <n v="2"/>
    <x v="2"/>
    <n v="1"/>
    <n v="4"/>
    <n v="1"/>
    <s v="None"/>
    <s v="Not Sensitive"/>
    <n v="1"/>
    <n v="8"/>
    <s v="Medium"/>
    <x v="1"/>
    <x v="2"/>
    <d v="2024-06-21T00:00:00"/>
    <n v="669"/>
    <b v="1"/>
    <b v="0"/>
    <x v="0"/>
    <s v="Express"/>
    <n v="9"/>
  </r>
  <r>
    <s v="73-846-1423"/>
    <x v="9"/>
    <x v="0"/>
    <x v="1"/>
    <s v="Single"/>
    <s v="High School"/>
    <s v="High"/>
    <s v="Saint Joseph"/>
    <x v="21"/>
    <n v="178.21"/>
    <n v="7"/>
    <x v="1"/>
    <n v="1"/>
    <n v="5"/>
    <n v="2"/>
    <s v="Low"/>
    <s v="Somewhat Sensitive"/>
    <n v="2"/>
    <n v="8"/>
    <s v="None"/>
    <x v="2"/>
    <x v="1"/>
    <d v="2024-05-24T00:00:00"/>
    <n v="697"/>
    <b v="0"/>
    <b v="0"/>
    <x v="3"/>
    <s v="No Preference"/>
    <n v="9"/>
  </r>
  <r>
    <s v="90-363-8040"/>
    <x v="23"/>
    <x v="1"/>
    <x v="1"/>
    <s v="Divorced"/>
    <s v="Bachelor's"/>
    <s v="Middle"/>
    <s v="Hospitalet De Llobregat, L'"/>
    <x v="10"/>
    <n v="483.23"/>
    <n v="7"/>
    <x v="2"/>
    <n v="2"/>
    <n v="4"/>
    <n v="2"/>
    <s v="Medium"/>
    <s v="Somewhat Sensitive"/>
    <n v="0"/>
    <n v="5"/>
    <s v="High"/>
    <x v="1"/>
    <x v="1"/>
    <d v="2024-12-19T00:00:00"/>
    <n v="488"/>
    <b v="1"/>
    <b v="0"/>
    <x v="2"/>
    <s v="Express"/>
    <n v="9"/>
  </r>
  <r>
    <s v="65-533-1660"/>
    <x v="27"/>
    <x v="1"/>
    <x v="0"/>
    <s v="Married"/>
    <s v="Master's"/>
    <s v="High"/>
    <s v="Palma De Mallorca"/>
    <x v="3"/>
    <n v="415.3"/>
    <n v="11"/>
    <x v="1"/>
    <n v="4"/>
    <n v="2"/>
    <n v="1"/>
    <s v="Low"/>
    <s v="Very Sensitive"/>
    <n v="1"/>
    <n v="9"/>
    <s v="None"/>
    <x v="0"/>
    <x v="1"/>
    <d v="2024-09-25T00:00:00"/>
    <n v="573"/>
    <b v="0"/>
    <b v="1"/>
    <x v="2"/>
    <s v="Standard"/>
    <n v="2"/>
  </r>
  <r>
    <s v="98-376-8787"/>
    <x v="15"/>
    <x v="1"/>
    <x v="1"/>
    <s v="Married"/>
    <s v="Master's"/>
    <s v="Middle"/>
    <s v="Pho Duc"/>
    <x v="13"/>
    <n v="85.52"/>
    <n v="7"/>
    <x v="0"/>
    <n v="1"/>
    <n v="5"/>
    <n v="0"/>
    <s v="Medium"/>
    <s v="Somewhat Sensitive"/>
    <n v="1"/>
    <n v="3"/>
    <s v="Low"/>
    <x v="1"/>
    <x v="3"/>
    <d v="2024-10-31T00:00:00"/>
    <n v="537"/>
    <b v="0"/>
    <b v="1"/>
    <x v="3"/>
    <s v="No Preference"/>
    <n v="7"/>
  </r>
  <r>
    <s v="18-938-9896"/>
    <x v="32"/>
    <x v="0"/>
    <x v="0"/>
    <s v="Widowed"/>
    <s v="High School"/>
    <s v="High"/>
    <s v="Åeba"/>
    <x v="12"/>
    <n v="422.31"/>
    <n v="2"/>
    <x v="1"/>
    <n v="3"/>
    <n v="4"/>
    <n v="1"/>
    <s v="Medium"/>
    <s v="Very Sensitive"/>
    <n v="0"/>
    <n v="6"/>
    <s v="None"/>
    <x v="1"/>
    <x v="3"/>
    <d v="2024-08-09T00:00:00"/>
    <n v="620"/>
    <b v="1"/>
    <b v="1"/>
    <x v="2"/>
    <s v="No Preference"/>
    <n v="3"/>
  </r>
  <r>
    <s v="04-829-7037"/>
    <x v="18"/>
    <x v="2"/>
    <x v="1"/>
    <s v="Married"/>
    <s v="High School"/>
    <s v="High"/>
    <s v="Yaguaraparo"/>
    <x v="17"/>
    <n v="70.42"/>
    <n v="11"/>
    <x v="2"/>
    <n v="4"/>
    <n v="5"/>
    <n v="1"/>
    <s v="High"/>
    <s v="Not Sensitive"/>
    <n v="2"/>
    <n v="7"/>
    <s v="Low"/>
    <x v="2"/>
    <x v="3"/>
    <d v="2024-10-01T00:00:00"/>
    <n v="567"/>
    <b v="0"/>
    <b v="1"/>
    <x v="0"/>
    <s v="Express"/>
    <n v="14"/>
  </r>
  <r>
    <s v="93-455-0576"/>
    <x v="25"/>
    <x v="0"/>
    <x v="0"/>
    <s v="Widowed"/>
    <s v="Master's"/>
    <s v="Middle"/>
    <s v="Novoorsk"/>
    <x v="16"/>
    <n v="437.4"/>
    <n v="6"/>
    <x v="0"/>
    <n v="1"/>
    <n v="4"/>
    <n v="1"/>
    <s v="High"/>
    <s v="Somewhat Sensitive"/>
    <n v="2"/>
    <n v="5"/>
    <s v="Low"/>
    <x v="0"/>
    <x v="0"/>
    <d v="2024-06-16T00:00:00"/>
    <n v="674"/>
    <b v="0"/>
    <b v="0"/>
    <x v="3"/>
    <s v="Express"/>
    <n v="1"/>
  </r>
  <r>
    <s v="84-637-9188"/>
    <x v="22"/>
    <x v="1"/>
    <x v="0"/>
    <s v="Divorced"/>
    <s v="Bachelor's"/>
    <s v="Middle"/>
    <s v="Wuyang"/>
    <x v="23"/>
    <n v="207.11"/>
    <n v="4"/>
    <x v="0"/>
    <n v="1"/>
    <n v="4"/>
    <n v="2"/>
    <s v="High"/>
    <s v="Not Sensitive"/>
    <n v="0"/>
    <n v="1"/>
    <s v="Low"/>
    <x v="0"/>
    <x v="3"/>
    <d v="2024-03-28T00:00:00"/>
    <n v="754"/>
    <b v="1"/>
    <b v="0"/>
    <x v="0"/>
    <s v="No Preference"/>
    <n v="2"/>
  </r>
  <r>
    <s v="81-111-7832"/>
    <x v="17"/>
    <x v="0"/>
    <x v="1"/>
    <s v="Widowed"/>
    <s v="Bachelor's"/>
    <s v="Middle"/>
    <s v="PelasgÃ­a"/>
    <x v="9"/>
    <n v="378.87"/>
    <n v="2"/>
    <x v="2"/>
    <n v="5"/>
    <n v="2"/>
    <n v="2"/>
    <s v="None"/>
    <s v="Very Sensitive"/>
    <n v="2"/>
    <n v="2"/>
    <s v="Medium"/>
    <x v="2"/>
    <x v="2"/>
    <d v="2024-06-16T00:00:00"/>
    <n v="674"/>
    <b v="1"/>
    <b v="0"/>
    <x v="3"/>
    <s v="No Preference"/>
    <n v="9"/>
  </r>
  <r>
    <s v="77-401-8183"/>
    <x v="12"/>
    <x v="0"/>
    <x v="1"/>
    <s v="Divorced"/>
    <s v="High School"/>
    <s v="High"/>
    <s v="PhÃºc Thá»"/>
    <x v="15"/>
    <n v="349"/>
    <n v="10"/>
    <x v="0"/>
    <n v="3"/>
    <n v="5"/>
    <n v="1"/>
    <s v="Low"/>
    <s v="Not Sensitive"/>
    <n v="1"/>
    <n v="5"/>
    <s v="Low"/>
    <x v="2"/>
    <x v="1"/>
    <d v="2024-01-15T00:00:00"/>
    <n v="827"/>
    <b v="0"/>
    <b v="1"/>
    <x v="3"/>
    <s v="No Preference"/>
    <n v="10"/>
  </r>
  <r>
    <s v="01-484-8220"/>
    <x v="9"/>
    <x v="1"/>
    <x v="0"/>
    <s v="Married"/>
    <s v="Bachelor's"/>
    <s v="Middle"/>
    <s v="Vsevolozhsk"/>
    <x v="11"/>
    <n v="330.27"/>
    <n v="3"/>
    <x v="1"/>
    <n v="3"/>
    <n v="2"/>
    <n v="1"/>
    <s v="High"/>
    <s v="Not Sensitive"/>
    <n v="1"/>
    <n v="9"/>
    <s v="High"/>
    <x v="1"/>
    <x v="3"/>
    <d v="2024-02-10T00:00:00"/>
    <n v="801"/>
    <b v="1"/>
    <b v="0"/>
    <x v="2"/>
    <s v="No Preference"/>
    <n v="9"/>
  </r>
  <r>
    <s v="11-121-0709"/>
    <x v="21"/>
    <x v="1"/>
    <x v="0"/>
    <s v="Married"/>
    <s v="Master's"/>
    <s v="Middle"/>
    <s v="Kara Suu"/>
    <x v="18"/>
    <n v="410.29"/>
    <n v="10"/>
    <x v="2"/>
    <n v="2"/>
    <n v="4"/>
    <n v="1"/>
    <s v="Low"/>
    <s v="Not Sensitive"/>
    <n v="2"/>
    <n v="4"/>
    <s v="High"/>
    <x v="1"/>
    <x v="0"/>
    <d v="2024-09-02T00:00:00"/>
    <n v="596"/>
    <b v="1"/>
    <b v="0"/>
    <x v="3"/>
    <s v="Express"/>
    <n v="1"/>
  </r>
  <r>
    <s v="36-649-0081"/>
    <x v="2"/>
    <x v="0"/>
    <x v="1"/>
    <s v="Divorced"/>
    <s v="Master's"/>
    <s v="Middle"/>
    <s v="Beigucheng"/>
    <x v="11"/>
    <n v="400.86"/>
    <n v="7"/>
    <x v="2"/>
    <n v="3"/>
    <n v="3"/>
    <n v="1"/>
    <s v="High"/>
    <s v="Very Sensitive"/>
    <n v="1"/>
    <n v="7"/>
    <s v="Low"/>
    <x v="1"/>
    <x v="0"/>
    <d v="2024-09-12T00:00:00"/>
    <n v="586"/>
    <b v="1"/>
    <b v="0"/>
    <x v="3"/>
    <s v="No Preference"/>
    <n v="5"/>
  </r>
  <r>
    <s v="61-176-8712"/>
    <x v="23"/>
    <x v="0"/>
    <x v="1"/>
    <s v="Married"/>
    <s v="Master's"/>
    <s v="Middle"/>
    <s v="Cerro"/>
    <x v="21"/>
    <n v="225.12"/>
    <n v="11"/>
    <x v="1"/>
    <n v="3"/>
    <n v="2"/>
    <n v="1"/>
    <s v="Medium"/>
    <s v="Somewhat Sensitive"/>
    <n v="0"/>
    <n v="1"/>
    <s v="None"/>
    <x v="2"/>
    <x v="4"/>
    <d v="2024-08-31T00:00:00"/>
    <n v="598"/>
    <b v="1"/>
    <b v="0"/>
    <x v="3"/>
    <s v="Express"/>
    <n v="6"/>
  </r>
  <r>
    <s v="75-526-2611"/>
    <x v="15"/>
    <x v="0"/>
    <x v="1"/>
    <s v="Widowed"/>
    <s v="Master's"/>
    <s v="High"/>
    <s v="Yamaga"/>
    <x v="21"/>
    <n v="273.48"/>
    <n v="12"/>
    <x v="2"/>
    <n v="5"/>
    <n v="3"/>
    <n v="2"/>
    <s v="Low"/>
    <s v="Very Sensitive"/>
    <n v="0"/>
    <n v="5"/>
    <s v="Medium"/>
    <x v="1"/>
    <x v="3"/>
    <d v="2024-01-22T00:00:00"/>
    <n v="820"/>
    <b v="1"/>
    <b v="0"/>
    <x v="1"/>
    <s v="Express"/>
    <n v="5"/>
  </r>
  <r>
    <s v="72-339-1854"/>
    <x v="24"/>
    <x v="2"/>
    <x v="1"/>
    <s v="Single"/>
    <s v="Master's"/>
    <s v="Middle"/>
    <s v="Sacramento"/>
    <x v="4"/>
    <n v="363.84"/>
    <n v="11"/>
    <x v="2"/>
    <n v="3"/>
    <n v="2"/>
    <n v="1"/>
    <s v="Low"/>
    <s v="Not Sensitive"/>
    <n v="0"/>
    <n v="3"/>
    <s v="Medium"/>
    <x v="2"/>
    <x v="4"/>
    <d v="2024-08-30T00:00:00"/>
    <n v="599"/>
    <b v="1"/>
    <b v="0"/>
    <x v="2"/>
    <s v="Express"/>
    <n v="5"/>
  </r>
  <r>
    <s v="80-360-6324"/>
    <x v="2"/>
    <x v="0"/>
    <x v="1"/>
    <s v="Single"/>
    <s v="Bachelor's"/>
    <s v="Middle"/>
    <s v="Foso"/>
    <x v="12"/>
    <n v="302.60000000000002"/>
    <n v="9"/>
    <x v="2"/>
    <n v="1"/>
    <n v="4"/>
    <n v="2"/>
    <s v="Medium"/>
    <s v="Very Sensitive"/>
    <n v="2"/>
    <n v="10"/>
    <s v="None"/>
    <x v="2"/>
    <x v="2"/>
    <d v="2024-07-23T00:00:00"/>
    <n v="637"/>
    <b v="0"/>
    <b v="1"/>
    <x v="2"/>
    <s v="Standard"/>
    <n v="2"/>
  </r>
  <r>
    <s v="24-591-4327"/>
    <x v="22"/>
    <x v="1"/>
    <x v="1"/>
    <s v="Divorced"/>
    <s v="High School"/>
    <s v="High"/>
    <s v="Nowe Brzesko"/>
    <x v="9"/>
    <n v="317.08999999999997"/>
    <n v="6"/>
    <x v="2"/>
    <n v="1"/>
    <n v="1"/>
    <n v="1"/>
    <s v="High"/>
    <s v="Not Sensitive"/>
    <n v="2"/>
    <n v="2"/>
    <s v="High"/>
    <x v="2"/>
    <x v="3"/>
    <d v="2024-04-11T00:00:00"/>
    <n v="740"/>
    <b v="1"/>
    <b v="0"/>
    <x v="2"/>
    <s v="Standard"/>
    <n v="4"/>
  </r>
  <r>
    <s v="58-487-8848"/>
    <x v="9"/>
    <x v="0"/>
    <x v="1"/>
    <s v="Married"/>
    <s v="High School"/>
    <s v="High"/>
    <s v="KonÄrak"/>
    <x v="21"/>
    <n v="193.32"/>
    <n v="9"/>
    <x v="0"/>
    <n v="4"/>
    <n v="3"/>
    <n v="0"/>
    <s v="None"/>
    <s v="Very Sensitive"/>
    <n v="0"/>
    <n v="8"/>
    <s v="High"/>
    <x v="0"/>
    <x v="1"/>
    <d v="2024-07-11T00:00:00"/>
    <n v="649"/>
    <b v="0"/>
    <b v="1"/>
    <x v="1"/>
    <s v="Express"/>
    <n v="6"/>
  </r>
  <r>
    <s v="61-453-3503"/>
    <x v="10"/>
    <x v="1"/>
    <x v="1"/>
    <s v="Widowed"/>
    <s v="High School"/>
    <s v="High"/>
    <s v="Qingshandi"/>
    <x v="14"/>
    <n v="282.24"/>
    <n v="6"/>
    <x v="2"/>
    <n v="2"/>
    <n v="3"/>
    <n v="2"/>
    <s v="None"/>
    <s v="Not Sensitive"/>
    <n v="1"/>
    <n v="7"/>
    <s v="Medium"/>
    <x v="2"/>
    <x v="0"/>
    <d v="2024-09-16T00:00:00"/>
    <n v="582"/>
    <b v="1"/>
    <b v="1"/>
    <x v="0"/>
    <s v="No Preference"/>
    <n v="1"/>
  </r>
  <r>
    <s v="63-680-7694"/>
    <x v="3"/>
    <x v="0"/>
    <x v="1"/>
    <s v="Divorced"/>
    <s v="Master's"/>
    <s v="Middle"/>
    <s v="Mbala"/>
    <x v="11"/>
    <n v="154.19"/>
    <n v="6"/>
    <x v="2"/>
    <n v="5"/>
    <n v="4"/>
    <n v="1"/>
    <s v="Medium"/>
    <s v="Very Sensitive"/>
    <n v="2"/>
    <n v="1"/>
    <s v="None"/>
    <x v="0"/>
    <x v="1"/>
    <d v="2024-09-22T00:00:00"/>
    <n v="576"/>
    <b v="1"/>
    <b v="1"/>
    <x v="0"/>
    <s v="No Preference"/>
    <n v="1"/>
  </r>
  <r>
    <s v="51-431-7150"/>
    <x v="30"/>
    <x v="0"/>
    <x v="0"/>
    <s v="Widowed"/>
    <s v="Bachelor's"/>
    <s v="Middle"/>
    <s v="Shiqiao"/>
    <x v="4"/>
    <n v="84.15"/>
    <n v="10"/>
    <x v="1"/>
    <n v="1"/>
    <n v="3"/>
    <n v="1"/>
    <s v="High"/>
    <s v="Not Sensitive"/>
    <n v="2"/>
    <n v="1"/>
    <s v="High"/>
    <x v="2"/>
    <x v="1"/>
    <d v="2024-11-03T00:00:00"/>
    <n v="534"/>
    <b v="1"/>
    <b v="1"/>
    <x v="2"/>
    <s v="Standard"/>
    <n v="1"/>
  </r>
  <r>
    <s v="23-039-9347"/>
    <x v="30"/>
    <x v="1"/>
    <x v="0"/>
    <s v="Divorced"/>
    <s v="High School"/>
    <s v="High"/>
    <s v="Yatsuomachi-higashikumisaka"/>
    <x v="18"/>
    <n v="214.69"/>
    <n v="7"/>
    <x v="1"/>
    <n v="4"/>
    <n v="4"/>
    <n v="0"/>
    <s v="Medium"/>
    <s v="Not Sensitive"/>
    <n v="1"/>
    <n v="7"/>
    <s v="None"/>
    <x v="0"/>
    <x v="0"/>
    <d v="2024-05-15T00:00:00"/>
    <n v="706"/>
    <b v="1"/>
    <b v="1"/>
    <x v="1"/>
    <s v="Standard"/>
    <n v="9"/>
  </r>
  <r>
    <s v="18-832-6916"/>
    <x v="11"/>
    <x v="1"/>
    <x v="1"/>
    <s v="Married"/>
    <s v="Bachelor's"/>
    <s v="High"/>
    <s v="Czarna DÄ…brÃ³wka"/>
    <x v="9"/>
    <n v="61.21"/>
    <n v="12"/>
    <x v="0"/>
    <n v="5"/>
    <n v="5"/>
    <n v="0"/>
    <s v="None"/>
    <s v="Not Sensitive"/>
    <n v="0"/>
    <n v="5"/>
    <s v="Low"/>
    <x v="1"/>
    <x v="0"/>
    <d v="2024-11-24T00:00:00"/>
    <n v="513"/>
    <b v="1"/>
    <b v="0"/>
    <x v="3"/>
    <s v="Standard"/>
    <n v="13"/>
  </r>
  <r>
    <s v="29-438-8126"/>
    <x v="15"/>
    <x v="0"/>
    <x v="0"/>
    <s v="Single"/>
    <s v="High School"/>
    <s v="High"/>
    <s v="Pasirmadang"/>
    <x v="12"/>
    <n v="462.48"/>
    <n v="11"/>
    <x v="2"/>
    <n v="1"/>
    <n v="3"/>
    <n v="0"/>
    <s v="Medium"/>
    <s v="Very Sensitive"/>
    <n v="2"/>
    <n v="2"/>
    <s v="Low"/>
    <x v="1"/>
    <x v="2"/>
    <d v="2024-03-31T00:00:00"/>
    <n v="751"/>
    <b v="0"/>
    <b v="0"/>
    <x v="3"/>
    <s v="Express"/>
    <n v="12"/>
  </r>
  <r>
    <s v="68-201-1633"/>
    <x v="4"/>
    <x v="1"/>
    <x v="0"/>
    <s v="Married"/>
    <s v="Bachelor's"/>
    <s v="High"/>
    <s v="MaÃ±o"/>
    <x v="14"/>
    <n v="449.18"/>
    <n v="3"/>
    <x v="0"/>
    <n v="5"/>
    <n v="3"/>
    <n v="2"/>
    <s v="Medium"/>
    <s v="Somewhat Sensitive"/>
    <n v="0"/>
    <n v="8"/>
    <s v="High"/>
    <x v="0"/>
    <x v="0"/>
    <d v="2024-03-21T00:00:00"/>
    <n v="761"/>
    <b v="1"/>
    <b v="1"/>
    <x v="1"/>
    <s v="Standard"/>
    <n v="10"/>
  </r>
  <r>
    <s v="07-314-2945"/>
    <x v="8"/>
    <x v="0"/>
    <x v="0"/>
    <s v="Married"/>
    <s v="Master's"/>
    <s v="Middle"/>
    <s v="Tiwi"/>
    <x v="7"/>
    <n v="314.36"/>
    <n v="7"/>
    <x v="1"/>
    <n v="3"/>
    <n v="5"/>
    <n v="2"/>
    <s v="Medium"/>
    <s v="Very Sensitive"/>
    <n v="1"/>
    <n v="4"/>
    <s v="None"/>
    <x v="2"/>
    <x v="4"/>
    <d v="2024-07-03T00:00:00"/>
    <n v="657"/>
    <b v="1"/>
    <b v="0"/>
    <x v="2"/>
    <s v="Express"/>
    <n v="1"/>
  </r>
  <r>
    <s v="64-490-6975"/>
    <x v="19"/>
    <x v="0"/>
    <x v="0"/>
    <s v="Married"/>
    <s v="Bachelor's"/>
    <s v="Middle"/>
    <s v="Ahar"/>
    <x v="23"/>
    <n v="367.7"/>
    <n v="3"/>
    <x v="0"/>
    <n v="3"/>
    <n v="5"/>
    <n v="2"/>
    <s v="None"/>
    <s v="Somewhat Sensitive"/>
    <n v="2"/>
    <n v="3"/>
    <s v="High"/>
    <x v="2"/>
    <x v="0"/>
    <d v="2024-03-17T00:00:00"/>
    <n v="765"/>
    <b v="1"/>
    <b v="1"/>
    <x v="0"/>
    <s v="No Preference"/>
    <n v="3"/>
  </r>
  <r>
    <s v="91-789-3191"/>
    <x v="30"/>
    <x v="0"/>
    <x v="1"/>
    <s v="Single"/>
    <s v="High School"/>
    <s v="Middle"/>
    <s v="Dake"/>
    <x v="6"/>
    <n v="229.97"/>
    <n v="7"/>
    <x v="0"/>
    <n v="3"/>
    <n v="4"/>
    <n v="0"/>
    <s v="None"/>
    <s v="Very Sensitive"/>
    <n v="2"/>
    <n v="9"/>
    <s v="None"/>
    <x v="2"/>
    <x v="3"/>
    <d v="2024-11-21T00:00:00"/>
    <n v="516"/>
    <b v="0"/>
    <b v="1"/>
    <x v="0"/>
    <s v="Standard"/>
    <n v="6"/>
  </r>
  <r>
    <s v="83-714-9649"/>
    <x v="31"/>
    <x v="0"/>
    <x v="0"/>
    <s v="Widowed"/>
    <s v="Bachelor's"/>
    <s v="Middle"/>
    <s v="Harstad"/>
    <x v="3"/>
    <n v="226.53"/>
    <n v="3"/>
    <x v="2"/>
    <n v="3"/>
    <n v="1"/>
    <n v="1"/>
    <s v="High"/>
    <s v="Not Sensitive"/>
    <n v="1"/>
    <n v="10"/>
    <s v="Medium"/>
    <x v="2"/>
    <x v="1"/>
    <d v="2024-08-02T00:00:00"/>
    <n v="627"/>
    <b v="1"/>
    <b v="0"/>
    <x v="1"/>
    <s v="No Preference"/>
    <n v="13"/>
  </r>
  <r>
    <s v="33-203-4230"/>
    <x v="25"/>
    <x v="1"/>
    <x v="1"/>
    <s v="Divorced"/>
    <s v="Master's"/>
    <s v="Middle"/>
    <s v="Perbaungan"/>
    <x v="14"/>
    <n v="218.32"/>
    <n v="2"/>
    <x v="0"/>
    <n v="5"/>
    <n v="3"/>
    <n v="0"/>
    <s v="High"/>
    <s v="Not Sensitive"/>
    <n v="2"/>
    <n v="7"/>
    <s v="Low"/>
    <x v="2"/>
    <x v="1"/>
    <d v="2024-09-24T00:00:00"/>
    <n v="574"/>
    <b v="0"/>
    <b v="0"/>
    <x v="0"/>
    <s v="Express"/>
    <n v="3"/>
  </r>
  <r>
    <s v="90-918-2833"/>
    <x v="18"/>
    <x v="0"/>
    <x v="1"/>
    <s v="Widowed"/>
    <s v="High School"/>
    <s v="High"/>
    <s v="Soroti"/>
    <x v="4"/>
    <n v="132.66999999999999"/>
    <n v="7"/>
    <x v="1"/>
    <n v="2"/>
    <n v="5"/>
    <n v="1"/>
    <s v="Low"/>
    <s v="Very Sensitive"/>
    <n v="2"/>
    <n v="3"/>
    <s v="Low"/>
    <x v="1"/>
    <x v="3"/>
    <d v="2024-12-18T00:00:00"/>
    <n v="489"/>
    <b v="1"/>
    <b v="0"/>
    <x v="2"/>
    <s v="Express"/>
    <n v="1"/>
  </r>
  <r>
    <s v="53-409-1176"/>
    <x v="29"/>
    <x v="1"/>
    <x v="1"/>
    <s v="Single"/>
    <s v="Master's"/>
    <s v="High"/>
    <s v="Caruaru"/>
    <x v="17"/>
    <n v="416.96"/>
    <n v="7"/>
    <x v="1"/>
    <n v="5"/>
    <n v="1"/>
    <n v="1"/>
    <s v="High"/>
    <s v="Not Sensitive"/>
    <n v="0"/>
    <n v="1"/>
    <s v="High"/>
    <x v="0"/>
    <x v="3"/>
    <d v="2024-05-25T00:00:00"/>
    <n v="696"/>
    <b v="0"/>
    <b v="0"/>
    <x v="3"/>
    <s v="Express"/>
    <n v="7"/>
  </r>
  <r>
    <s v="52-491-3386"/>
    <x v="7"/>
    <x v="0"/>
    <x v="1"/>
    <s v="Married"/>
    <s v="Master's"/>
    <s v="Middle"/>
    <s v="Kamiennik"/>
    <x v="17"/>
    <n v="459.51"/>
    <n v="7"/>
    <x v="1"/>
    <n v="1"/>
    <n v="2"/>
    <n v="2"/>
    <s v="High"/>
    <s v="Not Sensitive"/>
    <n v="0"/>
    <n v="5"/>
    <s v="Medium"/>
    <x v="0"/>
    <x v="2"/>
    <d v="2024-01-05T00:00:00"/>
    <n v="837"/>
    <b v="1"/>
    <b v="0"/>
    <x v="0"/>
    <s v="No Preference"/>
    <n v="11"/>
  </r>
  <r>
    <s v="10-870-3357"/>
    <x v="5"/>
    <x v="1"/>
    <x v="0"/>
    <s v="Married"/>
    <s v="High School"/>
    <s v="High"/>
    <s v="Boundiali"/>
    <x v="6"/>
    <n v="487.96"/>
    <n v="2"/>
    <x v="0"/>
    <n v="5"/>
    <n v="3"/>
    <n v="2"/>
    <s v="Low"/>
    <s v="Very Sensitive"/>
    <n v="0"/>
    <n v="2"/>
    <s v="None"/>
    <x v="2"/>
    <x v="1"/>
    <d v="2024-03-15T00:00:00"/>
    <n v="767"/>
    <b v="1"/>
    <b v="1"/>
    <x v="0"/>
    <s v="No Preference"/>
    <n v="12"/>
  </r>
  <r>
    <s v="41-816-7753"/>
    <x v="0"/>
    <x v="1"/>
    <x v="0"/>
    <s v="Divorced"/>
    <s v="High School"/>
    <s v="High"/>
    <s v="GÃ¶tene"/>
    <x v="16"/>
    <n v="150.11000000000001"/>
    <n v="7"/>
    <x v="0"/>
    <n v="4"/>
    <n v="4"/>
    <n v="1.5"/>
    <s v="Low"/>
    <s v="Very Sensitive"/>
    <n v="0"/>
    <n v="3"/>
    <s v="High"/>
    <x v="1"/>
    <x v="0"/>
    <d v="2024-07-23T00:00:00"/>
    <n v="637"/>
    <b v="1"/>
    <b v="0"/>
    <x v="1"/>
    <s v="Standard"/>
    <n v="8"/>
  </r>
  <r>
    <s v="68-296-5978"/>
    <x v="15"/>
    <x v="1"/>
    <x v="1"/>
    <s v="Married"/>
    <s v="High School"/>
    <s v="Middle"/>
    <s v="Kadumelati"/>
    <x v="11"/>
    <n v="218.87"/>
    <n v="5"/>
    <x v="0"/>
    <n v="4"/>
    <n v="3"/>
    <n v="0"/>
    <s v="Medium"/>
    <s v="Very Sensitive"/>
    <n v="0"/>
    <n v="4"/>
    <s v="Medium"/>
    <x v="1"/>
    <x v="4"/>
    <d v="2024-09-18T00:00:00"/>
    <n v="580"/>
    <b v="1"/>
    <b v="0"/>
    <x v="3"/>
    <s v="No Preference"/>
    <n v="11"/>
  </r>
  <r>
    <s v="03-874-9055"/>
    <x v="3"/>
    <x v="0"/>
    <x v="0"/>
    <s v="Married"/>
    <s v="Bachelor's"/>
    <s v="High"/>
    <s v="Amparo"/>
    <x v="7"/>
    <n v="437.06"/>
    <n v="7"/>
    <x v="1"/>
    <n v="3"/>
    <n v="5"/>
    <n v="2"/>
    <s v="Low"/>
    <s v="Very Sensitive"/>
    <n v="0"/>
    <n v="6"/>
    <s v="Low"/>
    <x v="1"/>
    <x v="4"/>
    <d v="2024-03-09T00:00:00"/>
    <n v="773"/>
    <b v="0"/>
    <b v="0"/>
    <x v="2"/>
    <s v="Express"/>
    <n v="11"/>
  </r>
  <r>
    <s v="28-123-8406"/>
    <x v="4"/>
    <x v="1"/>
    <x v="1"/>
    <s v="Married"/>
    <s v="Bachelor's"/>
    <s v="High"/>
    <s v="Shimen"/>
    <x v="21"/>
    <n v="122.58"/>
    <n v="2"/>
    <x v="1"/>
    <n v="5"/>
    <n v="4"/>
    <n v="1.5"/>
    <s v="Low"/>
    <s v="Not Sensitive"/>
    <n v="2"/>
    <n v="5"/>
    <s v="None"/>
    <x v="0"/>
    <x v="3"/>
    <d v="2024-01-29T00:00:00"/>
    <n v="813"/>
    <b v="1"/>
    <b v="0"/>
    <x v="2"/>
    <s v="Express"/>
    <n v="12"/>
  </r>
  <r>
    <s v="01-089-2223"/>
    <x v="22"/>
    <x v="1"/>
    <x v="1"/>
    <s v="Married"/>
    <s v="Master's"/>
    <s v="Middle"/>
    <s v="Philadelphia"/>
    <x v="1"/>
    <n v="195.07"/>
    <n v="8"/>
    <x v="2"/>
    <n v="3"/>
    <n v="1"/>
    <n v="1"/>
    <s v="High"/>
    <s v="Somewhat Sensitive"/>
    <n v="0"/>
    <n v="6"/>
    <s v="None"/>
    <x v="1"/>
    <x v="2"/>
    <d v="2024-07-22T00:00:00"/>
    <n v="638"/>
    <b v="0"/>
    <b v="0"/>
    <x v="2"/>
    <s v="No Preference"/>
    <n v="10"/>
  </r>
  <r>
    <s v="23-758-1012"/>
    <x v="7"/>
    <x v="0"/>
    <x v="0"/>
    <s v="Single"/>
    <s v="High School"/>
    <s v="High"/>
    <s v="Myingyan"/>
    <x v="5"/>
    <n v="190.06"/>
    <n v="9"/>
    <x v="1"/>
    <n v="5"/>
    <n v="1"/>
    <n v="1"/>
    <s v="None"/>
    <s v="Somewhat Sensitive"/>
    <n v="1"/>
    <n v="2"/>
    <s v="Low"/>
    <x v="1"/>
    <x v="3"/>
    <d v="2024-02-03T00:00:00"/>
    <n v="808"/>
    <b v="1"/>
    <b v="1"/>
    <x v="3"/>
    <s v="Standard"/>
    <n v="12"/>
  </r>
  <r>
    <s v="34-788-8387"/>
    <x v="9"/>
    <x v="0"/>
    <x v="0"/>
    <s v="Single"/>
    <s v="High School"/>
    <s v="Middle"/>
    <s v="Qingqu"/>
    <x v="19"/>
    <n v="485.76"/>
    <n v="10"/>
    <x v="1"/>
    <n v="3"/>
    <n v="4"/>
    <n v="0"/>
    <s v="Medium"/>
    <s v="Somewhat Sensitive"/>
    <n v="0"/>
    <n v="4"/>
    <s v="High"/>
    <x v="2"/>
    <x v="2"/>
    <d v="2024-06-03T00:00:00"/>
    <n v="687"/>
    <b v="1"/>
    <b v="1"/>
    <x v="1"/>
    <s v="No Preference"/>
    <n v="4"/>
  </r>
  <r>
    <s v="53-865-9342"/>
    <x v="23"/>
    <x v="0"/>
    <x v="1"/>
    <s v="Single"/>
    <s v="Bachelor's"/>
    <s v="High"/>
    <s v="Poste de Flacq"/>
    <x v="5"/>
    <n v="242.57"/>
    <n v="7"/>
    <x v="1"/>
    <n v="1"/>
    <n v="1"/>
    <n v="1"/>
    <s v="Low"/>
    <s v="Not Sensitive"/>
    <n v="0"/>
    <n v="10"/>
    <s v="Low"/>
    <x v="1"/>
    <x v="1"/>
    <d v="2024-10-05T00:00:00"/>
    <n v="563"/>
    <b v="1"/>
    <b v="0"/>
    <x v="1"/>
    <s v="No Preference"/>
    <n v="1"/>
  </r>
  <r>
    <s v="79-052-8470"/>
    <x v="22"/>
    <x v="1"/>
    <x v="0"/>
    <s v="Widowed"/>
    <s v="High School"/>
    <s v="High"/>
    <s v="Å¢awr al BÄá¸©ah"/>
    <x v="17"/>
    <n v="303.13"/>
    <n v="2"/>
    <x v="2"/>
    <n v="1"/>
    <n v="1"/>
    <n v="1"/>
    <s v="High"/>
    <s v="Not Sensitive"/>
    <n v="0"/>
    <n v="7"/>
    <s v="Medium"/>
    <x v="2"/>
    <x v="2"/>
    <d v="2024-01-04T00:00:00"/>
    <n v="838"/>
    <b v="0"/>
    <b v="1"/>
    <x v="0"/>
    <s v="Standard"/>
    <n v="10"/>
  </r>
  <r>
    <s v="86-359-7320"/>
    <x v="20"/>
    <x v="0"/>
    <x v="0"/>
    <s v="Widowed"/>
    <s v="Master's"/>
    <s v="Middle"/>
    <s v="Phu Loc"/>
    <x v="16"/>
    <n v="136.1"/>
    <n v="5"/>
    <x v="1"/>
    <n v="3"/>
    <n v="5"/>
    <n v="2"/>
    <s v="Low"/>
    <s v="Very Sensitive"/>
    <n v="0"/>
    <n v="2"/>
    <s v="High"/>
    <x v="0"/>
    <x v="2"/>
    <d v="2024-02-27T00:00:00"/>
    <n v="784"/>
    <b v="0"/>
    <b v="1"/>
    <x v="3"/>
    <s v="Express"/>
    <n v="14"/>
  </r>
  <r>
    <s v="27-111-2242"/>
    <x v="13"/>
    <x v="2"/>
    <x v="1"/>
    <s v="Single"/>
    <s v="Bachelor's"/>
    <s v="Middle"/>
    <s v="Jembangan"/>
    <x v="13"/>
    <n v="249.02"/>
    <n v="11"/>
    <x v="0"/>
    <n v="3"/>
    <n v="2"/>
    <n v="0.3"/>
    <s v="Medium"/>
    <s v="Not Sensitive"/>
    <n v="1"/>
    <n v="1"/>
    <s v="Medium"/>
    <x v="1"/>
    <x v="1"/>
    <d v="2024-10-01T00:00:00"/>
    <n v="567"/>
    <b v="1"/>
    <b v="1"/>
    <x v="3"/>
    <s v="Express"/>
    <n v="14"/>
  </r>
  <r>
    <s v="84-538-0238"/>
    <x v="24"/>
    <x v="1"/>
    <x v="0"/>
    <s v="Divorced"/>
    <s v="High School"/>
    <s v="Middle"/>
    <s v="Harhorin"/>
    <x v="2"/>
    <n v="466.74"/>
    <n v="7"/>
    <x v="1"/>
    <n v="3"/>
    <n v="4"/>
    <n v="0.2"/>
    <s v="Medium"/>
    <s v="Not Sensitive"/>
    <n v="2"/>
    <n v="3"/>
    <s v="High"/>
    <x v="0"/>
    <x v="2"/>
    <d v="2024-12-11T00:00:00"/>
    <n v="496"/>
    <b v="1"/>
    <b v="1"/>
    <x v="0"/>
    <s v="Express"/>
    <n v="5"/>
  </r>
  <r>
    <s v="04-660-2742"/>
    <x v="19"/>
    <x v="6"/>
    <x v="1"/>
    <s v="Married"/>
    <s v="High School"/>
    <s v="High"/>
    <s v="Meijiang"/>
    <x v="9"/>
    <n v="229.3"/>
    <n v="6"/>
    <x v="1"/>
    <n v="4"/>
    <n v="5"/>
    <n v="2"/>
    <s v="None"/>
    <s v="Somewhat Sensitive"/>
    <n v="0"/>
    <n v="6"/>
    <s v="None"/>
    <x v="1"/>
    <x v="3"/>
    <d v="2024-11-25T00:00:00"/>
    <n v="512"/>
    <b v="0"/>
    <b v="0"/>
    <x v="3"/>
    <s v="Express"/>
    <n v="6"/>
  </r>
  <r>
    <s v="96-496-9833"/>
    <x v="12"/>
    <x v="0"/>
    <x v="1"/>
    <s v="Single"/>
    <s v="High School"/>
    <s v="High"/>
    <s v="LaÃ±gub"/>
    <x v="12"/>
    <n v="450.52"/>
    <n v="8"/>
    <x v="2"/>
    <n v="2"/>
    <n v="2"/>
    <n v="0.2"/>
    <s v="High"/>
    <s v="Somewhat Sensitive"/>
    <n v="0"/>
    <n v="6"/>
    <s v="Low"/>
    <x v="2"/>
    <x v="1"/>
    <d v="2024-01-13T00:00:00"/>
    <n v="829"/>
    <b v="1"/>
    <b v="1"/>
    <x v="0"/>
    <s v="No Preference"/>
    <n v="8"/>
  </r>
  <r>
    <s v="27-672-6081"/>
    <x v="22"/>
    <x v="1"/>
    <x v="1"/>
    <s v="Divorced"/>
    <s v="Bachelor's"/>
    <s v="Middle"/>
    <s v="Bangbayang"/>
    <x v="19"/>
    <n v="246.44"/>
    <n v="4"/>
    <x v="0"/>
    <n v="3"/>
    <n v="1"/>
    <n v="1"/>
    <s v="Medium"/>
    <s v="Somewhat Sensitive"/>
    <n v="0"/>
    <n v="3"/>
    <s v="Medium"/>
    <x v="1"/>
    <x v="2"/>
    <d v="2024-09-17T00:00:00"/>
    <n v="581"/>
    <b v="0"/>
    <b v="1"/>
    <x v="1"/>
    <s v="No Preference"/>
    <n v="5"/>
  </r>
  <r>
    <s v="66-033-0540"/>
    <x v="10"/>
    <x v="1"/>
    <x v="1"/>
    <s v="Widowed"/>
    <s v="High School"/>
    <s v="Middle"/>
    <s v="StÄ›boÅ™ice"/>
    <x v="3"/>
    <n v="93.52"/>
    <n v="2"/>
    <x v="2"/>
    <n v="1"/>
    <n v="5"/>
    <n v="1"/>
    <s v="None"/>
    <s v="Somewhat Sensitive"/>
    <n v="1"/>
    <n v="2"/>
    <s v="High"/>
    <x v="2"/>
    <x v="1"/>
    <d v="2024-08-12T00:00:00"/>
    <n v="617"/>
    <b v="0"/>
    <b v="1"/>
    <x v="3"/>
    <s v="No Preference"/>
    <n v="12"/>
  </r>
  <r>
    <s v="99-643-9845"/>
    <x v="31"/>
    <x v="0"/>
    <x v="0"/>
    <s v="Married"/>
    <s v="High School"/>
    <s v="High"/>
    <s v="Banturkrajan"/>
    <x v="19"/>
    <n v="137.75"/>
    <n v="6"/>
    <x v="2"/>
    <n v="3"/>
    <n v="3"/>
    <n v="2"/>
    <s v="High"/>
    <s v="Very Sensitive"/>
    <n v="0"/>
    <n v="1"/>
    <s v="Medium"/>
    <x v="1"/>
    <x v="4"/>
    <d v="2024-09-09T00:00:00"/>
    <n v="589"/>
    <b v="0"/>
    <b v="1"/>
    <x v="0"/>
    <s v="No Preference"/>
    <n v="4"/>
  </r>
  <r>
    <s v="27-571-9402"/>
    <x v="32"/>
    <x v="0"/>
    <x v="0"/>
    <s v="Married"/>
    <s v="Master's"/>
    <s v="Middle"/>
    <s v="SÃ£o Torcato"/>
    <x v="3"/>
    <n v="78.64"/>
    <n v="5"/>
    <x v="0"/>
    <n v="3"/>
    <n v="4"/>
    <n v="2"/>
    <s v="High"/>
    <s v="Somewhat Sensitive"/>
    <n v="0"/>
    <n v="3"/>
    <s v="High"/>
    <x v="0"/>
    <x v="1"/>
    <d v="2024-05-26T00:00:00"/>
    <n v="695"/>
    <b v="1"/>
    <b v="0"/>
    <x v="3"/>
    <s v="Standard"/>
    <n v="12"/>
  </r>
  <r>
    <s v="10-430-5821"/>
    <x v="8"/>
    <x v="1"/>
    <x v="1"/>
    <s v="Divorced"/>
    <s v="Master's"/>
    <s v="Middle"/>
    <s v="Kapan"/>
    <x v="14"/>
    <n v="214.82"/>
    <n v="9"/>
    <x v="0"/>
    <n v="5"/>
    <n v="4"/>
    <n v="0.3"/>
    <s v="None"/>
    <s v="Very Sensitive"/>
    <n v="1"/>
    <n v="9"/>
    <s v="Medium"/>
    <x v="0"/>
    <x v="3"/>
    <d v="2024-11-09T00:00:00"/>
    <n v="528"/>
    <b v="1"/>
    <b v="0"/>
    <x v="3"/>
    <s v="No Preference"/>
    <n v="11"/>
  </r>
  <r>
    <s v="36-835-7445"/>
    <x v="5"/>
    <x v="1"/>
    <x v="0"/>
    <s v="Married"/>
    <s v="Bachelor's"/>
    <s v="High"/>
    <s v="VÄƒn Giang"/>
    <x v="7"/>
    <n v="57.39"/>
    <n v="3"/>
    <x v="0"/>
    <n v="2"/>
    <n v="5"/>
    <n v="0.25"/>
    <s v="None"/>
    <s v="Somewhat Sensitive"/>
    <n v="0"/>
    <n v="10"/>
    <s v="Medium"/>
    <x v="2"/>
    <x v="0"/>
    <d v="2024-07-19T00:00:00"/>
    <n v="641"/>
    <b v="0"/>
    <b v="0"/>
    <x v="2"/>
    <s v="Standard"/>
    <n v="3"/>
  </r>
  <r>
    <s v="41-602-4042"/>
    <x v="26"/>
    <x v="0"/>
    <x v="1"/>
    <s v="Single"/>
    <s v="High School"/>
    <s v="Middle"/>
    <s v="Oslo"/>
    <x v="21"/>
    <n v="363.91"/>
    <n v="10"/>
    <x v="2"/>
    <n v="1"/>
    <n v="1"/>
    <n v="0.3"/>
    <s v="Medium"/>
    <s v="Very Sensitive"/>
    <n v="0"/>
    <n v="2"/>
    <s v="Low"/>
    <x v="1"/>
    <x v="4"/>
    <d v="2024-01-07T00:00:00"/>
    <n v="835"/>
    <b v="1"/>
    <b v="1"/>
    <x v="3"/>
    <s v="Standard"/>
    <n v="9"/>
  </r>
  <r>
    <s v="63-743-6962"/>
    <x v="7"/>
    <x v="1"/>
    <x v="0"/>
    <s v="Single"/>
    <s v="High School"/>
    <s v="Middle"/>
    <s v="Tanushimarumachi-toyoki"/>
    <x v="22"/>
    <n v="304.79000000000002"/>
    <n v="12"/>
    <x v="1"/>
    <n v="2"/>
    <n v="4"/>
    <n v="2"/>
    <s v="Low"/>
    <s v="Somewhat Sensitive"/>
    <n v="1"/>
    <n v="9"/>
    <s v="High"/>
    <x v="2"/>
    <x v="3"/>
    <d v="2024-01-07T00:00:00"/>
    <n v="835"/>
    <b v="1"/>
    <b v="1"/>
    <x v="1"/>
    <s v="Standard"/>
    <n v="10"/>
  </r>
  <r>
    <s v="66-772-9922"/>
    <x v="11"/>
    <x v="1"/>
    <x v="1"/>
    <s v="Divorced"/>
    <s v="High School"/>
    <s v="Middle"/>
    <s v="Kazo"/>
    <x v="23"/>
    <n v="363.98"/>
    <n v="4"/>
    <x v="2"/>
    <n v="4"/>
    <n v="4"/>
    <n v="1"/>
    <s v="None"/>
    <s v="Somewhat Sensitive"/>
    <n v="2"/>
    <n v="7"/>
    <s v="None"/>
    <x v="0"/>
    <x v="1"/>
    <d v="2024-05-27T00:00:00"/>
    <n v="694"/>
    <b v="1"/>
    <b v="1"/>
    <x v="3"/>
    <s v="Express"/>
    <n v="1"/>
  </r>
  <r>
    <s v="23-246-5927"/>
    <x v="26"/>
    <x v="1"/>
    <x v="0"/>
    <s v="Widowed"/>
    <s v="Bachelor's"/>
    <s v="High"/>
    <s v="Rawa Mazowiecka"/>
    <x v="5"/>
    <n v="249.6"/>
    <n v="7"/>
    <x v="0"/>
    <n v="4"/>
    <n v="1"/>
    <n v="1"/>
    <s v="Low"/>
    <s v="Somewhat Sensitive"/>
    <n v="2"/>
    <n v="7"/>
    <s v="High"/>
    <x v="1"/>
    <x v="2"/>
    <d v="2024-05-11T00:00:00"/>
    <n v="710"/>
    <b v="1"/>
    <b v="0"/>
    <x v="1"/>
    <s v="Standard"/>
    <n v="11"/>
  </r>
  <r>
    <s v="74-022-7557"/>
    <x v="24"/>
    <x v="1"/>
    <x v="1"/>
    <s v="Married"/>
    <s v="Bachelor's"/>
    <s v="Middle"/>
    <s v="WÅnsan"/>
    <x v="13"/>
    <n v="345.04"/>
    <n v="12"/>
    <x v="1"/>
    <n v="1"/>
    <n v="5"/>
    <n v="1"/>
    <s v="Low"/>
    <s v="Somewhat Sensitive"/>
    <n v="0"/>
    <n v="8"/>
    <s v="Medium"/>
    <x v="0"/>
    <x v="0"/>
    <d v="2024-10-16T00:00:00"/>
    <n v="552"/>
    <b v="1"/>
    <b v="1"/>
    <x v="3"/>
    <s v="Express"/>
    <n v="13"/>
  </r>
  <r>
    <s v="78-214-5658"/>
    <x v="18"/>
    <x v="0"/>
    <x v="0"/>
    <s v="Single"/>
    <s v="High School"/>
    <s v="High"/>
    <s v="Villavicencio"/>
    <x v="17"/>
    <n v="59.15"/>
    <n v="3"/>
    <x v="1"/>
    <n v="4"/>
    <n v="2"/>
    <n v="1"/>
    <s v="None"/>
    <s v="Not Sensitive"/>
    <n v="0"/>
    <n v="1"/>
    <s v="High"/>
    <x v="2"/>
    <x v="2"/>
    <d v="2024-04-19T00:00:00"/>
    <n v="732"/>
    <b v="0"/>
    <b v="0"/>
    <x v="0"/>
    <s v="Standard"/>
    <n v="8"/>
  </r>
  <r>
    <s v="25-286-8786"/>
    <x v="23"/>
    <x v="1"/>
    <x v="1"/>
    <s v="Single"/>
    <s v="Master's"/>
    <s v="High"/>
    <s v="Berlin"/>
    <x v="3"/>
    <n v="461.81"/>
    <n v="12"/>
    <x v="0"/>
    <n v="4"/>
    <n v="3"/>
    <n v="0"/>
    <s v="Medium"/>
    <s v="Very Sensitive"/>
    <n v="0"/>
    <n v="8"/>
    <s v="Low"/>
    <x v="2"/>
    <x v="3"/>
    <d v="2024-06-07T00:00:00"/>
    <n v="683"/>
    <b v="1"/>
    <b v="0"/>
    <x v="1"/>
    <s v="No Preference"/>
    <n v="8"/>
  </r>
  <r>
    <s v="55-955-9889"/>
    <x v="16"/>
    <x v="0"/>
    <x v="1"/>
    <s v="Divorced"/>
    <s v="Bachelor's"/>
    <s v="High"/>
    <s v="Wailang"/>
    <x v="10"/>
    <n v="280.88"/>
    <n v="4"/>
    <x v="0"/>
    <n v="3"/>
    <n v="4"/>
    <n v="1"/>
    <s v="High"/>
    <s v="Not Sensitive"/>
    <n v="0"/>
    <n v="2"/>
    <s v="High"/>
    <x v="1"/>
    <x v="0"/>
    <d v="2024-05-05T00:00:00"/>
    <n v="716"/>
    <b v="1"/>
    <b v="1"/>
    <x v="3"/>
    <s v="No Preference"/>
    <n v="2"/>
  </r>
  <r>
    <s v="34-237-3943"/>
    <x v="32"/>
    <x v="1"/>
    <x v="0"/>
    <s v="Married"/>
    <s v="Master's"/>
    <s v="Middle"/>
    <s v="Fangshan"/>
    <x v="8"/>
    <n v="283.7"/>
    <n v="8"/>
    <x v="0"/>
    <n v="2"/>
    <n v="5"/>
    <n v="1"/>
    <s v="Medium"/>
    <s v="Not Sensitive"/>
    <n v="1"/>
    <n v="3"/>
    <s v="Low"/>
    <x v="1"/>
    <x v="4"/>
    <d v="2024-02-29T00:00:00"/>
    <n v="782"/>
    <b v="0"/>
    <b v="0"/>
    <x v="2"/>
    <s v="Express"/>
    <n v="8"/>
  </r>
  <r>
    <s v="19-386-9088"/>
    <x v="2"/>
    <x v="0"/>
    <x v="1"/>
    <s v="Widowed"/>
    <s v="High School"/>
    <s v="Middle"/>
    <s v="Tallahassee"/>
    <x v="8"/>
    <n v="411.95"/>
    <n v="10"/>
    <x v="1"/>
    <n v="5"/>
    <n v="3"/>
    <n v="1"/>
    <s v="None"/>
    <s v="Not Sensitive"/>
    <n v="0"/>
    <n v="4"/>
    <s v="None"/>
    <x v="1"/>
    <x v="1"/>
    <d v="2024-12-18T00:00:00"/>
    <n v="489"/>
    <b v="1"/>
    <b v="1"/>
    <x v="2"/>
    <s v="Standard"/>
    <n v="5"/>
  </r>
  <r>
    <s v="16-583-2801"/>
    <x v="11"/>
    <x v="0"/>
    <x v="0"/>
    <s v="Widowed"/>
    <s v="Master's"/>
    <s v="Middle"/>
    <s v="Anchorage"/>
    <x v="0"/>
    <n v="476.11"/>
    <n v="5"/>
    <x v="1"/>
    <n v="1"/>
    <n v="4"/>
    <n v="1"/>
    <s v="None"/>
    <s v="Very Sensitive"/>
    <n v="2"/>
    <n v="10"/>
    <s v="High"/>
    <x v="2"/>
    <x v="2"/>
    <d v="2024-10-29T00:00:00"/>
    <n v="539"/>
    <b v="1"/>
    <b v="0"/>
    <x v="1"/>
    <s v="Standard"/>
    <n v="1"/>
  </r>
  <r>
    <s v="83-752-5439"/>
    <x v="31"/>
    <x v="0"/>
    <x v="0"/>
    <s v="Married"/>
    <s v="Master's"/>
    <s v="High"/>
    <s v="Mulhouse"/>
    <x v="0"/>
    <n v="399.24"/>
    <n v="7"/>
    <x v="1"/>
    <n v="4"/>
    <n v="2"/>
    <n v="1"/>
    <s v="Medium"/>
    <s v="Very Sensitive"/>
    <n v="1"/>
    <n v="2"/>
    <s v="Medium"/>
    <x v="1"/>
    <x v="2"/>
    <d v="2024-06-21T00:00:00"/>
    <n v="669"/>
    <b v="0"/>
    <b v="0"/>
    <x v="0"/>
    <s v="Standard"/>
    <n v="10"/>
  </r>
  <r>
    <s v="25-485-2023"/>
    <x v="29"/>
    <x v="1"/>
    <x v="0"/>
    <s v="Divorced"/>
    <s v="Master's"/>
    <s v="Middle"/>
    <s v="Tangkilsari"/>
    <x v="23"/>
    <n v="90.79"/>
    <n v="12"/>
    <x v="1"/>
    <n v="4"/>
    <n v="1"/>
    <n v="2"/>
    <s v="Medium"/>
    <s v="Somewhat Sensitive"/>
    <n v="0"/>
    <n v="2"/>
    <s v="Medium"/>
    <x v="0"/>
    <x v="3"/>
    <d v="2024-09-16T00:00:00"/>
    <n v="582"/>
    <b v="0"/>
    <b v="0"/>
    <x v="3"/>
    <s v="No Preference"/>
    <n v="6"/>
  </r>
  <r>
    <s v="90-822-7664"/>
    <x v="9"/>
    <x v="0"/>
    <x v="0"/>
    <s v="Married"/>
    <s v="Master's"/>
    <s v="Middle"/>
    <s v="San Carlos"/>
    <x v="9"/>
    <n v="229.56"/>
    <n v="9"/>
    <x v="2"/>
    <n v="1"/>
    <n v="2"/>
    <n v="1"/>
    <s v="None"/>
    <s v="Somewhat Sensitive"/>
    <n v="0"/>
    <n v="9"/>
    <s v="Low"/>
    <x v="0"/>
    <x v="1"/>
    <d v="2024-01-14T00:00:00"/>
    <n v="828"/>
    <b v="1"/>
    <b v="1"/>
    <x v="0"/>
    <s v="No Preference"/>
    <n v="11"/>
  </r>
  <r>
    <s v="22-039-6819"/>
    <x v="31"/>
    <x v="0"/>
    <x v="0"/>
    <s v="Divorced"/>
    <s v="High School"/>
    <s v="Middle"/>
    <s v="Queluz"/>
    <x v="6"/>
    <n v="160.47"/>
    <n v="7"/>
    <x v="0"/>
    <n v="1"/>
    <n v="5"/>
    <n v="0"/>
    <s v="None"/>
    <s v="Not Sensitive"/>
    <n v="0"/>
    <n v="3"/>
    <s v="None"/>
    <x v="1"/>
    <x v="2"/>
    <d v="2024-03-17T00:00:00"/>
    <n v="765"/>
    <b v="1"/>
    <b v="0"/>
    <x v="1"/>
    <s v="No Preference"/>
    <n v="6"/>
  </r>
  <r>
    <s v="50-395-1941"/>
    <x v="12"/>
    <x v="7"/>
    <x v="1"/>
    <s v="Married"/>
    <s v="High School"/>
    <s v="High"/>
    <s v="SÃ¤rkisalo"/>
    <x v="14"/>
    <n v="104.74"/>
    <n v="6"/>
    <x v="2"/>
    <n v="2"/>
    <n v="4"/>
    <n v="2"/>
    <s v="None"/>
    <s v="Very Sensitive"/>
    <n v="0"/>
    <n v="4"/>
    <s v="Low"/>
    <x v="1"/>
    <x v="1"/>
    <d v="2024-09-22T00:00:00"/>
    <n v="576"/>
    <b v="0"/>
    <b v="0"/>
    <x v="2"/>
    <s v="No Preference"/>
    <n v="1"/>
  </r>
  <r>
    <s v="99-771-9310"/>
    <x v="14"/>
    <x v="0"/>
    <x v="1"/>
    <s v="Widowed"/>
    <s v="Master's"/>
    <s v="Middle"/>
    <s v="Vitoria-Gasteiz"/>
    <x v="1"/>
    <n v="399.95"/>
    <n v="10"/>
    <x v="1"/>
    <n v="2"/>
    <n v="1"/>
    <n v="0"/>
    <s v="Low"/>
    <s v="Not Sensitive"/>
    <n v="1"/>
    <n v="2"/>
    <s v="High"/>
    <x v="1"/>
    <x v="4"/>
    <d v="2024-03-07T00:00:00"/>
    <n v="775"/>
    <b v="1"/>
    <b v="0"/>
    <x v="0"/>
    <s v="Express"/>
    <n v="10"/>
  </r>
  <r>
    <s v="18-518-0140"/>
    <x v="26"/>
    <x v="0"/>
    <x v="1"/>
    <s v="Divorced"/>
    <s v="Bachelor's"/>
    <s v="Middle"/>
    <s v="Coro"/>
    <x v="15"/>
    <n v="337.33"/>
    <n v="8"/>
    <x v="1"/>
    <n v="1"/>
    <n v="4"/>
    <n v="1"/>
    <s v="None"/>
    <s v="Somewhat Sensitive"/>
    <n v="0"/>
    <n v="5"/>
    <s v="Medium"/>
    <x v="2"/>
    <x v="2"/>
    <d v="2024-11-25T00:00:00"/>
    <n v="512"/>
    <b v="0"/>
    <b v="0"/>
    <x v="3"/>
    <s v="Express"/>
    <n v="10"/>
  </r>
  <r>
    <s v="57-000-8646"/>
    <x v="30"/>
    <x v="0"/>
    <x v="1"/>
    <s v="Widowed"/>
    <s v="Master's"/>
    <s v="Middle"/>
    <s v="Purwa"/>
    <x v="23"/>
    <n v="204.83"/>
    <n v="6"/>
    <x v="1"/>
    <n v="5"/>
    <n v="1"/>
    <n v="0"/>
    <s v="High"/>
    <s v="Very Sensitive"/>
    <n v="1"/>
    <n v="5"/>
    <s v="Medium"/>
    <x v="1"/>
    <x v="2"/>
    <d v="2024-04-22T00:00:00"/>
    <n v="729"/>
    <b v="1"/>
    <b v="0"/>
    <x v="1"/>
    <s v="Standard"/>
    <n v="5"/>
  </r>
  <r>
    <s v="81-926-9297"/>
    <x v="0"/>
    <x v="0"/>
    <x v="0"/>
    <s v="Widowed"/>
    <s v="Master's"/>
    <s v="High"/>
    <s v="GÃ¤vle"/>
    <x v="12"/>
    <n v="193.94"/>
    <n v="11"/>
    <x v="0"/>
    <n v="4"/>
    <n v="1"/>
    <n v="0"/>
    <s v="None"/>
    <s v="Not Sensitive"/>
    <n v="0"/>
    <n v="3"/>
    <s v="High"/>
    <x v="2"/>
    <x v="3"/>
    <d v="2024-08-09T00:00:00"/>
    <n v="620"/>
    <b v="0"/>
    <b v="0"/>
    <x v="1"/>
    <s v="Standard"/>
    <n v="9"/>
  </r>
  <r>
    <s v="53-070-2625"/>
    <x v="19"/>
    <x v="1"/>
    <x v="1"/>
    <s v="Married"/>
    <s v="Master's"/>
    <s v="Middle"/>
    <s v="Embu GuaÃ§u"/>
    <x v="7"/>
    <n v="460.37"/>
    <n v="10"/>
    <x v="2"/>
    <n v="5"/>
    <n v="4"/>
    <n v="2"/>
    <s v="Low"/>
    <s v="Very Sensitive"/>
    <n v="2"/>
    <n v="7"/>
    <s v="High"/>
    <x v="2"/>
    <x v="0"/>
    <d v="2024-07-13T00:00:00"/>
    <n v="647"/>
    <b v="1"/>
    <b v="1"/>
    <x v="1"/>
    <s v="Express"/>
    <n v="12"/>
  </r>
  <r>
    <s v="63-217-7638"/>
    <x v="10"/>
    <x v="4"/>
    <x v="0"/>
    <s v="Single"/>
    <s v="Bachelor's"/>
    <s v="Middle"/>
    <s v="Colima"/>
    <x v="17"/>
    <n v="297.29000000000002"/>
    <n v="9"/>
    <x v="2"/>
    <n v="5"/>
    <n v="4"/>
    <n v="2"/>
    <s v="None"/>
    <s v="Not Sensitive"/>
    <n v="0"/>
    <n v="9"/>
    <s v="Low"/>
    <x v="1"/>
    <x v="4"/>
    <d v="2024-01-01T00:00:00"/>
    <n v="841"/>
    <b v="1"/>
    <b v="1"/>
    <x v="0"/>
    <s v="Standard"/>
    <n v="3"/>
  </r>
  <r>
    <s v="64-120-6212"/>
    <x v="16"/>
    <x v="1"/>
    <x v="0"/>
    <s v="Single"/>
    <s v="Bachelor's"/>
    <s v="Middle"/>
    <s v="Fubin"/>
    <x v="5"/>
    <n v="389.47"/>
    <n v="4"/>
    <x v="1"/>
    <n v="5"/>
    <n v="3"/>
    <n v="2"/>
    <s v="Low"/>
    <s v="Not Sensitive"/>
    <n v="1"/>
    <n v="9"/>
    <s v="High"/>
    <x v="2"/>
    <x v="0"/>
    <d v="2024-02-11T00:00:00"/>
    <n v="800"/>
    <b v="1"/>
    <b v="1"/>
    <x v="1"/>
    <s v="Standard"/>
    <n v="6"/>
  </r>
  <r>
    <s v="01-404-3425"/>
    <x v="9"/>
    <x v="1"/>
    <x v="1"/>
    <s v="Single"/>
    <s v="Master's"/>
    <s v="High"/>
    <s v="Talshand"/>
    <x v="3"/>
    <n v="370.05"/>
    <n v="11"/>
    <x v="0"/>
    <n v="5"/>
    <n v="3"/>
    <n v="0"/>
    <s v="Medium"/>
    <s v="Very Sensitive"/>
    <n v="1"/>
    <n v="10"/>
    <s v="High"/>
    <x v="1"/>
    <x v="4"/>
    <d v="2024-10-30T00:00:00"/>
    <n v="538"/>
    <b v="1"/>
    <b v="1"/>
    <x v="2"/>
    <s v="No Preference"/>
    <n v="10"/>
  </r>
  <r>
    <s v="68-971-6148"/>
    <x v="5"/>
    <x v="1"/>
    <x v="1"/>
    <s v="Single"/>
    <s v="Master's"/>
    <s v="Middle"/>
    <s v="Palampal"/>
    <x v="23"/>
    <n v="462.24"/>
    <n v="2"/>
    <x v="0"/>
    <n v="4"/>
    <n v="5"/>
    <n v="0"/>
    <s v="Low"/>
    <s v="Not Sensitive"/>
    <n v="2"/>
    <n v="1"/>
    <s v="None"/>
    <x v="1"/>
    <x v="3"/>
    <d v="2024-03-19T00:00:00"/>
    <n v="763"/>
    <b v="1"/>
    <b v="1"/>
    <x v="1"/>
    <s v="Express"/>
    <n v="13"/>
  </r>
  <r>
    <s v="22-053-4627"/>
    <x v="12"/>
    <x v="0"/>
    <x v="1"/>
    <s v="Married"/>
    <s v="High School"/>
    <s v="High"/>
    <s v="KamÃ¡rai"/>
    <x v="1"/>
    <n v="472.53"/>
    <n v="11"/>
    <x v="2"/>
    <n v="4"/>
    <n v="1"/>
    <n v="1"/>
    <s v="Medium"/>
    <s v="Somewhat Sensitive"/>
    <n v="2"/>
    <n v="7"/>
    <s v="Medium"/>
    <x v="1"/>
    <x v="2"/>
    <d v="2024-04-30T00:00:00"/>
    <n v="721"/>
    <b v="0"/>
    <b v="0"/>
    <x v="1"/>
    <s v="Express"/>
    <n v="4"/>
  </r>
  <r>
    <s v="09-258-0424"/>
    <x v="5"/>
    <x v="0"/>
    <x v="0"/>
    <s v="Married"/>
    <s v="High School"/>
    <s v="Middle"/>
    <s v="Ettelbruck"/>
    <x v="3"/>
    <n v="407.29"/>
    <n v="3"/>
    <x v="1"/>
    <n v="5"/>
    <n v="5"/>
    <n v="0"/>
    <s v="Low"/>
    <s v="Not Sensitive"/>
    <n v="0"/>
    <n v="5"/>
    <s v="Low"/>
    <x v="0"/>
    <x v="3"/>
    <d v="2024-11-25T00:00:00"/>
    <n v="512"/>
    <b v="0"/>
    <b v="0"/>
    <x v="3"/>
    <s v="Express"/>
    <n v="3"/>
  </r>
  <r>
    <s v="56-782-9001"/>
    <x v="27"/>
    <x v="1"/>
    <x v="1"/>
    <s v="Married"/>
    <s v="Bachelor's"/>
    <s v="High"/>
    <s v="Cawayan"/>
    <x v="7"/>
    <n v="135.65"/>
    <n v="8"/>
    <x v="2"/>
    <n v="4"/>
    <n v="1"/>
    <n v="1"/>
    <s v="Low"/>
    <s v="Very Sensitive"/>
    <n v="0"/>
    <n v="9"/>
    <s v="None"/>
    <x v="2"/>
    <x v="3"/>
    <d v="2024-02-16T00:00:00"/>
    <n v="795"/>
    <b v="0"/>
    <b v="0"/>
    <x v="2"/>
    <s v="Standard"/>
    <n v="14"/>
  </r>
  <r>
    <s v="05-506-7216"/>
    <x v="15"/>
    <x v="1"/>
    <x v="1"/>
    <s v="Single"/>
    <s v="Bachelor's"/>
    <s v="Middle"/>
    <s v="Don Carlos"/>
    <x v="9"/>
    <n v="352.35"/>
    <n v="4"/>
    <x v="2"/>
    <n v="2"/>
    <n v="2"/>
    <n v="0"/>
    <s v="Low"/>
    <s v="Very Sensitive"/>
    <n v="1"/>
    <n v="1"/>
    <s v="Low"/>
    <x v="1"/>
    <x v="0"/>
    <d v="2024-06-20T00:00:00"/>
    <n v="670"/>
    <b v="0"/>
    <b v="0"/>
    <x v="3"/>
    <s v="Express"/>
    <n v="14"/>
  </r>
  <r>
    <s v="47-356-9730"/>
    <x v="8"/>
    <x v="0"/>
    <x v="1"/>
    <s v="Single"/>
    <s v="High School"/>
    <s v="High"/>
    <s v="SeleuÅ¡"/>
    <x v="5"/>
    <n v="441.73"/>
    <n v="12"/>
    <x v="2"/>
    <n v="1"/>
    <n v="4"/>
    <n v="2"/>
    <s v="Low"/>
    <s v="Somewhat Sensitive"/>
    <n v="0"/>
    <n v="8"/>
    <s v="Medium"/>
    <x v="1"/>
    <x v="0"/>
    <d v="2024-02-04T00:00:00"/>
    <n v="807"/>
    <b v="1"/>
    <b v="0"/>
    <x v="3"/>
    <s v="Standard"/>
    <n v="8"/>
  </r>
  <r>
    <s v="42-898-6421"/>
    <x v="6"/>
    <x v="0"/>
    <x v="1"/>
    <s v="Divorced"/>
    <s v="High School"/>
    <s v="Middle"/>
    <s v="Cervantes"/>
    <x v="8"/>
    <n v="105.95"/>
    <n v="12"/>
    <x v="0"/>
    <n v="1"/>
    <n v="4"/>
    <n v="2"/>
    <s v="Low"/>
    <s v="Very Sensitive"/>
    <n v="1"/>
    <n v="7"/>
    <s v="Medium"/>
    <x v="2"/>
    <x v="4"/>
    <d v="2024-08-04T00:00:00"/>
    <n v="625"/>
    <b v="0"/>
    <b v="0"/>
    <x v="2"/>
    <s v="Standard"/>
    <n v="11"/>
  </r>
  <r>
    <s v="17-364-8685"/>
    <x v="29"/>
    <x v="1"/>
    <x v="1"/>
    <s v="Single"/>
    <s v="Master's"/>
    <s v="High"/>
    <s v="Ebebiyin"/>
    <x v="19"/>
    <n v="351.54"/>
    <n v="11"/>
    <x v="0"/>
    <n v="1"/>
    <n v="3"/>
    <n v="2"/>
    <s v="None"/>
    <s v="Somewhat Sensitive"/>
    <n v="0"/>
    <n v="8"/>
    <s v="None"/>
    <x v="0"/>
    <x v="1"/>
    <d v="2024-03-21T00:00:00"/>
    <n v="761"/>
    <b v="1"/>
    <b v="0"/>
    <x v="3"/>
    <s v="Express"/>
    <n v="12"/>
  </r>
  <r>
    <s v="13-618-9438"/>
    <x v="13"/>
    <x v="1"/>
    <x v="1"/>
    <s v="Divorced"/>
    <s v="Bachelor's"/>
    <s v="High"/>
    <s v="Chuquitira"/>
    <x v="3"/>
    <n v="321.26"/>
    <n v="12"/>
    <x v="2"/>
    <n v="4"/>
    <n v="1"/>
    <n v="0"/>
    <s v="None"/>
    <s v="Very Sensitive"/>
    <n v="0"/>
    <n v="6"/>
    <s v="None"/>
    <x v="2"/>
    <x v="2"/>
    <d v="2024-06-13T00:00:00"/>
    <n v="677"/>
    <b v="0"/>
    <b v="0"/>
    <x v="0"/>
    <s v="Standard"/>
    <n v="14"/>
  </r>
  <r>
    <s v="32-457-2982"/>
    <x v="26"/>
    <x v="0"/>
    <x v="1"/>
    <s v="Divorced"/>
    <s v="High School"/>
    <s v="Middle"/>
    <s v="Proletarsk"/>
    <x v="9"/>
    <n v="421.5"/>
    <n v="11"/>
    <x v="2"/>
    <n v="5"/>
    <n v="1"/>
    <n v="2"/>
    <s v="Low"/>
    <s v="Somewhat Sensitive"/>
    <n v="0"/>
    <n v="8"/>
    <s v="None"/>
    <x v="2"/>
    <x v="1"/>
    <d v="2024-04-04T00:00:00"/>
    <n v="747"/>
    <b v="1"/>
    <b v="1"/>
    <x v="0"/>
    <s v="Express"/>
    <n v="3"/>
  </r>
  <r>
    <s v="43-386-2489"/>
    <x v="23"/>
    <x v="2"/>
    <x v="1"/>
    <s v="Widowed"/>
    <s v="High School"/>
    <s v="Middle"/>
    <s v="Naghalin"/>
    <x v="1"/>
    <n v="253.29"/>
    <n v="6"/>
    <x v="0"/>
    <n v="3"/>
    <n v="2"/>
    <n v="2"/>
    <s v="None"/>
    <s v="Somewhat Sensitive"/>
    <n v="1"/>
    <n v="4"/>
    <s v="None"/>
    <x v="2"/>
    <x v="1"/>
    <d v="2024-05-02T00:00:00"/>
    <n v="719"/>
    <b v="1"/>
    <b v="0"/>
    <x v="3"/>
    <s v="Standard"/>
    <n v="8"/>
  </r>
  <r>
    <s v="67-438-2378"/>
    <x v="3"/>
    <x v="0"/>
    <x v="0"/>
    <s v="Divorced"/>
    <s v="High School"/>
    <s v="High"/>
    <s v="Honolulu"/>
    <x v="23"/>
    <n v="217.62"/>
    <n v="3"/>
    <x v="2"/>
    <n v="5"/>
    <n v="2"/>
    <n v="1"/>
    <s v="High"/>
    <s v="Very Sensitive"/>
    <n v="2"/>
    <n v="3"/>
    <s v="Low"/>
    <x v="1"/>
    <x v="1"/>
    <d v="2024-02-14T00:00:00"/>
    <n v="797"/>
    <b v="0"/>
    <b v="1"/>
    <x v="2"/>
    <s v="No Preference"/>
    <n v="5"/>
  </r>
  <r>
    <s v="65-431-1264"/>
    <x v="6"/>
    <x v="1"/>
    <x v="0"/>
    <s v="Single"/>
    <s v="Bachelor's"/>
    <s v="High"/>
    <s v="Dhalie"/>
    <x v="5"/>
    <n v="226.04"/>
    <n v="11"/>
    <x v="2"/>
    <n v="4"/>
    <n v="1"/>
    <n v="1"/>
    <s v="None"/>
    <s v="Very Sensitive"/>
    <n v="0"/>
    <n v="9"/>
    <s v="Medium"/>
    <x v="2"/>
    <x v="1"/>
    <d v="2024-05-14T00:00:00"/>
    <n v="707"/>
    <b v="1"/>
    <b v="0"/>
    <x v="1"/>
    <s v="Express"/>
    <n v="12"/>
  </r>
  <r>
    <s v="73-367-8478"/>
    <x v="30"/>
    <x v="3"/>
    <x v="1"/>
    <s v="Single"/>
    <s v="Bachelor's"/>
    <s v="High"/>
    <s v="Giesteira"/>
    <x v="12"/>
    <n v="52.79"/>
    <n v="4"/>
    <x v="2"/>
    <n v="2"/>
    <n v="2"/>
    <n v="0"/>
    <s v="Low"/>
    <s v="Not Sensitive"/>
    <n v="1"/>
    <n v="7"/>
    <s v="None"/>
    <x v="0"/>
    <x v="2"/>
    <d v="2024-02-06T00:00:00"/>
    <n v="805"/>
    <b v="1"/>
    <b v="1"/>
    <x v="2"/>
    <s v="Express"/>
    <n v="4"/>
  </r>
  <r>
    <s v="84-162-8799"/>
    <x v="20"/>
    <x v="1"/>
    <x v="0"/>
    <s v="Widowed"/>
    <s v="High School"/>
    <s v="High"/>
    <s v="Khilok"/>
    <x v="23"/>
    <n v="385.08"/>
    <n v="7"/>
    <x v="1"/>
    <n v="2"/>
    <n v="4"/>
    <n v="1"/>
    <s v="High"/>
    <s v="Somewhat Sensitive"/>
    <n v="1"/>
    <n v="1"/>
    <s v="Low"/>
    <x v="0"/>
    <x v="2"/>
    <d v="2024-11-12T00:00:00"/>
    <n v="525"/>
    <b v="0"/>
    <b v="1"/>
    <x v="2"/>
    <s v="No Preference"/>
    <n v="1"/>
  </r>
  <r>
    <s v="51-546-9992"/>
    <x v="4"/>
    <x v="1"/>
    <x v="1"/>
    <s v="Widowed"/>
    <s v="Master's"/>
    <s v="Middle"/>
    <s v="Cimara"/>
    <x v="11"/>
    <n v="181.1"/>
    <n v="2"/>
    <x v="2"/>
    <n v="2"/>
    <n v="5"/>
    <n v="2"/>
    <s v="Low"/>
    <s v="Not Sensitive"/>
    <n v="2"/>
    <n v="7"/>
    <s v="Low"/>
    <x v="0"/>
    <x v="0"/>
    <d v="2024-12-26T00:00:00"/>
    <n v="481"/>
    <b v="0"/>
    <b v="0"/>
    <x v="2"/>
    <s v="No Preference"/>
    <n v="5"/>
  </r>
  <r>
    <s v="89-189-3295"/>
    <x v="25"/>
    <x v="0"/>
    <x v="0"/>
    <s v="Single"/>
    <s v="Master's"/>
    <s v="Middle"/>
    <s v="Vereshchagino"/>
    <x v="2"/>
    <n v="246.41"/>
    <n v="7"/>
    <x v="1"/>
    <n v="2"/>
    <n v="4"/>
    <n v="0"/>
    <s v="None"/>
    <s v="Somewhat Sensitive"/>
    <n v="2"/>
    <n v="8"/>
    <s v="Low"/>
    <x v="1"/>
    <x v="4"/>
    <d v="2024-10-01T00:00:00"/>
    <n v="567"/>
    <b v="1"/>
    <b v="0"/>
    <x v="0"/>
    <s v="Standard"/>
    <n v="11"/>
  </r>
  <r>
    <s v="45-776-7217"/>
    <x v="14"/>
    <x v="0"/>
    <x v="0"/>
    <s v="Divorced"/>
    <s v="Bachelor's"/>
    <s v="High"/>
    <s v="Binagadi"/>
    <x v="15"/>
    <n v="140.87"/>
    <n v="8"/>
    <x v="1"/>
    <n v="3"/>
    <n v="3"/>
    <n v="2"/>
    <s v="Low"/>
    <s v="Not Sensitive"/>
    <n v="2"/>
    <n v="7"/>
    <s v="Medium"/>
    <x v="0"/>
    <x v="3"/>
    <d v="2024-03-03T00:00:00"/>
    <n v="779"/>
    <b v="1"/>
    <b v="0"/>
    <x v="2"/>
    <s v="No Preference"/>
    <n v="9"/>
  </r>
  <r>
    <s v="71-354-5174"/>
    <x v="10"/>
    <x v="0"/>
    <x v="1"/>
    <s v="Single"/>
    <s v="Master's"/>
    <s v="High"/>
    <s v="Tsuen Wan"/>
    <x v="14"/>
    <n v="151.25"/>
    <n v="2"/>
    <x v="1"/>
    <n v="2"/>
    <n v="5"/>
    <n v="0"/>
    <s v="Medium"/>
    <s v="Somewhat Sensitive"/>
    <n v="1"/>
    <n v="8"/>
    <s v="Medium"/>
    <x v="0"/>
    <x v="2"/>
    <d v="2024-04-20T00:00:00"/>
    <n v="731"/>
    <b v="1"/>
    <b v="0"/>
    <x v="3"/>
    <s v="No Preference"/>
    <n v="10"/>
  </r>
  <r>
    <s v="05-975-6985"/>
    <x v="23"/>
    <x v="1"/>
    <x v="1"/>
    <s v="Divorced"/>
    <s v="Master's"/>
    <s v="Middle"/>
    <s v="Banjar Batanpoh"/>
    <x v="11"/>
    <n v="171.52"/>
    <n v="3"/>
    <x v="0"/>
    <n v="5"/>
    <n v="5"/>
    <n v="2"/>
    <s v="Medium"/>
    <s v="Very Sensitive"/>
    <n v="1"/>
    <n v="9"/>
    <s v="Medium"/>
    <x v="1"/>
    <x v="4"/>
    <d v="2024-08-21T00:00:00"/>
    <n v="608"/>
    <b v="1"/>
    <b v="1"/>
    <x v="3"/>
    <s v="Standard"/>
    <n v="12"/>
  </r>
  <r>
    <s v="42-859-2475"/>
    <x v="13"/>
    <x v="1"/>
    <x v="0"/>
    <s v="Widowed"/>
    <s v="Master's"/>
    <s v="High"/>
    <s v="Yenakiyeve"/>
    <x v="6"/>
    <n v="399.56"/>
    <n v="10"/>
    <x v="2"/>
    <n v="4"/>
    <n v="2"/>
    <n v="1"/>
    <s v="Low"/>
    <s v="Not Sensitive"/>
    <n v="0"/>
    <n v="4"/>
    <s v="Medium"/>
    <x v="2"/>
    <x v="4"/>
    <d v="2024-10-21T00:00:00"/>
    <n v="547"/>
    <b v="1"/>
    <b v="1"/>
    <x v="0"/>
    <s v="No Preference"/>
    <n v="1"/>
  </r>
  <r>
    <s v="34-094-1923"/>
    <x v="13"/>
    <x v="0"/>
    <x v="0"/>
    <s v="Widowed"/>
    <s v="Master's"/>
    <s v="Middle"/>
    <s v="San Ramon"/>
    <x v="6"/>
    <n v="173.46"/>
    <n v="4"/>
    <x v="0"/>
    <n v="5"/>
    <n v="3"/>
    <n v="1"/>
    <s v="None"/>
    <s v="Not Sensitive"/>
    <n v="0"/>
    <n v="9"/>
    <s v="Medium"/>
    <x v="1"/>
    <x v="1"/>
    <d v="2024-04-11T00:00:00"/>
    <n v="740"/>
    <b v="0"/>
    <b v="1"/>
    <x v="1"/>
    <s v="No Preference"/>
    <n v="2"/>
  </r>
  <r>
    <s v="57-797-8139"/>
    <x v="20"/>
    <x v="1"/>
    <x v="1"/>
    <s v="Widowed"/>
    <s v="Bachelor's"/>
    <s v="High"/>
    <s v="SakÃ©tÃ©"/>
    <x v="16"/>
    <n v="332.14"/>
    <n v="10"/>
    <x v="2"/>
    <n v="4"/>
    <n v="4"/>
    <n v="0"/>
    <s v="Low"/>
    <s v="Somewhat Sensitive"/>
    <n v="1"/>
    <n v="2"/>
    <s v="None"/>
    <x v="2"/>
    <x v="1"/>
    <d v="2024-02-09T00:00:00"/>
    <n v="802"/>
    <b v="1"/>
    <b v="1"/>
    <x v="3"/>
    <s v="No Preference"/>
    <n v="13"/>
  </r>
  <r>
    <s v="21-048-8669"/>
    <x v="14"/>
    <x v="4"/>
    <x v="0"/>
    <s v="Single"/>
    <s v="Bachelor's"/>
    <s v="Middle"/>
    <s v="Pantenan"/>
    <x v="1"/>
    <n v="247.05"/>
    <n v="8"/>
    <x v="1"/>
    <n v="3"/>
    <n v="2"/>
    <n v="1"/>
    <s v="Low"/>
    <s v="Somewhat Sensitive"/>
    <n v="1"/>
    <n v="8"/>
    <s v="High"/>
    <x v="2"/>
    <x v="4"/>
    <d v="2024-05-25T00:00:00"/>
    <n v="696"/>
    <b v="0"/>
    <b v="0"/>
    <x v="1"/>
    <s v="Standard"/>
    <n v="2"/>
  </r>
  <r>
    <s v="30-038-8752"/>
    <x v="1"/>
    <x v="1"/>
    <x v="1"/>
    <s v="Single"/>
    <s v="Bachelor's"/>
    <s v="High"/>
    <s v="Antrukan"/>
    <x v="2"/>
    <n v="365.88"/>
    <n v="10"/>
    <x v="0"/>
    <n v="4"/>
    <n v="5"/>
    <n v="1"/>
    <s v="None"/>
    <s v="Somewhat Sensitive"/>
    <n v="1"/>
    <n v="1"/>
    <s v="Medium"/>
    <x v="0"/>
    <x v="1"/>
    <d v="2024-04-16T00:00:00"/>
    <n v="735"/>
    <b v="0"/>
    <b v="0"/>
    <x v="1"/>
    <s v="Express"/>
    <n v="9"/>
  </r>
  <r>
    <s v="06-237-7338"/>
    <x v="23"/>
    <x v="0"/>
    <x v="0"/>
    <s v="Married"/>
    <s v="Bachelor's"/>
    <s v="Middle"/>
    <s v="Dhahab"/>
    <x v="16"/>
    <n v="354.92"/>
    <n v="8"/>
    <x v="0"/>
    <n v="5"/>
    <n v="4"/>
    <n v="0"/>
    <s v="None"/>
    <s v="Somewhat Sensitive"/>
    <n v="0"/>
    <n v="1"/>
    <s v="None"/>
    <x v="0"/>
    <x v="2"/>
    <d v="2024-02-17T00:00:00"/>
    <n v="794"/>
    <b v="1"/>
    <b v="1"/>
    <x v="1"/>
    <s v="Express"/>
    <n v="13"/>
  </r>
  <r>
    <s v="71-817-5422"/>
    <x v="24"/>
    <x v="0"/>
    <x v="1"/>
    <s v="Single"/>
    <s v="High School"/>
    <s v="High"/>
    <s v="Vetluga"/>
    <x v="23"/>
    <n v="195.46"/>
    <n v="10"/>
    <x v="0"/>
    <n v="5"/>
    <n v="3"/>
    <n v="2"/>
    <s v="None"/>
    <s v="Not Sensitive"/>
    <n v="0"/>
    <n v="10"/>
    <s v="Low"/>
    <x v="0"/>
    <x v="3"/>
    <d v="2024-07-07T00:00:00"/>
    <n v="653"/>
    <b v="1"/>
    <b v="0"/>
    <x v="2"/>
    <s v="Standard"/>
    <n v="9"/>
  </r>
  <r>
    <s v="68-512-0568"/>
    <x v="13"/>
    <x v="0"/>
    <x v="1"/>
    <s v="Married"/>
    <s v="Master's"/>
    <s v="Middle"/>
    <s v="Wolfsberg"/>
    <x v="5"/>
    <n v="474.03"/>
    <n v="7"/>
    <x v="1"/>
    <n v="3"/>
    <n v="1"/>
    <n v="1"/>
    <s v="Medium"/>
    <s v="Somewhat Sensitive"/>
    <n v="0"/>
    <n v="6"/>
    <s v="High"/>
    <x v="2"/>
    <x v="3"/>
    <d v="2024-08-03T00:00:00"/>
    <n v="626"/>
    <b v="1"/>
    <b v="1"/>
    <x v="0"/>
    <s v="Standard"/>
    <n v="13"/>
  </r>
  <r>
    <s v="18-633-9387"/>
    <x v="23"/>
    <x v="1"/>
    <x v="0"/>
    <s v="Married"/>
    <s v="Bachelor's"/>
    <s v="High"/>
    <s v="San Bautista"/>
    <x v="9"/>
    <n v="106.96"/>
    <n v="6"/>
    <x v="1"/>
    <n v="3"/>
    <n v="1"/>
    <n v="2"/>
    <s v="Low"/>
    <s v="Not Sensitive"/>
    <n v="0"/>
    <n v="7"/>
    <s v="Medium"/>
    <x v="0"/>
    <x v="2"/>
    <d v="2024-03-09T00:00:00"/>
    <n v="773"/>
    <b v="1"/>
    <b v="1"/>
    <x v="2"/>
    <s v="Standard"/>
    <n v="3"/>
  </r>
  <r>
    <s v="08-977-4418"/>
    <x v="3"/>
    <x v="0"/>
    <x v="0"/>
    <s v="Married"/>
    <s v="Master's"/>
    <s v="High"/>
    <s v="Reuleuet"/>
    <x v="13"/>
    <n v="371.84"/>
    <n v="9"/>
    <x v="1"/>
    <n v="5"/>
    <n v="4"/>
    <n v="0"/>
    <s v="None"/>
    <s v="Not Sensitive"/>
    <n v="2"/>
    <n v="6"/>
    <s v="None"/>
    <x v="0"/>
    <x v="3"/>
    <d v="2024-07-28T00:00:00"/>
    <n v="632"/>
    <b v="0"/>
    <b v="1"/>
    <x v="2"/>
    <s v="Standard"/>
    <n v="2"/>
  </r>
  <r>
    <s v="97-738-8095"/>
    <x v="5"/>
    <x v="5"/>
    <x v="1"/>
    <s v="Single"/>
    <s v="Bachelor's"/>
    <s v="High"/>
    <s v="Lonpao Dajah"/>
    <x v="18"/>
    <n v="461.16"/>
    <n v="8"/>
    <x v="0"/>
    <n v="1"/>
    <n v="4"/>
    <n v="1"/>
    <s v="High"/>
    <s v="Not Sensitive"/>
    <n v="0"/>
    <n v="3"/>
    <s v="Medium"/>
    <x v="1"/>
    <x v="3"/>
    <d v="2024-02-29T00:00:00"/>
    <n v="782"/>
    <b v="1"/>
    <b v="1"/>
    <x v="3"/>
    <s v="Express"/>
    <n v="14"/>
  </r>
  <r>
    <s v="15-421-1255"/>
    <x v="2"/>
    <x v="0"/>
    <x v="1"/>
    <s v="Single"/>
    <s v="High School"/>
    <s v="Middle"/>
    <s v="Nanqiao"/>
    <x v="5"/>
    <n v="497.75"/>
    <n v="11"/>
    <x v="1"/>
    <n v="4"/>
    <n v="1"/>
    <n v="2"/>
    <s v="None"/>
    <s v="Very Sensitive"/>
    <n v="2"/>
    <n v="1"/>
    <s v="Medium"/>
    <x v="1"/>
    <x v="4"/>
    <d v="2024-07-03T00:00:00"/>
    <n v="657"/>
    <b v="1"/>
    <b v="0"/>
    <x v="1"/>
    <s v="Express"/>
    <n v="13"/>
  </r>
  <r>
    <s v="92-142-4328"/>
    <x v="5"/>
    <x v="0"/>
    <x v="0"/>
    <s v="Married"/>
    <s v="Master's"/>
    <s v="Middle"/>
    <s v="San Carlos"/>
    <x v="10"/>
    <n v="492.83"/>
    <n v="5"/>
    <x v="2"/>
    <n v="2"/>
    <n v="1"/>
    <n v="0"/>
    <s v="High"/>
    <s v="Very Sensitive"/>
    <n v="0"/>
    <n v="4"/>
    <s v="High"/>
    <x v="0"/>
    <x v="2"/>
    <d v="2024-03-02T00:00:00"/>
    <n v="780"/>
    <b v="1"/>
    <b v="0"/>
    <x v="0"/>
    <s v="No Preference"/>
    <n v="2"/>
  </r>
  <r>
    <s v="06-357-6548"/>
    <x v="7"/>
    <x v="0"/>
    <x v="0"/>
    <s v="Divorced"/>
    <s v="High School"/>
    <s v="Middle"/>
    <s v="Ishikawa"/>
    <x v="19"/>
    <n v="295.54000000000002"/>
    <n v="8"/>
    <x v="2"/>
    <n v="3"/>
    <n v="3"/>
    <n v="1"/>
    <s v="None"/>
    <s v="Very Sensitive"/>
    <n v="2"/>
    <n v="4"/>
    <s v="Low"/>
    <x v="0"/>
    <x v="4"/>
    <d v="2024-07-27T00:00:00"/>
    <n v="633"/>
    <b v="0"/>
    <b v="0"/>
    <x v="3"/>
    <s v="Express"/>
    <n v="14"/>
  </r>
  <r>
    <s v="59-261-4453"/>
    <x v="13"/>
    <x v="1"/>
    <x v="1"/>
    <s v="Widowed"/>
    <s v="High School"/>
    <s v="High"/>
    <s v="Oguma"/>
    <x v="4"/>
    <n v="494.81"/>
    <n v="9"/>
    <x v="0"/>
    <n v="2"/>
    <n v="4"/>
    <n v="1"/>
    <s v="Medium"/>
    <s v="Very Sensitive"/>
    <n v="1"/>
    <n v="7"/>
    <s v="Medium"/>
    <x v="0"/>
    <x v="1"/>
    <d v="2024-05-26T00:00:00"/>
    <n v="695"/>
    <b v="1"/>
    <b v="1"/>
    <x v="0"/>
    <s v="Standard"/>
    <n v="6"/>
  </r>
  <r>
    <s v="35-644-3184"/>
    <x v="6"/>
    <x v="0"/>
    <x v="1"/>
    <s v="Single"/>
    <s v="Master's"/>
    <s v="Middle"/>
    <s v="TÄ›Å¡any"/>
    <x v="7"/>
    <n v="160.25"/>
    <n v="7"/>
    <x v="2"/>
    <n v="2"/>
    <n v="3"/>
    <n v="2"/>
    <s v="None"/>
    <s v="Very Sensitive"/>
    <n v="2"/>
    <n v="5"/>
    <s v="High"/>
    <x v="2"/>
    <x v="1"/>
    <d v="2024-03-04T00:00:00"/>
    <n v="778"/>
    <b v="1"/>
    <b v="1"/>
    <x v="0"/>
    <s v="No Preference"/>
    <n v="12"/>
  </r>
  <r>
    <s v="30-528-9105"/>
    <x v="21"/>
    <x v="0"/>
    <x v="0"/>
    <s v="Married"/>
    <s v="Master's"/>
    <s v="High"/>
    <s v="Aksha"/>
    <x v="0"/>
    <n v="198.36"/>
    <n v="4"/>
    <x v="2"/>
    <n v="1"/>
    <n v="1"/>
    <n v="2"/>
    <s v="None"/>
    <s v="Somewhat Sensitive"/>
    <n v="1"/>
    <n v="9"/>
    <s v="None"/>
    <x v="2"/>
    <x v="4"/>
    <d v="2024-12-13T00:00:00"/>
    <n v="494"/>
    <b v="0"/>
    <b v="1"/>
    <x v="1"/>
    <s v="Standard"/>
    <n v="4"/>
  </r>
  <r>
    <s v="14-709-8547"/>
    <x v="32"/>
    <x v="0"/>
    <x v="0"/>
    <s v="Divorced"/>
    <s v="Bachelor's"/>
    <s v="High"/>
    <s v="Lahan Sai"/>
    <x v="4"/>
    <n v="82.39"/>
    <n v="12"/>
    <x v="1"/>
    <n v="5"/>
    <n v="1"/>
    <n v="1"/>
    <s v="None"/>
    <s v="Somewhat Sensitive"/>
    <n v="0"/>
    <n v="8"/>
    <s v="None"/>
    <x v="1"/>
    <x v="3"/>
    <d v="2024-02-24T00:00:00"/>
    <n v="787"/>
    <b v="0"/>
    <b v="0"/>
    <x v="3"/>
    <s v="Express"/>
    <n v="1"/>
  </r>
  <r>
    <s v="80-508-9866"/>
    <x v="19"/>
    <x v="0"/>
    <x v="0"/>
    <s v="Married"/>
    <s v="Master's"/>
    <s v="High"/>
    <s v="EstÃ¢ncia"/>
    <x v="11"/>
    <n v="290.56"/>
    <n v="3"/>
    <x v="1"/>
    <n v="5"/>
    <n v="1"/>
    <n v="2"/>
    <s v="None"/>
    <s v="Somewhat Sensitive"/>
    <n v="1"/>
    <n v="1"/>
    <s v="None"/>
    <x v="2"/>
    <x v="1"/>
    <d v="2024-03-12T00:00:00"/>
    <n v="770"/>
    <b v="1"/>
    <b v="0"/>
    <x v="1"/>
    <s v="No Preference"/>
    <n v="4"/>
  </r>
  <r>
    <s v="27-100-0661"/>
    <x v="3"/>
    <x v="1"/>
    <x v="1"/>
    <s v="Divorced"/>
    <s v="Master's"/>
    <s v="High"/>
    <s v="Las Lomas"/>
    <x v="9"/>
    <n v="206.79"/>
    <n v="5"/>
    <x v="1"/>
    <n v="1"/>
    <n v="3"/>
    <n v="2"/>
    <s v="High"/>
    <s v="Very Sensitive"/>
    <n v="1"/>
    <n v="2"/>
    <s v="Low"/>
    <x v="0"/>
    <x v="0"/>
    <d v="2024-08-21T00:00:00"/>
    <n v="608"/>
    <b v="0"/>
    <b v="0"/>
    <x v="3"/>
    <s v="Standard"/>
    <n v="4"/>
  </r>
  <r>
    <s v="68-488-7343"/>
    <x v="24"/>
    <x v="0"/>
    <x v="0"/>
    <s v="Married"/>
    <s v="High School"/>
    <s v="High"/>
    <s v="Xiamayu"/>
    <x v="15"/>
    <n v="401.43"/>
    <n v="8"/>
    <x v="0"/>
    <n v="4"/>
    <n v="2"/>
    <n v="0"/>
    <s v="None"/>
    <s v="Not Sensitive"/>
    <n v="0"/>
    <n v="6"/>
    <s v="High"/>
    <x v="0"/>
    <x v="3"/>
    <d v="2024-05-23T00:00:00"/>
    <n v="698"/>
    <b v="1"/>
    <b v="1"/>
    <x v="0"/>
    <s v="No Preference"/>
    <n v="5"/>
  </r>
  <r>
    <s v="63-304-1852"/>
    <x v="6"/>
    <x v="1"/>
    <x v="1"/>
    <s v="Widowed"/>
    <s v="Master's"/>
    <s v="High"/>
    <s v="IÃ±apari"/>
    <x v="6"/>
    <n v="188.17"/>
    <n v="9"/>
    <x v="2"/>
    <n v="5"/>
    <n v="5"/>
    <n v="0"/>
    <s v="Medium"/>
    <s v="Not Sensitive"/>
    <n v="1"/>
    <n v="5"/>
    <s v="Low"/>
    <x v="2"/>
    <x v="2"/>
    <d v="2024-05-26T00:00:00"/>
    <n v="695"/>
    <b v="1"/>
    <b v="0"/>
    <x v="0"/>
    <s v="Standard"/>
    <n v="9"/>
  </r>
  <r>
    <s v="53-843-5619"/>
    <x v="9"/>
    <x v="0"/>
    <x v="1"/>
    <s v="Single"/>
    <s v="High School"/>
    <s v="High"/>
    <s v="Orsay"/>
    <x v="0"/>
    <n v="83.21"/>
    <n v="10"/>
    <x v="2"/>
    <n v="4"/>
    <n v="3"/>
    <n v="2"/>
    <s v="Low"/>
    <s v="Somewhat Sensitive"/>
    <n v="0"/>
    <n v="4"/>
    <s v="High"/>
    <x v="2"/>
    <x v="3"/>
    <d v="2024-03-20T00:00:00"/>
    <n v="762"/>
    <b v="0"/>
    <b v="0"/>
    <x v="2"/>
    <s v="Standard"/>
    <n v="7"/>
  </r>
  <r>
    <s v="44-786-7696"/>
    <x v="30"/>
    <x v="2"/>
    <x v="0"/>
    <s v="Divorced"/>
    <s v="Master's"/>
    <s v="Middle"/>
    <s v="Zhongying"/>
    <x v="0"/>
    <n v="54.74"/>
    <n v="4"/>
    <x v="1"/>
    <n v="1"/>
    <n v="2"/>
    <n v="0"/>
    <s v="None"/>
    <s v="Somewhat Sensitive"/>
    <n v="0"/>
    <n v="4"/>
    <s v="Low"/>
    <x v="1"/>
    <x v="1"/>
    <d v="2024-10-03T00:00:00"/>
    <n v="565"/>
    <b v="1"/>
    <b v="1"/>
    <x v="2"/>
    <s v="No Preference"/>
    <n v="14"/>
  </r>
  <r>
    <s v="45-631-4619"/>
    <x v="1"/>
    <x v="0"/>
    <x v="1"/>
    <s v="Divorced"/>
    <s v="Master's"/>
    <s v="High"/>
    <s v="Bayá¸©Än"/>
    <x v="2"/>
    <n v="371.12"/>
    <n v="8"/>
    <x v="2"/>
    <n v="5"/>
    <n v="1"/>
    <n v="2"/>
    <s v="High"/>
    <s v="Somewhat Sensitive"/>
    <n v="1"/>
    <n v="7"/>
    <s v="Low"/>
    <x v="1"/>
    <x v="1"/>
    <d v="2024-08-23T00:00:00"/>
    <n v="606"/>
    <b v="0"/>
    <b v="1"/>
    <x v="1"/>
    <s v="No Preference"/>
    <n v="8"/>
  </r>
  <r>
    <s v="11-850-1953"/>
    <x v="11"/>
    <x v="3"/>
    <x v="0"/>
    <s v="Single"/>
    <s v="High School"/>
    <s v="Middle"/>
    <s v="Beizhakou"/>
    <x v="12"/>
    <n v="293.64"/>
    <n v="3"/>
    <x v="1"/>
    <n v="2"/>
    <n v="1"/>
    <n v="2"/>
    <s v="Low"/>
    <s v="Not Sensitive"/>
    <n v="2"/>
    <n v="8"/>
    <s v="None"/>
    <x v="0"/>
    <x v="0"/>
    <d v="2024-09-17T00:00:00"/>
    <n v="581"/>
    <b v="1"/>
    <b v="0"/>
    <x v="2"/>
    <s v="Express"/>
    <n v="5"/>
  </r>
  <r>
    <s v="20-421-2544"/>
    <x v="2"/>
    <x v="1"/>
    <x v="1"/>
    <s v="Married"/>
    <s v="High School"/>
    <s v="High"/>
    <s v="KyÅngsÅng"/>
    <x v="5"/>
    <n v="185.83"/>
    <n v="11"/>
    <x v="1"/>
    <n v="4"/>
    <n v="2"/>
    <n v="2"/>
    <s v="Low"/>
    <s v="Not Sensitive"/>
    <n v="2"/>
    <n v="9"/>
    <s v="Medium"/>
    <x v="2"/>
    <x v="3"/>
    <d v="2024-10-17T00:00:00"/>
    <n v="551"/>
    <b v="0"/>
    <b v="1"/>
    <x v="2"/>
    <s v="Standard"/>
    <n v="1"/>
  </r>
  <r>
    <s v="37-100-8709"/>
    <x v="23"/>
    <x v="1"/>
    <x v="1"/>
    <s v="Divorced"/>
    <s v="Master's"/>
    <s v="Middle"/>
    <s v="Turinsk"/>
    <x v="2"/>
    <n v="117.13"/>
    <n v="7"/>
    <x v="0"/>
    <n v="1"/>
    <n v="1"/>
    <n v="2"/>
    <s v="High"/>
    <s v="Somewhat Sensitive"/>
    <n v="1"/>
    <n v="10"/>
    <s v="High"/>
    <x v="1"/>
    <x v="0"/>
    <d v="2024-08-08T00:00:00"/>
    <n v="621"/>
    <b v="1"/>
    <b v="1"/>
    <x v="3"/>
    <s v="Express"/>
    <n v="6"/>
  </r>
  <r>
    <s v="78-361-5100"/>
    <x v="32"/>
    <x v="0"/>
    <x v="0"/>
    <s v="Married"/>
    <s v="Master's"/>
    <s v="High"/>
    <s v="As SawdÄ"/>
    <x v="2"/>
    <n v="52.24"/>
    <n v="11"/>
    <x v="1"/>
    <n v="3"/>
    <n v="1"/>
    <n v="0"/>
    <s v="Low"/>
    <s v="Not Sensitive"/>
    <n v="2"/>
    <n v="4"/>
    <s v="High"/>
    <x v="1"/>
    <x v="0"/>
    <d v="2024-12-12T00:00:00"/>
    <n v="495"/>
    <b v="1"/>
    <b v="1"/>
    <x v="2"/>
    <s v="Standard"/>
    <n v="8"/>
  </r>
  <r>
    <s v="67-676-5945"/>
    <x v="31"/>
    <x v="0"/>
    <x v="1"/>
    <s v="Married"/>
    <s v="Bachelor's"/>
    <s v="High"/>
    <s v="Legaspi"/>
    <x v="15"/>
    <n v="446.69"/>
    <n v="7"/>
    <x v="1"/>
    <n v="4"/>
    <n v="5"/>
    <n v="2"/>
    <s v="Medium"/>
    <s v="Somewhat Sensitive"/>
    <n v="1"/>
    <n v="5"/>
    <s v="High"/>
    <x v="1"/>
    <x v="4"/>
    <d v="2024-06-12T00:00:00"/>
    <n v="678"/>
    <b v="0"/>
    <b v="1"/>
    <x v="3"/>
    <s v="No Preference"/>
    <n v="13"/>
  </r>
  <r>
    <s v="67-639-5838"/>
    <x v="25"/>
    <x v="1"/>
    <x v="0"/>
    <s v="Married"/>
    <s v="High School"/>
    <s v="Middle"/>
    <s v="Shimorskoye"/>
    <x v="12"/>
    <n v="216.84"/>
    <n v="5"/>
    <x v="1"/>
    <n v="4"/>
    <n v="3"/>
    <n v="1"/>
    <s v="Low"/>
    <s v="Somewhat Sensitive"/>
    <n v="1"/>
    <n v="1"/>
    <s v="Low"/>
    <x v="0"/>
    <x v="1"/>
    <d v="2024-03-28T00:00:00"/>
    <n v="754"/>
    <b v="0"/>
    <b v="0"/>
    <x v="3"/>
    <s v="Express"/>
    <n v="5"/>
  </r>
  <r>
    <s v="51-415-1931"/>
    <x v="21"/>
    <x v="0"/>
    <x v="1"/>
    <s v="Divorced"/>
    <s v="High School"/>
    <s v="High"/>
    <s v="KoÅ›cielec"/>
    <x v="13"/>
    <n v="75.27"/>
    <n v="7"/>
    <x v="0"/>
    <n v="3"/>
    <n v="4"/>
    <n v="1"/>
    <s v="None"/>
    <s v="Not Sensitive"/>
    <n v="2"/>
    <n v="3"/>
    <s v="None"/>
    <x v="2"/>
    <x v="1"/>
    <d v="2024-12-27T00:00:00"/>
    <n v="480"/>
    <b v="1"/>
    <b v="1"/>
    <x v="2"/>
    <s v="Express"/>
    <n v="1"/>
  </r>
  <r>
    <s v="96-764-3843"/>
    <x v="28"/>
    <x v="1"/>
    <x v="0"/>
    <s v="Widowed"/>
    <s v="Master's"/>
    <s v="High"/>
    <s v="Yongfu"/>
    <x v="2"/>
    <n v="308.87"/>
    <n v="2"/>
    <x v="1"/>
    <n v="3"/>
    <n v="4"/>
    <n v="1"/>
    <s v="None"/>
    <s v="Not Sensitive"/>
    <n v="2"/>
    <n v="2"/>
    <s v="None"/>
    <x v="0"/>
    <x v="4"/>
    <d v="2024-02-24T00:00:00"/>
    <n v="787"/>
    <b v="1"/>
    <b v="1"/>
    <x v="2"/>
    <s v="Express"/>
    <n v="11"/>
  </r>
  <r>
    <s v="16-730-2056"/>
    <x v="1"/>
    <x v="1"/>
    <x v="1"/>
    <s v="Divorced"/>
    <s v="Master's"/>
    <s v="Middle"/>
    <s v="VinkkilÃ¤"/>
    <x v="22"/>
    <n v="169.77"/>
    <n v="5"/>
    <x v="1"/>
    <n v="1"/>
    <n v="4"/>
    <n v="0"/>
    <s v="Medium"/>
    <s v="Very Sensitive"/>
    <n v="2"/>
    <n v="9"/>
    <s v="None"/>
    <x v="2"/>
    <x v="3"/>
    <d v="2024-06-15T00:00:00"/>
    <n v="675"/>
    <b v="1"/>
    <b v="1"/>
    <x v="1"/>
    <s v="Standard"/>
    <n v="7"/>
  </r>
  <r>
    <s v="22-157-2494"/>
    <x v="24"/>
    <x v="1"/>
    <x v="1"/>
    <s v="Divorced"/>
    <s v="High School"/>
    <s v="High"/>
    <s v="Revolucion Verde"/>
    <x v="16"/>
    <n v="289.08"/>
    <n v="12"/>
    <x v="2"/>
    <n v="2"/>
    <n v="1"/>
    <n v="0"/>
    <s v="None"/>
    <s v="Very Sensitive"/>
    <n v="1"/>
    <n v="10"/>
    <s v="Medium"/>
    <x v="2"/>
    <x v="3"/>
    <d v="2024-08-14T00:00:00"/>
    <n v="615"/>
    <b v="1"/>
    <b v="1"/>
    <x v="1"/>
    <s v="Standard"/>
    <n v="7"/>
  </r>
  <r>
    <s v="29-341-6463"/>
    <x v="9"/>
    <x v="0"/>
    <x v="0"/>
    <s v="Single"/>
    <s v="High School"/>
    <s v="High"/>
    <s v="Newton"/>
    <x v="22"/>
    <n v="74.09"/>
    <n v="10"/>
    <x v="0"/>
    <n v="1"/>
    <n v="4"/>
    <n v="2"/>
    <s v="None"/>
    <s v="Somewhat Sensitive"/>
    <n v="2"/>
    <n v="9"/>
    <s v="Low"/>
    <x v="0"/>
    <x v="3"/>
    <d v="2024-05-15T00:00:00"/>
    <n v="706"/>
    <b v="1"/>
    <b v="1"/>
    <x v="2"/>
    <s v="Standard"/>
    <n v="8"/>
  </r>
  <r>
    <s v="64-906-4475"/>
    <x v="20"/>
    <x v="1"/>
    <x v="1"/>
    <s v="Married"/>
    <s v="High School"/>
    <s v="Middle"/>
    <s v="Nantang"/>
    <x v="22"/>
    <n v="201.53"/>
    <n v="5"/>
    <x v="2"/>
    <n v="2"/>
    <n v="3"/>
    <n v="1"/>
    <s v="None"/>
    <s v="Not Sensitive"/>
    <n v="1"/>
    <n v="6"/>
    <s v="High"/>
    <x v="0"/>
    <x v="3"/>
    <d v="2024-06-01T00:00:00"/>
    <n v="689"/>
    <b v="0"/>
    <b v="1"/>
    <x v="1"/>
    <s v="No Preference"/>
    <n v="11"/>
  </r>
  <r>
    <s v="36-340-8494"/>
    <x v="9"/>
    <x v="1"/>
    <x v="0"/>
    <s v="Divorced"/>
    <s v="Bachelor's"/>
    <s v="High"/>
    <s v="Perugia"/>
    <x v="17"/>
    <n v="244.6"/>
    <n v="12"/>
    <x v="2"/>
    <n v="4"/>
    <n v="4"/>
    <n v="2"/>
    <s v="Medium"/>
    <s v="Somewhat Sensitive"/>
    <n v="0"/>
    <n v="6"/>
    <s v="None"/>
    <x v="0"/>
    <x v="3"/>
    <d v="2024-08-25T00:00:00"/>
    <n v="604"/>
    <b v="0"/>
    <b v="0"/>
    <x v="1"/>
    <s v="Standard"/>
    <n v="3"/>
  </r>
  <r>
    <s v="77-031-4898"/>
    <x v="6"/>
    <x v="1"/>
    <x v="0"/>
    <s v="Widowed"/>
    <s v="Bachelor's"/>
    <s v="High"/>
    <s v="Tancheng"/>
    <x v="14"/>
    <n v="320.5"/>
    <n v="10"/>
    <x v="1"/>
    <n v="3"/>
    <n v="4"/>
    <n v="2"/>
    <s v="Low"/>
    <s v="Somewhat Sensitive"/>
    <n v="0"/>
    <n v="9"/>
    <s v="Low"/>
    <x v="0"/>
    <x v="4"/>
    <d v="2024-03-01T00:00:00"/>
    <n v="781"/>
    <b v="1"/>
    <b v="0"/>
    <x v="0"/>
    <s v="Express"/>
    <n v="9"/>
  </r>
  <r>
    <s v="86-097-9642"/>
    <x v="23"/>
    <x v="1"/>
    <x v="0"/>
    <s v="Widowed"/>
    <s v="Master's"/>
    <s v="Middle"/>
    <s v="Leon Postigo"/>
    <x v="23"/>
    <n v="91.63"/>
    <n v="3"/>
    <x v="1"/>
    <n v="5"/>
    <n v="2"/>
    <n v="2"/>
    <s v="None"/>
    <s v="Not Sensitive"/>
    <n v="0"/>
    <n v="10"/>
    <s v="None"/>
    <x v="0"/>
    <x v="2"/>
    <d v="2024-06-30T00:00:00"/>
    <n v="660"/>
    <b v="1"/>
    <b v="1"/>
    <x v="1"/>
    <s v="Standard"/>
    <n v="2"/>
  </r>
  <r>
    <s v="64-090-3433"/>
    <x v="22"/>
    <x v="1"/>
    <x v="0"/>
    <s v="Married"/>
    <s v="Master's"/>
    <s v="High"/>
    <s v="BollÃ¨ne"/>
    <x v="6"/>
    <n v="251.93"/>
    <n v="8"/>
    <x v="1"/>
    <n v="3"/>
    <n v="2"/>
    <n v="1"/>
    <s v="High"/>
    <s v="Very Sensitive"/>
    <n v="2"/>
    <n v="3"/>
    <s v="None"/>
    <x v="0"/>
    <x v="2"/>
    <d v="2024-01-02T00:00:00"/>
    <n v="840"/>
    <b v="0"/>
    <b v="0"/>
    <x v="0"/>
    <s v="Standard"/>
    <n v="7"/>
  </r>
  <r>
    <s v="96-140-1936"/>
    <x v="12"/>
    <x v="1"/>
    <x v="0"/>
    <s v="Married"/>
    <s v="Bachelor's"/>
    <s v="Middle"/>
    <s v="Baihe"/>
    <x v="8"/>
    <n v="477.35"/>
    <n v="4"/>
    <x v="2"/>
    <n v="2"/>
    <n v="5"/>
    <n v="0"/>
    <s v="High"/>
    <s v="Very Sensitive"/>
    <n v="1"/>
    <n v="2"/>
    <s v="Low"/>
    <x v="2"/>
    <x v="1"/>
    <d v="2024-12-28T00:00:00"/>
    <n v="479"/>
    <b v="0"/>
    <b v="0"/>
    <x v="0"/>
    <s v="No Preference"/>
    <n v="14"/>
  </r>
  <r>
    <s v="38-830-6976"/>
    <x v="16"/>
    <x v="1"/>
    <x v="1"/>
    <s v="Widowed"/>
    <s v="Master's"/>
    <s v="Middle"/>
    <s v="Puqi"/>
    <x v="15"/>
    <n v="86.63"/>
    <n v="10"/>
    <x v="0"/>
    <n v="3"/>
    <n v="1"/>
    <n v="2"/>
    <s v="Medium"/>
    <s v="Somewhat Sensitive"/>
    <n v="2"/>
    <n v="2"/>
    <s v="Low"/>
    <x v="0"/>
    <x v="4"/>
    <d v="2024-09-02T00:00:00"/>
    <n v="596"/>
    <b v="1"/>
    <b v="0"/>
    <x v="1"/>
    <s v="Express"/>
    <n v="3"/>
  </r>
  <r>
    <s v="82-864-1154"/>
    <x v="17"/>
    <x v="2"/>
    <x v="1"/>
    <s v="Divorced"/>
    <s v="High School"/>
    <s v="High"/>
    <s v="Pedraza"/>
    <x v="10"/>
    <n v="474.42"/>
    <n v="4"/>
    <x v="1"/>
    <n v="2"/>
    <n v="3"/>
    <n v="0"/>
    <s v="Medium"/>
    <s v="Not Sensitive"/>
    <n v="1"/>
    <n v="9"/>
    <s v="None"/>
    <x v="2"/>
    <x v="2"/>
    <d v="2024-09-21T00:00:00"/>
    <n v="577"/>
    <b v="1"/>
    <b v="0"/>
    <x v="0"/>
    <s v="No Preference"/>
    <n v="5"/>
  </r>
  <r>
    <s v="79-711-6779"/>
    <x v="10"/>
    <x v="0"/>
    <x v="1"/>
    <s v="Widowed"/>
    <s v="High School"/>
    <s v="High"/>
    <s v="Hoolt"/>
    <x v="0"/>
    <n v="429.24"/>
    <n v="7"/>
    <x v="0"/>
    <n v="3"/>
    <n v="5"/>
    <n v="1"/>
    <s v="High"/>
    <s v="Not Sensitive"/>
    <n v="0"/>
    <n v="1"/>
    <s v="Low"/>
    <x v="0"/>
    <x v="2"/>
    <d v="2024-03-27T00:00:00"/>
    <n v="755"/>
    <b v="0"/>
    <b v="0"/>
    <x v="0"/>
    <s v="No Preference"/>
    <n v="10"/>
  </r>
  <r>
    <s v="22-860-9860"/>
    <x v="2"/>
    <x v="0"/>
    <x v="1"/>
    <s v="Married"/>
    <s v="High School"/>
    <s v="High"/>
    <s v="Pasinan Barat"/>
    <x v="3"/>
    <n v="470.38"/>
    <n v="8"/>
    <x v="0"/>
    <n v="2"/>
    <n v="4"/>
    <n v="0"/>
    <s v="Medium"/>
    <s v="Not Sensitive"/>
    <n v="2"/>
    <n v="3"/>
    <s v="High"/>
    <x v="1"/>
    <x v="3"/>
    <d v="2024-11-11T00:00:00"/>
    <n v="526"/>
    <b v="1"/>
    <b v="1"/>
    <x v="2"/>
    <s v="Standard"/>
    <n v="9"/>
  </r>
  <r>
    <s v="72-590-6161"/>
    <x v="11"/>
    <x v="0"/>
    <x v="0"/>
    <s v="Single"/>
    <s v="Master's"/>
    <s v="High"/>
    <s v="Saltpond"/>
    <x v="0"/>
    <n v="495.8"/>
    <n v="4"/>
    <x v="0"/>
    <n v="1"/>
    <n v="2"/>
    <n v="1"/>
    <s v="Low"/>
    <s v="Not Sensitive"/>
    <n v="0"/>
    <n v="7"/>
    <s v="None"/>
    <x v="0"/>
    <x v="1"/>
    <d v="2024-09-16T00:00:00"/>
    <n v="582"/>
    <b v="1"/>
    <b v="1"/>
    <x v="1"/>
    <s v="Standard"/>
    <n v="10"/>
  </r>
  <r>
    <s v="76-213-5806"/>
    <x v="6"/>
    <x v="0"/>
    <x v="1"/>
    <s v="Widowed"/>
    <s v="Bachelor's"/>
    <s v="Middle"/>
    <s v="Rende"/>
    <x v="13"/>
    <n v="129.63999999999999"/>
    <n v="4"/>
    <x v="1"/>
    <n v="3"/>
    <n v="1"/>
    <n v="2"/>
    <s v="None"/>
    <s v="Not Sensitive"/>
    <n v="1"/>
    <n v="3"/>
    <s v="Low"/>
    <x v="2"/>
    <x v="2"/>
    <d v="2024-05-27T00:00:00"/>
    <n v="694"/>
    <b v="0"/>
    <b v="1"/>
    <x v="0"/>
    <s v="Express"/>
    <n v="3"/>
  </r>
  <r>
    <s v="66-894-5431"/>
    <x v="30"/>
    <x v="1"/>
    <x v="0"/>
    <s v="Single"/>
    <s v="Master's"/>
    <s v="High"/>
    <s v="Zarasai"/>
    <x v="7"/>
    <n v="473.77"/>
    <n v="9"/>
    <x v="2"/>
    <n v="3"/>
    <n v="1"/>
    <n v="2"/>
    <s v="Medium"/>
    <s v="Very Sensitive"/>
    <n v="2"/>
    <n v="9"/>
    <s v="None"/>
    <x v="2"/>
    <x v="1"/>
    <d v="2024-05-02T00:00:00"/>
    <n v="719"/>
    <b v="0"/>
    <b v="0"/>
    <x v="1"/>
    <s v="No Preference"/>
    <n v="13"/>
  </r>
  <r>
    <s v="20-939-3906"/>
    <x v="13"/>
    <x v="0"/>
    <x v="1"/>
    <s v="Married"/>
    <s v="High School"/>
    <s v="Middle"/>
    <s v="Nanchangshan"/>
    <x v="13"/>
    <n v="130.84"/>
    <n v="4"/>
    <x v="2"/>
    <n v="5"/>
    <n v="5"/>
    <n v="2"/>
    <s v="Medium"/>
    <s v="Very Sensitive"/>
    <n v="2"/>
    <n v="10"/>
    <s v="Low"/>
    <x v="0"/>
    <x v="1"/>
    <d v="2024-09-13T00:00:00"/>
    <n v="585"/>
    <b v="1"/>
    <b v="1"/>
    <x v="0"/>
    <s v="Standard"/>
    <n v="13"/>
  </r>
  <r>
    <s v="86-390-9555"/>
    <x v="18"/>
    <x v="1"/>
    <x v="0"/>
    <s v="Single"/>
    <s v="Master's"/>
    <s v="High"/>
    <s v="PegÃµes"/>
    <x v="19"/>
    <n v="436.54"/>
    <n v="12"/>
    <x v="2"/>
    <n v="3"/>
    <n v="3"/>
    <n v="0"/>
    <s v="Medium"/>
    <s v="Very Sensitive"/>
    <n v="1"/>
    <n v="8"/>
    <s v="Low"/>
    <x v="1"/>
    <x v="2"/>
    <d v="2024-05-30T00:00:00"/>
    <n v="691"/>
    <b v="1"/>
    <b v="0"/>
    <x v="1"/>
    <s v="No Preference"/>
    <n v="9"/>
  </r>
  <r>
    <s v="91-602-0761"/>
    <x v="8"/>
    <x v="0"/>
    <x v="0"/>
    <s v="Widowed"/>
    <s v="Bachelor's"/>
    <s v="Middle"/>
    <s v="EspÃ­rito Santo do Pinhal"/>
    <x v="9"/>
    <n v="264.01"/>
    <n v="4"/>
    <x v="1"/>
    <n v="3"/>
    <n v="4"/>
    <n v="0"/>
    <s v="High"/>
    <s v="Somewhat Sensitive"/>
    <n v="1"/>
    <n v="5"/>
    <s v="None"/>
    <x v="2"/>
    <x v="3"/>
    <d v="2024-10-21T00:00:00"/>
    <n v="547"/>
    <b v="1"/>
    <b v="0"/>
    <x v="0"/>
    <s v="No Preference"/>
    <n v="2"/>
  </r>
  <r>
    <s v="62-974-7965"/>
    <x v="12"/>
    <x v="0"/>
    <x v="1"/>
    <s v="Divorced"/>
    <s v="Bachelor's"/>
    <s v="High"/>
    <s v="Ãšjezd"/>
    <x v="22"/>
    <n v="58.27"/>
    <n v="2"/>
    <x v="1"/>
    <n v="5"/>
    <n v="4"/>
    <n v="1"/>
    <s v="Medium"/>
    <s v="Somewhat Sensitive"/>
    <n v="1"/>
    <n v="4"/>
    <s v="Medium"/>
    <x v="1"/>
    <x v="4"/>
    <d v="2024-10-15T00:00:00"/>
    <n v="553"/>
    <b v="0"/>
    <b v="1"/>
    <x v="0"/>
    <s v="No Preference"/>
    <n v="13"/>
  </r>
  <r>
    <s v="21-232-1397"/>
    <x v="8"/>
    <x v="1"/>
    <x v="0"/>
    <s v="Single"/>
    <s v="Master's"/>
    <s v="High"/>
    <s v="Bhadrapur"/>
    <x v="6"/>
    <n v="190.76"/>
    <n v="10"/>
    <x v="1"/>
    <n v="5"/>
    <n v="5"/>
    <n v="2"/>
    <s v="None"/>
    <s v="Not Sensitive"/>
    <n v="1"/>
    <n v="3"/>
    <s v="High"/>
    <x v="2"/>
    <x v="3"/>
    <d v="2024-11-07T00:00:00"/>
    <n v="530"/>
    <b v="0"/>
    <b v="0"/>
    <x v="3"/>
    <s v="Express"/>
    <n v="11"/>
  </r>
  <r>
    <s v="31-364-4144"/>
    <x v="13"/>
    <x v="0"/>
    <x v="1"/>
    <s v="Widowed"/>
    <s v="Master's"/>
    <s v="High"/>
    <s v="Kostrovo"/>
    <x v="9"/>
    <n v="105.76"/>
    <n v="8"/>
    <x v="2"/>
    <n v="4"/>
    <n v="4"/>
    <n v="2"/>
    <s v="None"/>
    <s v="Very Sensitive"/>
    <n v="1"/>
    <n v="8"/>
    <s v="Medium"/>
    <x v="0"/>
    <x v="0"/>
    <d v="2024-01-18T00:00:00"/>
    <n v="824"/>
    <b v="0"/>
    <b v="0"/>
    <x v="3"/>
    <s v="Express"/>
    <n v="4"/>
  </r>
  <r>
    <s v="99-945-7193"/>
    <x v="2"/>
    <x v="0"/>
    <x v="0"/>
    <s v="Single"/>
    <s v="Master's"/>
    <s v="High"/>
    <s v="Lemery"/>
    <x v="11"/>
    <n v="254.29"/>
    <n v="9"/>
    <x v="0"/>
    <n v="5"/>
    <n v="4"/>
    <n v="0"/>
    <s v="Medium"/>
    <s v="Somewhat Sensitive"/>
    <n v="1"/>
    <n v="7"/>
    <s v="Low"/>
    <x v="1"/>
    <x v="4"/>
    <d v="2024-04-30T00:00:00"/>
    <n v="721"/>
    <b v="0"/>
    <b v="0"/>
    <x v="2"/>
    <s v="Express"/>
    <n v="3"/>
  </r>
  <r>
    <s v="91-053-3261"/>
    <x v="1"/>
    <x v="1"/>
    <x v="0"/>
    <s v="Divorced"/>
    <s v="Bachelor's"/>
    <s v="High"/>
    <s v="Youcheng"/>
    <x v="6"/>
    <n v="435.52"/>
    <n v="9"/>
    <x v="2"/>
    <n v="5"/>
    <n v="3"/>
    <n v="2"/>
    <s v="High"/>
    <s v="Not Sensitive"/>
    <n v="1"/>
    <n v="2"/>
    <s v="Medium"/>
    <x v="2"/>
    <x v="2"/>
    <d v="2024-11-12T00:00:00"/>
    <n v="525"/>
    <b v="1"/>
    <b v="0"/>
    <x v="2"/>
    <s v="No Preference"/>
    <n v="11"/>
  </r>
  <r>
    <s v="50-447-5171"/>
    <x v="17"/>
    <x v="0"/>
    <x v="1"/>
    <s v="Married"/>
    <s v="Master's"/>
    <s v="Middle"/>
    <s v="Napoli"/>
    <x v="2"/>
    <n v="235.49"/>
    <n v="5"/>
    <x v="1"/>
    <n v="4"/>
    <n v="3"/>
    <n v="1"/>
    <s v="High"/>
    <s v="Somewhat Sensitive"/>
    <n v="1"/>
    <n v="6"/>
    <s v="None"/>
    <x v="1"/>
    <x v="4"/>
    <d v="2024-05-13T00:00:00"/>
    <n v="708"/>
    <b v="1"/>
    <b v="0"/>
    <x v="2"/>
    <s v="Express"/>
    <n v="5"/>
  </r>
  <r>
    <s v="89-754-7244"/>
    <x v="5"/>
    <x v="1"/>
    <x v="1"/>
    <s v="Widowed"/>
    <s v="Master's"/>
    <s v="Middle"/>
    <s v="El CaÃ±o"/>
    <x v="7"/>
    <n v="161.34"/>
    <n v="3"/>
    <x v="0"/>
    <n v="2"/>
    <n v="3"/>
    <n v="2"/>
    <s v="High"/>
    <s v="Very Sensitive"/>
    <n v="1"/>
    <n v="8"/>
    <s v="Medium"/>
    <x v="0"/>
    <x v="0"/>
    <d v="2024-09-28T00:00:00"/>
    <n v="570"/>
    <b v="1"/>
    <b v="0"/>
    <x v="2"/>
    <s v="No Preference"/>
    <n v="4"/>
  </r>
  <r>
    <s v="56-072-7011"/>
    <x v="24"/>
    <x v="1"/>
    <x v="1"/>
    <s v="Single"/>
    <s v="Master's"/>
    <s v="High"/>
    <s v="Heemstede"/>
    <x v="7"/>
    <n v="167.67"/>
    <n v="11"/>
    <x v="1"/>
    <n v="5"/>
    <n v="2"/>
    <n v="1"/>
    <s v="High"/>
    <s v="Very Sensitive"/>
    <n v="0"/>
    <n v="6"/>
    <s v="Medium"/>
    <x v="1"/>
    <x v="0"/>
    <d v="2024-03-18T00:00:00"/>
    <n v="764"/>
    <b v="0"/>
    <b v="1"/>
    <x v="0"/>
    <s v="Express"/>
    <n v="5"/>
  </r>
  <r>
    <s v="74-281-3421"/>
    <x v="17"/>
    <x v="0"/>
    <x v="0"/>
    <s v="Widowed"/>
    <s v="High School"/>
    <s v="High"/>
    <s v="Panyam"/>
    <x v="1"/>
    <n v="96.68"/>
    <n v="10"/>
    <x v="0"/>
    <n v="5"/>
    <n v="2"/>
    <n v="2"/>
    <s v="High"/>
    <s v="Somewhat Sensitive"/>
    <n v="2"/>
    <n v="3"/>
    <s v="None"/>
    <x v="1"/>
    <x v="0"/>
    <d v="2024-04-13T00:00:00"/>
    <n v="738"/>
    <b v="1"/>
    <b v="0"/>
    <x v="3"/>
    <s v="No Preference"/>
    <n v="10"/>
  </r>
  <r>
    <s v="86-068-2133"/>
    <x v="11"/>
    <x v="1"/>
    <x v="1"/>
    <s v="Married"/>
    <s v="Master's"/>
    <s v="High"/>
    <s v="Faraulep"/>
    <x v="0"/>
    <n v="234.58"/>
    <n v="3"/>
    <x v="0"/>
    <n v="5"/>
    <n v="5"/>
    <n v="2"/>
    <s v="Low"/>
    <s v="Very Sensitive"/>
    <n v="2"/>
    <n v="6"/>
    <s v="None"/>
    <x v="2"/>
    <x v="1"/>
    <d v="2024-04-23T00:00:00"/>
    <n v="728"/>
    <b v="1"/>
    <b v="0"/>
    <x v="2"/>
    <s v="Standard"/>
    <n v="1"/>
  </r>
  <r>
    <s v="03-102-0288"/>
    <x v="6"/>
    <x v="1"/>
    <x v="0"/>
    <s v="Married"/>
    <s v="Master's"/>
    <s v="Middle"/>
    <s v="San Isidro"/>
    <x v="4"/>
    <n v="156.47999999999999"/>
    <n v="7"/>
    <x v="1"/>
    <n v="5"/>
    <n v="1"/>
    <n v="0"/>
    <s v="Low"/>
    <s v="Not Sensitive"/>
    <n v="2"/>
    <n v="5"/>
    <s v="Medium"/>
    <x v="2"/>
    <x v="3"/>
    <d v="2024-03-13T00:00:00"/>
    <n v="769"/>
    <b v="0"/>
    <b v="1"/>
    <x v="1"/>
    <s v="No Preference"/>
    <n v="4"/>
  </r>
  <r>
    <s v="74-033-1145"/>
    <x v="23"/>
    <x v="5"/>
    <x v="1"/>
    <s v="Widowed"/>
    <s v="Bachelor's"/>
    <s v="Middle"/>
    <s v="Mranggen"/>
    <x v="23"/>
    <n v="489.66"/>
    <n v="11"/>
    <x v="0"/>
    <n v="5"/>
    <n v="1"/>
    <n v="0"/>
    <s v="High"/>
    <s v="Not Sensitive"/>
    <n v="2"/>
    <n v="6"/>
    <s v="None"/>
    <x v="0"/>
    <x v="3"/>
    <d v="2024-01-18T00:00:00"/>
    <n v="824"/>
    <b v="1"/>
    <b v="0"/>
    <x v="1"/>
    <s v="Standard"/>
    <n v="3"/>
  </r>
  <r>
    <s v="24-272-6205"/>
    <x v="7"/>
    <x v="6"/>
    <x v="1"/>
    <s v="Divorced"/>
    <s v="Master's"/>
    <s v="High"/>
    <s v="Cigadog"/>
    <x v="12"/>
    <n v="161.85"/>
    <n v="9"/>
    <x v="1"/>
    <n v="5"/>
    <n v="3"/>
    <n v="0"/>
    <s v="High"/>
    <s v="Very Sensitive"/>
    <n v="0"/>
    <n v="4"/>
    <s v="Medium"/>
    <x v="1"/>
    <x v="3"/>
    <d v="2024-04-25T00:00:00"/>
    <n v="726"/>
    <b v="1"/>
    <b v="0"/>
    <x v="0"/>
    <s v="No Preference"/>
    <n v="10"/>
  </r>
  <r>
    <s v="90-170-1951"/>
    <x v="10"/>
    <x v="1"/>
    <x v="0"/>
    <s v="Widowed"/>
    <s v="Master's"/>
    <s v="High"/>
    <s v="Caitang"/>
    <x v="13"/>
    <n v="204.47"/>
    <n v="7"/>
    <x v="2"/>
    <n v="2"/>
    <n v="1"/>
    <n v="1"/>
    <s v="None"/>
    <s v="Very Sensitive"/>
    <n v="2"/>
    <n v="9"/>
    <s v="None"/>
    <x v="1"/>
    <x v="0"/>
    <d v="2024-08-15T00:00:00"/>
    <n v="614"/>
    <b v="1"/>
    <b v="1"/>
    <x v="1"/>
    <s v="No Preference"/>
    <n v="3"/>
  </r>
  <r>
    <s v="73-259-8940"/>
    <x v="10"/>
    <x v="0"/>
    <x v="0"/>
    <s v="Widowed"/>
    <s v="Bachelor's"/>
    <s v="Middle"/>
    <s v="Masoyila"/>
    <x v="11"/>
    <n v="315.02999999999997"/>
    <n v="4"/>
    <x v="2"/>
    <n v="1"/>
    <n v="5"/>
    <n v="0"/>
    <s v="High"/>
    <s v="Very Sensitive"/>
    <n v="1"/>
    <n v="6"/>
    <s v="Low"/>
    <x v="0"/>
    <x v="1"/>
    <d v="2024-11-10T00:00:00"/>
    <n v="527"/>
    <b v="1"/>
    <b v="0"/>
    <x v="3"/>
    <s v="Express"/>
    <n v="2"/>
  </r>
  <r>
    <s v="77-796-5786"/>
    <x v="21"/>
    <x v="1"/>
    <x v="0"/>
    <s v="Single"/>
    <s v="Master's"/>
    <s v="High"/>
    <s v="Beiyuan"/>
    <x v="4"/>
    <n v="330.36"/>
    <n v="12"/>
    <x v="1"/>
    <n v="5"/>
    <n v="5"/>
    <n v="1"/>
    <s v="Low"/>
    <s v="Very Sensitive"/>
    <n v="1"/>
    <n v="4"/>
    <s v="Low"/>
    <x v="0"/>
    <x v="3"/>
    <d v="2024-06-29T00:00:00"/>
    <n v="661"/>
    <b v="1"/>
    <b v="1"/>
    <x v="0"/>
    <s v="No Preference"/>
    <n v="3"/>
  </r>
  <r>
    <s v="23-949-1954"/>
    <x v="21"/>
    <x v="1"/>
    <x v="0"/>
    <s v="Single"/>
    <s v="Bachelor's"/>
    <s v="Middle"/>
    <s v="Kariya"/>
    <x v="16"/>
    <n v="456.83"/>
    <n v="5"/>
    <x v="2"/>
    <n v="2"/>
    <n v="5"/>
    <n v="0"/>
    <s v="None"/>
    <s v="Not Sensitive"/>
    <n v="0"/>
    <n v="9"/>
    <s v="High"/>
    <x v="0"/>
    <x v="0"/>
    <d v="2024-06-20T00:00:00"/>
    <n v="670"/>
    <b v="0"/>
    <b v="0"/>
    <x v="0"/>
    <s v="No Preference"/>
    <n v="13"/>
  </r>
  <r>
    <s v="51-313-7293"/>
    <x v="16"/>
    <x v="1"/>
    <x v="1"/>
    <s v="Widowed"/>
    <s v="Bachelor's"/>
    <s v="High"/>
    <s v="Malakhovka"/>
    <x v="23"/>
    <n v="236.05"/>
    <n v="6"/>
    <x v="1"/>
    <n v="2"/>
    <n v="3"/>
    <n v="0"/>
    <s v="None"/>
    <s v="Very Sensitive"/>
    <n v="1"/>
    <n v="4"/>
    <s v="High"/>
    <x v="2"/>
    <x v="3"/>
    <d v="2024-11-16T00:00:00"/>
    <n v="521"/>
    <b v="0"/>
    <b v="1"/>
    <x v="0"/>
    <s v="No Preference"/>
    <n v="13"/>
  </r>
  <r>
    <s v="62-797-9254"/>
    <x v="22"/>
    <x v="0"/>
    <x v="1"/>
    <s v="Widowed"/>
    <s v="High School"/>
    <s v="High"/>
    <s v="At-Bashi"/>
    <x v="3"/>
    <n v="289.27999999999997"/>
    <n v="9"/>
    <x v="2"/>
    <n v="3"/>
    <n v="5"/>
    <n v="1"/>
    <s v="High"/>
    <s v="Somewhat Sensitive"/>
    <n v="2"/>
    <n v="7"/>
    <s v="Medium"/>
    <x v="0"/>
    <x v="1"/>
    <d v="2024-06-29T00:00:00"/>
    <n v="661"/>
    <b v="0"/>
    <b v="1"/>
    <x v="1"/>
    <s v="Express"/>
    <n v="13"/>
  </r>
  <r>
    <s v="27-941-4995"/>
    <x v="23"/>
    <x v="0"/>
    <x v="1"/>
    <s v="Married"/>
    <s v="High School"/>
    <s v="Middle"/>
    <s v="Sankeyushu"/>
    <x v="12"/>
    <n v="483.77"/>
    <n v="5"/>
    <x v="1"/>
    <n v="1"/>
    <n v="2"/>
    <n v="0"/>
    <s v="None"/>
    <s v="Very Sensitive"/>
    <n v="0"/>
    <n v="5"/>
    <s v="None"/>
    <x v="2"/>
    <x v="0"/>
    <d v="2024-07-20T00:00:00"/>
    <n v="640"/>
    <b v="0"/>
    <b v="0"/>
    <x v="1"/>
    <s v="No Preference"/>
    <n v="10"/>
  </r>
  <r>
    <s v="01-799-2615"/>
    <x v="5"/>
    <x v="1"/>
    <x v="0"/>
    <s v="Married"/>
    <s v="High School"/>
    <s v="Middle"/>
    <s v="Limoges"/>
    <x v="4"/>
    <n v="64.5"/>
    <n v="7"/>
    <x v="1"/>
    <n v="3"/>
    <n v="4"/>
    <n v="1"/>
    <s v="High"/>
    <s v="Somewhat Sensitive"/>
    <n v="1"/>
    <n v="7"/>
    <s v="High"/>
    <x v="2"/>
    <x v="0"/>
    <d v="2024-07-28T00:00:00"/>
    <n v="632"/>
    <b v="1"/>
    <b v="0"/>
    <x v="1"/>
    <s v="No Preference"/>
    <n v="13"/>
  </r>
  <r>
    <s v="82-133-0444"/>
    <x v="20"/>
    <x v="1"/>
    <x v="1"/>
    <s v="Married"/>
    <s v="Bachelor's"/>
    <s v="Middle"/>
    <s v="HÃ¤gersten"/>
    <x v="19"/>
    <n v="436.57"/>
    <n v="4"/>
    <x v="0"/>
    <n v="5"/>
    <n v="3"/>
    <n v="1"/>
    <s v="High"/>
    <s v="Not Sensitive"/>
    <n v="2"/>
    <n v="10"/>
    <s v="Low"/>
    <x v="2"/>
    <x v="2"/>
    <d v="2024-02-02T00:00:00"/>
    <n v="809"/>
    <b v="0"/>
    <b v="0"/>
    <x v="1"/>
    <s v="Standard"/>
    <n v="3"/>
  </r>
  <r>
    <s v="43-920-9499"/>
    <x v="22"/>
    <x v="2"/>
    <x v="0"/>
    <s v="Widowed"/>
    <s v="High School"/>
    <s v="Middle"/>
    <s v="Tarata"/>
    <x v="1"/>
    <n v="364.48"/>
    <n v="2"/>
    <x v="0"/>
    <n v="3"/>
    <n v="3"/>
    <n v="0.2"/>
    <s v="None"/>
    <s v="Very Sensitive"/>
    <n v="2"/>
    <n v="5"/>
    <s v="None"/>
    <x v="1"/>
    <x v="3"/>
    <d v="2024-09-26T00:00:00"/>
    <n v="572"/>
    <b v="0"/>
    <b v="0"/>
    <x v="3"/>
    <s v="No Preference"/>
    <n v="13"/>
  </r>
  <r>
    <s v="17-551-9779"/>
    <x v="4"/>
    <x v="0"/>
    <x v="0"/>
    <s v="Widowed"/>
    <s v="Master's"/>
    <s v="High"/>
    <s v="Marabahan"/>
    <x v="21"/>
    <n v="221.88"/>
    <n v="12"/>
    <x v="1"/>
    <n v="1"/>
    <n v="4"/>
    <n v="2"/>
    <s v="Low"/>
    <s v="Somewhat Sensitive"/>
    <n v="1"/>
    <n v="6"/>
    <s v="None"/>
    <x v="2"/>
    <x v="3"/>
    <d v="2024-04-04T00:00:00"/>
    <n v="747"/>
    <b v="1"/>
    <b v="0"/>
    <x v="0"/>
    <s v="Express"/>
    <n v="9"/>
  </r>
  <r>
    <s v="49-037-2300"/>
    <x v="16"/>
    <x v="0"/>
    <x v="0"/>
    <s v="Single"/>
    <s v="High School"/>
    <s v="Middle"/>
    <s v="EslÄmÄbÄd"/>
    <x v="20"/>
    <n v="278.20999999999998"/>
    <n v="3"/>
    <x v="0"/>
    <n v="5"/>
    <n v="1"/>
    <n v="2"/>
    <s v="Low"/>
    <s v="Somewhat Sensitive"/>
    <n v="0"/>
    <n v="7"/>
    <s v="Low"/>
    <x v="0"/>
    <x v="3"/>
    <d v="2024-10-22T00:00:00"/>
    <n v="546"/>
    <b v="1"/>
    <b v="0"/>
    <x v="0"/>
    <s v="No Preference"/>
    <n v="14"/>
  </r>
  <r>
    <s v="95-876-9757"/>
    <x v="16"/>
    <x v="0"/>
    <x v="1"/>
    <s v="Married"/>
    <s v="Master's"/>
    <s v="High"/>
    <s v="Emar"/>
    <x v="18"/>
    <n v="344.43"/>
    <n v="7"/>
    <x v="2"/>
    <n v="3"/>
    <n v="5"/>
    <n v="0"/>
    <s v="Medium"/>
    <s v="Not Sensitive"/>
    <n v="2"/>
    <n v="4"/>
    <s v="Medium"/>
    <x v="2"/>
    <x v="0"/>
    <d v="2024-07-12T00:00:00"/>
    <n v="648"/>
    <b v="1"/>
    <b v="0"/>
    <x v="2"/>
    <s v="Standard"/>
    <n v="5"/>
  </r>
  <r>
    <s v="47-947-4888"/>
    <x v="29"/>
    <x v="1"/>
    <x v="1"/>
    <s v="Single"/>
    <s v="Master's"/>
    <s v="High"/>
    <s v="Baisha"/>
    <x v="15"/>
    <n v="326.08"/>
    <n v="11"/>
    <x v="1"/>
    <n v="4"/>
    <n v="3"/>
    <n v="2"/>
    <s v="Medium"/>
    <s v="Not Sensitive"/>
    <n v="2"/>
    <n v="6"/>
    <s v="Medium"/>
    <x v="0"/>
    <x v="1"/>
    <d v="2024-06-30T00:00:00"/>
    <n v="660"/>
    <b v="1"/>
    <b v="1"/>
    <x v="2"/>
    <s v="Express"/>
    <n v="8"/>
  </r>
  <r>
    <s v="83-003-2165"/>
    <x v="1"/>
    <x v="1"/>
    <x v="1"/>
    <s v="Married"/>
    <s v="Bachelor's"/>
    <s v="Middle"/>
    <s v="Magdalena"/>
    <x v="0"/>
    <n v="437.97"/>
    <n v="8"/>
    <x v="2"/>
    <n v="4"/>
    <n v="2"/>
    <n v="0"/>
    <s v="High"/>
    <s v="Not Sensitive"/>
    <n v="0"/>
    <n v="7"/>
    <s v="Medium"/>
    <x v="0"/>
    <x v="2"/>
    <d v="2024-04-02T00:00:00"/>
    <n v="749"/>
    <b v="1"/>
    <b v="1"/>
    <x v="0"/>
    <s v="Express"/>
    <n v="12"/>
  </r>
  <r>
    <s v="27-619-9264"/>
    <x v="25"/>
    <x v="1"/>
    <x v="1"/>
    <s v="Single"/>
    <s v="Master's"/>
    <s v="High"/>
    <s v="GÃ¶teborg"/>
    <x v="12"/>
    <n v="391.87"/>
    <n v="3"/>
    <x v="2"/>
    <n v="1"/>
    <n v="4"/>
    <n v="2"/>
    <s v="High"/>
    <s v="Very Sensitive"/>
    <n v="0"/>
    <n v="2"/>
    <s v="Medium"/>
    <x v="2"/>
    <x v="4"/>
    <d v="2024-02-16T00:00:00"/>
    <n v="795"/>
    <b v="1"/>
    <b v="0"/>
    <x v="3"/>
    <s v="Standard"/>
    <n v="6"/>
  </r>
  <r>
    <s v="49-476-1729"/>
    <x v="21"/>
    <x v="1"/>
    <x v="1"/>
    <s v="Single"/>
    <s v="Master's"/>
    <s v="Middle"/>
    <s v="SkÃ³rzec"/>
    <x v="22"/>
    <n v="333.41"/>
    <n v="3"/>
    <x v="2"/>
    <n v="2"/>
    <n v="5"/>
    <n v="1"/>
    <s v="High"/>
    <s v="Very Sensitive"/>
    <n v="1"/>
    <n v="6"/>
    <s v="None"/>
    <x v="0"/>
    <x v="1"/>
    <d v="2024-01-31T00:00:00"/>
    <n v="811"/>
    <b v="0"/>
    <b v="0"/>
    <x v="3"/>
    <s v="Standard"/>
    <n v="3"/>
  </r>
  <r>
    <s v="64-803-7087"/>
    <x v="11"/>
    <x v="1"/>
    <x v="0"/>
    <s v="Single"/>
    <s v="Bachelor's"/>
    <s v="High"/>
    <s v="SÃ£o JoÃ£o dos Inhamuns"/>
    <x v="19"/>
    <n v="251.54"/>
    <n v="9"/>
    <x v="2"/>
    <n v="5"/>
    <n v="1"/>
    <n v="0"/>
    <s v="High"/>
    <s v="Not Sensitive"/>
    <n v="2"/>
    <n v="10"/>
    <s v="Low"/>
    <x v="2"/>
    <x v="1"/>
    <d v="2024-10-09T00:00:00"/>
    <n v="559"/>
    <b v="1"/>
    <b v="0"/>
    <x v="2"/>
    <s v="No Preference"/>
    <n v="1"/>
  </r>
  <r>
    <s v="01-925-4021"/>
    <x v="14"/>
    <x v="0"/>
    <x v="0"/>
    <s v="Single"/>
    <s v="High School"/>
    <s v="Middle"/>
    <s v="Tambaksari"/>
    <x v="13"/>
    <n v="292.08"/>
    <n v="7"/>
    <x v="1"/>
    <n v="3"/>
    <n v="2"/>
    <n v="1"/>
    <s v="High"/>
    <s v="Somewhat Sensitive"/>
    <n v="2"/>
    <n v="9"/>
    <s v="Low"/>
    <x v="1"/>
    <x v="0"/>
    <d v="2024-04-09T00:00:00"/>
    <n v="742"/>
    <b v="0"/>
    <b v="0"/>
    <x v="0"/>
    <s v="Standard"/>
    <n v="11"/>
  </r>
  <r>
    <s v="51-116-5937"/>
    <x v="8"/>
    <x v="5"/>
    <x v="1"/>
    <s v="Widowed"/>
    <s v="Bachelor's"/>
    <s v="Middle"/>
    <s v="Lazarat"/>
    <x v="22"/>
    <n v="204.29"/>
    <n v="11"/>
    <x v="1"/>
    <n v="5"/>
    <n v="4"/>
    <n v="0"/>
    <s v="None"/>
    <s v="Not Sensitive"/>
    <n v="2"/>
    <n v="1"/>
    <s v="Medium"/>
    <x v="1"/>
    <x v="1"/>
    <d v="2024-05-16T00:00:00"/>
    <n v="705"/>
    <b v="0"/>
    <b v="0"/>
    <x v="2"/>
    <s v="Express"/>
    <n v="12"/>
  </r>
  <r>
    <s v="72-454-2741"/>
    <x v="1"/>
    <x v="1"/>
    <x v="0"/>
    <s v="Single"/>
    <s v="High School"/>
    <s v="Middle"/>
    <s v="Belene"/>
    <x v="12"/>
    <n v="258.68"/>
    <n v="4"/>
    <x v="2"/>
    <n v="4"/>
    <n v="2"/>
    <n v="1"/>
    <s v="Low"/>
    <s v="Somewhat Sensitive"/>
    <n v="0"/>
    <n v="9"/>
    <s v="None"/>
    <x v="2"/>
    <x v="0"/>
    <d v="2024-10-22T00:00:00"/>
    <n v="546"/>
    <b v="0"/>
    <b v="0"/>
    <x v="2"/>
    <s v="No Preference"/>
    <n v="9"/>
  </r>
  <r>
    <s v="96-484-1000"/>
    <x v="29"/>
    <x v="1"/>
    <x v="0"/>
    <s v="Married"/>
    <s v="Bachelor's"/>
    <s v="High"/>
    <s v="Xiangshan"/>
    <x v="0"/>
    <n v="258.02"/>
    <n v="2"/>
    <x v="1"/>
    <n v="3"/>
    <n v="2"/>
    <n v="1"/>
    <s v="Low"/>
    <s v="Very Sensitive"/>
    <n v="2"/>
    <n v="4"/>
    <s v="High"/>
    <x v="2"/>
    <x v="1"/>
    <d v="2024-11-08T00:00:00"/>
    <n v="529"/>
    <b v="1"/>
    <b v="1"/>
    <x v="0"/>
    <s v="Express"/>
    <n v="13"/>
  </r>
  <r>
    <s v="07-834-3350"/>
    <x v="3"/>
    <x v="0"/>
    <x v="1"/>
    <s v="Single"/>
    <s v="Master's"/>
    <s v="Middle"/>
    <s v="San Luis"/>
    <x v="0"/>
    <n v="181.87"/>
    <n v="12"/>
    <x v="0"/>
    <n v="4"/>
    <n v="1"/>
    <n v="1"/>
    <s v="Medium"/>
    <s v="Not Sensitive"/>
    <n v="2"/>
    <n v="4"/>
    <s v="High"/>
    <x v="2"/>
    <x v="2"/>
    <d v="2024-09-01T00:00:00"/>
    <n v="597"/>
    <b v="0"/>
    <b v="1"/>
    <x v="1"/>
    <s v="No Preference"/>
    <n v="11"/>
  </r>
  <r>
    <s v="11-802-5604"/>
    <x v="29"/>
    <x v="1"/>
    <x v="1"/>
    <s v="Divorced"/>
    <s v="High School"/>
    <s v="Middle"/>
    <s v="Zengfu"/>
    <x v="19"/>
    <n v="81.180000000000007"/>
    <n v="8"/>
    <x v="2"/>
    <n v="4"/>
    <n v="5"/>
    <n v="1"/>
    <s v="Low"/>
    <s v="Not Sensitive"/>
    <n v="2"/>
    <n v="3"/>
    <s v="High"/>
    <x v="0"/>
    <x v="4"/>
    <d v="2024-05-17T00:00:00"/>
    <n v="704"/>
    <b v="0"/>
    <b v="0"/>
    <x v="2"/>
    <s v="Express"/>
    <n v="3"/>
  </r>
  <r>
    <s v="41-750-4105"/>
    <x v="25"/>
    <x v="0"/>
    <x v="1"/>
    <s v="Divorced"/>
    <s v="Master's"/>
    <s v="High"/>
    <s v="Tingsryd"/>
    <x v="5"/>
    <n v="382.94"/>
    <n v="8"/>
    <x v="1"/>
    <n v="1"/>
    <n v="3"/>
    <n v="0"/>
    <s v="Medium"/>
    <s v="Not Sensitive"/>
    <n v="0"/>
    <n v="6"/>
    <s v="None"/>
    <x v="2"/>
    <x v="2"/>
    <d v="2024-05-19T00:00:00"/>
    <n v="702"/>
    <b v="0"/>
    <b v="0"/>
    <x v="0"/>
    <s v="Standard"/>
    <n v="3"/>
  </r>
  <r>
    <s v="31-491-8457"/>
    <x v="26"/>
    <x v="0"/>
    <x v="1"/>
    <s v="Single"/>
    <s v="Bachelor's"/>
    <s v="High"/>
    <s v="Tipaz"/>
    <x v="21"/>
    <n v="402.82"/>
    <n v="7"/>
    <x v="2"/>
    <n v="4"/>
    <n v="5"/>
    <n v="0"/>
    <s v="None"/>
    <s v="Somewhat Sensitive"/>
    <n v="2"/>
    <n v="2"/>
    <s v="Low"/>
    <x v="1"/>
    <x v="2"/>
    <d v="2024-01-25T00:00:00"/>
    <n v="817"/>
    <b v="0"/>
    <b v="0"/>
    <x v="1"/>
    <s v="No Preference"/>
    <n v="13"/>
  </r>
  <r>
    <s v="86-257-9581"/>
    <x v="12"/>
    <x v="1"/>
    <x v="1"/>
    <s v="Single"/>
    <s v="Bachelor's"/>
    <s v="Middle"/>
    <s v="WÄdÄ« as SalqÄ"/>
    <x v="0"/>
    <n v="497.76"/>
    <n v="2"/>
    <x v="1"/>
    <n v="1"/>
    <n v="2"/>
    <n v="2"/>
    <s v="High"/>
    <s v="Very Sensitive"/>
    <n v="2"/>
    <n v="3"/>
    <s v="Medium"/>
    <x v="1"/>
    <x v="0"/>
    <d v="2024-03-08T00:00:00"/>
    <n v="774"/>
    <b v="1"/>
    <b v="1"/>
    <x v="1"/>
    <s v="No Preference"/>
    <n v="4"/>
  </r>
  <r>
    <s v="22-981-6595"/>
    <x v="29"/>
    <x v="0"/>
    <x v="1"/>
    <s v="Single"/>
    <s v="High School"/>
    <s v="High"/>
    <s v="Wasagu"/>
    <x v="4"/>
    <n v="227.58"/>
    <n v="5"/>
    <x v="2"/>
    <n v="4"/>
    <n v="2"/>
    <n v="1"/>
    <s v="High"/>
    <s v="Not Sensitive"/>
    <n v="0"/>
    <n v="1"/>
    <s v="Low"/>
    <x v="0"/>
    <x v="0"/>
    <d v="2024-07-13T00:00:00"/>
    <n v="647"/>
    <b v="1"/>
    <b v="0"/>
    <x v="0"/>
    <s v="No Preference"/>
    <n v="11"/>
  </r>
  <r>
    <s v="54-002-5845"/>
    <x v="22"/>
    <x v="0"/>
    <x v="1"/>
    <s v="Divorced"/>
    <s v="Bachelor's"/>
    <s v="High"/>
    <s v="Wangsi"/>
    <x v="13"/>
    <n v="263.57"/>
    <n v="2"/>
    <x v="0"/>
    <n v="2"/>
    <n v="3"/>
    <n v="0"/>
    <s v="High"/>
    <s v="Somewhat Sensitive"/>
    <n v="1"/>
    <n v="9"/>
    <s v="None"/>
    <x v="0"/>
    <x v="1"/>
    <d v="2024-11-21T00:00:00"/>
    <n v="516"/>
    <b v="1"/>
    <b v="1"/>
    <x v="2"/>
    <s v="Express"/>
    <n v="8"/>
  </r>
  <r>
    <s v="31-927-7787"/>
    <x v="13"/>
    <x v="1"/>
    <x v="1"/>
    <s v="Married"/>
    <s v="High School"/>
    <s v="High"/>
    <s v="Esmeralda"/>
    <x v="15"/>
    <n v="422.09"/>
    <n v="3"/>
    <x v="1"/>
    <n v="4"/>
    <n v="1"/>
    <n v="1"/>
    <s v="High"/>
    <s v="Not Sensitive"/>
    <n v="0"/>
    <n v="9"/>
    <s v="Medium"/>
    <x v="0"/>
    <x v="1"/>
    <d v="2024-03-31T00:00:00"/>
    <n v="751"/>
    <b v="1"/>
    <b v="0"/>
    <x v="0"/>
    <s v="Standard"/>
    <n v="7"/>
  </r>
  <r>
    <s v="46-098-9737"/>
    <x v="22"/>
    <x v="1"/>
    <x v="0"/>
    <s v="Married"/>
    <s v="Master's"/>
    <s v="High"/>
    <s v="Chivilcoy"/>
    <x v="0"/>
    <n v="411.83"/>
    <n v="2"/>
    <x v="1"/>
    <n v="2"/>
    <n v="3"/>
    <n v="2"/>
    <s v="High"/>
    <s v="Not Sensitive"/>
    <n v="1"/>
    <n v="3"/>
    <s v="Medium"/>
    <x v="0"/>
    <x v="1"/>
    <d v="2024-04-28T00:00:00"/>
    <n v="723"/>
    <b v="1"/>
    <b v="1"/>
    <x v="2"/>
    <s v="Standard"/>
    <n v="10"/>
  </r>
  <r>
    <s v="27-017-7173"/>
    <x v="6"/>
    <x v="1"/>
    <x v="0"/>
    <s v="Single"/>
    <s v="Master's"/>
    <s v="Middle"/>
    <s v="SÃ£o Miguel do Araguaia"/>
    <x v="14"/>
    <n v="242.65"/>
    <n v="3"/>
    <x v="0"/>
    <n v="5"/>
    <n v="3"/>
    <n v="0.2"/>
    <s v="None"/>
    <s v="Very Sensitive"/>
    <n v="2"/>
    <n v="8"/>
    <s v="None"/>
    <x v="0"/>
    <x v="4"/>
    <d v="2024-07-09T00:00:00"/>
    <n v="651"/>
    <b v="0"/>
    <b v="1"/>
    <x v="3"/>
    <s v="No Preference"/>
    <n v="9"/>
  </r>
  <r>
    <s v="53-102-9949"/>
    <x v="30"/>
    <x v="1"/>
    <x v="0"/>
    <s v="Widowed"/>
    <s v="Master's"/>
    <s v="Middle"/>
    <s v="Libei"/>
    <x v="6"/>
    <n v="298.93"/>
    <n v="6"/>
    <x v="0"/>
    <n v="5"/>
    <n v="2"/>
    <n v="0.2"/>
    <s v="None"/>
    <s v="Somewhat Sensitive"/>
    <n v="2"/>
    <n v="1"/>
    <s v="None"/>
    <x v="0"/>
    <x v="1"/>
    <d v="2024-09-22T00:00:00"/>
    <n v="576"/>
    <b v="1"/>
    <b v="1"/>
    <x v="3"/>
    <s v="Express"/>
    <n v="2"/>
  </r>
  <r>
    <s v="02-676-9312"/>
    <x v="32"/>
    <x v="0"/>
    <x v="1"/>
    <s v="Single"/>
    <s v="Bachelor's"/>
    <s v="High"/>
    <s v="Araci"/>
    <x v="7"/>
    <n v="191.21"/>
    <n v="7"/>
    <x v="0"/>
    <n v="5"/>
    <n v="4"/>
    <n v="1"/>
    <s v="Low"/>
    <s v="Very Sensitive"/>
    <n v="2"/>
    <n v="6"/>
    <s v="Low"/>
    <x v="1"/>
    <x v="2"/>
    <d v="2024-04-04T00:00:00"/>
    <n v="747"/>
    <b v="0"/>
    <b v="0"/>
    <x v="0"/>
    <s v="No Preference"/>
    <n v="13"/>
  </r>
  <r>
    <s v="28-969-7540"/>
    <x v="32"/>
    <x v="0"/>
    <x v="1"/>
    <s v="Married"/>
    <s v="Master's"/>
    <s v="Middle"/>
    <s v="KuÃ§ovÃ«"/>
    <x v="13"/>
    <n v="136.66999999999999"/>
    <n v="3"/>
    <x v="2"/>
    <n v="3"/>
    <n v="1"/>
    <n v="1"/>
    <s v="Low"/>
    <s v="Somewhat Sensitive"/>
    <n v="0"/>
    <n v="2"/>
    <s v="High"/>
    <x v="2"/>
    <x v="1"/>
    <d v="2024-06-20T00:00:00"/>
    <n v="670"/>
    <b v="0"/>
    <b v="1"/>
    <x v="2"/>
    <s v="Standard"/>
    <n v="1"/>
  </r>
  <r>
    <s v="30-083-9565"/>
    <x v="14"/>
    <x v="1"/>
    <x v="0"/>
    <s v="Widowed"/>
    <s v="Master's"/>
    <s v="High"/>
    <s v="Bokong Timur"/>
    <x v="6"/>
    <n v="324.11"/>
    <n v="11"/>
    <x v="2"/>
    <n v="3"/>
    <n v="3"/>
    <n v="2"/>
    <s v="None"/>
    <s v="Very Sensitive"/>
    <n v="0"/>
    <n v="2"/>
    <s v="Low"/>
    <x v="1"/>
    <x v="4"/>
    <d v="2024-03-22T00:00:00"/>
    <n v="760"/>
    <b v="0"/>
    <b v="0"/>
    <x v="2"/>
    <s v="No Preference"/>
    <n v="7"/>
  </r>
  <r>
    <s v="30-975-0306"/>
    <x v="13"/>
    <x v="0"/>
    <x v="1"/>
    <s v="Widowed"/>
    <s v="Bachelor's"/>
    <s v="High"/>
    <s v="Gaowu"/>
    <x v="9"/>
    <n v="105.64"/>
    <n v="6"/>
    <x v="2"/>
    <n v="1"/>
    <n v="3"/>
    <n v="0"/>
    <s v="Low"/>
    <s v="Very Sensitive"/>
    <n v="2"/>
    <n v="1"/>
    <s v="None"/>
    <x v="1"/>
    <x v="3"/>
    <d v="2024-04-06T00:00:00"/>
    <n v="745"/>
    <b v="1"/>
    <b v="1"/>
    <x v="3"/>
    <s v="No Preference"/>
    <n v="12"/>
  </r>
  <r>
    <s v="14-364-4904"/>
    <x v="20"/>
    <x v="1"/>
    <x v="1"/>
    <s v="Widowed"/>
    <s v="Master's"/>
    <s v="High"/>
    <s v="GuÃ©ret"/>
    <x v="13"/>
    <n v="295.60000000000002"/>
    <n v="10"/>
    <x v="2"/>
    <n v="1"/>
    <n v="2"/>
    <n v="1"/>
    <s v="High"/>
    <s v="Somewhat Sensitive"/>
    <n v="0"/>
    <n v="9"/>
    <s v="Low"/>
    <x v="2"/>
    <x v="0"/>
    <d v="2024-05-20T00:00:00"/>
    <n v="701"/>
    <b v="1"/>
    <b v="1"/>
    <x v="0"/>
    <s v="Standard"/>
    <n v="5"/>
  </r>
  <r>
    <s v="08-652-2085"/>
    <x v="18"/>
    <x v="1"/>
    <x v="0"/>
    <s v="Single"/>
    <s v="Master's"/>
    <s v="High"/>
    <s v="PostÅ™ekov"/>
    <x v="9"/>
    <n v="227.03"/>
    <n v="9"/>
    <x v="1"/>
    <n v="4"/>
    <n v="4"/>
    <n v="2"/>
    <s v="Low"/>
    <s v="Not Sensitive"/>
    <n v="2"/>
    <n v="7"/>
    <s v="High"/>
    <x v="0"/>
    <x v="3"/>
    <d v="2024-04-09T00:00:00"/>
    <n v="742"/>
    <b v="1"/>
    <b v="1"/>
    <x v="0"/>
    <s v="No Preference"/>
    <n v="4"/>
  </r>
  <r>
    <s v="67-037-2087"/>
    <x v="11"/>
    <x v="0"/>
    <x v="1"/>
    <s v="Divorced"/>
    <s v="Bachelor's"/>
    <s v="Middle"/>
    <s v="Gobojango"/>
    <x v="11"/>
    <n v="485.77"/>
    <n v="10"/>
    <x v="0"/>
    <n v="1"/>
    <n v="2"/>
    <n v="0"/>
    <s v="Low"/>
    <s v="Not Sensitive"/>
    <n v="2"/>
    <n v="6"/>
    <s v="None"/>
    <x v="0"/>
    <x v="4"/>
    <d v="2024-12-04T00:00:00"/>
    <n v="503"/>
    <b v="0"/>
    <b v="0"/>
    <x v="3"/>
    <s v="No Preference"/>
    <n v="6"/>
  </r>
  <r>
    <s v="09-737-8354"/>
    <x v="14"/>
    <x v="0"/>
    <x v="0"/>
    <s v="Widowed"/>
    <s v="High School"/>
    <s v="High"/>
    <s v="Tandahimba"/>
    <x v="9"/>
    <n v="173.43"/>
    <n v="4"/>
    <x v="1"/>
    <n v="3"/>
    <n v="3"/>
    <n v="0"/>
    <s v="Medium"/>
    <s v="Not Sensitive"/>
    <n v="2"/>
    <n v="1"/>
    <s v="Low"/>
    <x v="2"/>
    <x v="1"/>
    <d v="2024-05-27T00:00:00"/>
    <n v="694"/>
    <b v="1"/>
    <b v="1"/>
    <x v="0"/>
    <s v="No Preference"/>
    <n v="14"/>
  </r>
  <r>
    <s v="12-417-5609"/>
    <x v="3"/>
    <x v="0"/>
    <x v="0"/>
    <s v="Widowed"/>
    <s v="High School"/>
    <s v="Middle"/>
    <s v="Iwade"/>
    <x v="15"/>
    <n v="462.96"/>
    <n v="2"/>
    <x v="2"/>
    <n v="4"/>
    <n v="2"/>
    <n v="0"/>
    <s v="High"/>
    <s v="Very Sensitive"/>
    <n v="2"/>
    <n v="6"/>
    <s v="High"/>
    <x v="0"/>
    <x v="4"/>
    <d v="2024-07-01T00:00:00"/>
    <n v="659"/>
    <b v="1"/>
    <b v="0"/>
    <x v="3"/>
    <s v="No Preference"/>
    <n v="3"/>
  </r>
  <r>
    <s v="25-096-6830"/>
    <x v="15"/>
    <x v="1"/>
    <x v="1"/>
    <s v="Divorced"/>
    <s v="High School"/>
    <s v="Middle"/>
    <s v="La Guata"/>
    <x v="7"/>
    <n v="203.13"/>
    <n v="10"/>
    <x v="2"/>
    <n v="4"/>
    <n v="3"/>
    <n v="2"/>
    <s v="None"/>
    <s v="Somewhat Sensitive"/>
    <n v="1"/>
    <n v="5"/>
    <s v="High"/>
    <x v="0"/>
    <x v="2"/>
    <d v="2024-08-15T00:00:00"/>
    <n v="614"/>
    <b v="1"/>
    <b v="0"/>
    <x v="2"/>
    <s v="Standard"/>
    <n v="6"/>
  </r>
  <r>
    <s v="91-558-5922"/>
    <x v="17"/>
    <x v="0"/>
    <x v="1"/>
    <s v="Married"/>
    <s v="Master's"/>
    <s v="High"/>
    <s v="Saint-Brieuc"/>
    <x v="16"/>
    <n v="443.11"/>
    <n v="9"/>
    <x v="1"/>
    <n v="1"/>
    <n v="2"/>
    <n v="1"/>
    <s v="None"/>
    <s v="Very Sensitive"/>
    <n v="0"/>
    <n v="10"/>
    <s v="Low"/>
    <x v="0"/>
    <x v="3"/>
    <d v="2024-01-19T00:00:00"/>
    <n v="823"/>
    <b v="1"/>
    <b v="1"/>
    <x v="1"/>
    <s v="No Preference"/>
    <n v="1"/>
  </r>
  <r>
    <s v="25-560-4506"/>
    <x v="16"/>
    <x v="2"/>
    <x v="1"/>
    <s v="Divorced"/>
    <s v="High School"/>
    <s v="High"/>
    <s v="Paya Dapur"/>
    <x v="18"/>
    <n v="254.83"/>
    <n v="2"/>
    <x v="0"/>
    <n v="1"/>
    <n v="2"/>
    <n v="1"/>
    <s v="None"/>
    <s v="Somewhat Sensitive"/>
    <n v="1"/>
    <n v="2"/>
    <s v="Low"/>
    <x v="2"/>
    <x v="0"/>
    <d v="2024-09-18T00:00:00"/>
    <n v="580"/>
    <b v="0"/>
    <b v="0"/>
    <x v="1"/>
    <s v="Standard"/>
    <n v="1"/>
  </r>
  <r>
    <s v="33-609-0598"/>
    <x v="3"/>
    <x v="0"/>
    <x v="1"/>
    <s v="Single"/>
    <s v="Master's"/>
    <s v="Middle"/>
    <s v="Xinzha"/>
    <x v="8"/>
    <n v="336.89"/>
    <n v="4"/>
    <x v="2"/>
    <n v="2"/>
    <n v="1"/>
    <n v="2"/>
    <s v="Medium"/>
    <s v="Very Sensitive"/>
    <n v="1"/>
    <n v="7"/>
    <s v="High"/>
    <x v="1"/>
    <x v="0"/>
    <d v="2024-06-17T00:00:00"/>
    <n v="673"/>
    <b v="0"/>
    <b v="0"/>
    <x v="3"/>
    <s v="Express"/>
    <n v="9"/>
  </r>
  <r>
    <s v="45-337-1798"/>
    <x v="29"/>
    <x v="1"/>
    <x v="0"/>
    <s v="Married"/>
    <s v="Bachelor's"/>
    <s v="Middle"/>
    <s v="Al QÄrah"/>
    <x v="15"/>
    <n v="337.17"/>
    <n v="8"/>
    <x v="1"/>
    <n v="5"/>
    <n v="5"/>
    <n v="0"/>
    <s v="Low"/>
    <s v="Not Sensitive"/>
    <n v="1"/>
    <n v="6"/>
    <s v="Medium"/>
    <x v="0"/>
    <x v="0"/>
    <d v="2024-07-26T00:00:00"/>
    <n v="634"/>
    <b v="0"/>
    <b v="1"/>
    <x v="1"/>
    <s v="No Preference"/>
    <n v="3"/>
  </r>
  <r>
    <s v="34-265-8558"/>
    <x v="0"/>
    <x v="0"/>
    <x v="1"/>
    <s v="Single"/>
    <s v="High School"/>
    <s v="High"/>
    <s v="Antipolo"/>
    <x v="1"/>
    <n v="429.24"/>
    <n v="2"/>
    <x v="2"/>
    <n v="2"/>
    <n v="2"/>
    <n v="2"/>
    <s v="Medium"/>
    <s v="Very Sensitive"/>
    <n v="0"/>
    <n v="3"/>
    <s v="None"/>
    <x v="2"/>
    <x v="4"/>
    <d v="2024-03-11T00:00:00"/>
    <n v="771"/>
    <b v="0"/>
    <b v="0"/>
    <x v="3"/>
    <s v="No Preference"/>
    <n v="13"/>
  </r>
  <r>
    <s v="67-323-7406"/>
    <x v="22"/>
    <x v="0"/>
    <x v="1"/>
    <s v="Married"/>
    <s v="High School"/>
    <s v="High"/>
    <s v="Yuyangguan"/>
    <x v="13"/>
    <n v="197.7"/>
    <n v="7"/>
    <x v="0"/>
    <n v="3"/>
    <n v="5"/>
    <n v="2"/>
    <s v="High"/>
    <s v="Somewhat Sensitive"/>
    <n v="1"/>
    <n v="6"/>
    <s v="Medium"/>
    <x v="2"/>
    <x v="4"/>
    <d v="2024-09-27T00:00:00"/>
    <n v="571"/>
    <b v="0"/>
    <b v="0"/>
    <x v="0"/>
    <s v="Standard"/>
    <n v="9"/>
  </r>
  <r>
    <s v="40-149-8247"/>
    <x v="25"/>
    <x v="1"/>
    <x v="0"/>
    <s v="Married"/>
    <s v="Bachelor's"/>
    <s v="Middle"/>
    <s v="Qiman"/>
    <x v="3"/>
    <n v="336.96"/>
    <n v="2"/>
    <x v="1"/>
    <n v="5"/>
    <n v="2"/>
    <n v="2"/>
    <s v="High"/>
    <s v="Not Sensitive"/>
    <n v="0"/>
    <n v="7"/>
    <s v="Low"/>
    <x v="0"/>
    <x v="1"/>
    <d v="2024-09-05T00:00:00"/>
    <n v="593"/>
    <b v="1"/>
    <b v="1"/>
    <x v="2"/>
    <s v="No Preference"/>
    <n v="7"/>
  </r>
  <r>
    <s v="37-361-8691"/>
    <x v="13"/>
    <x v="0"/>
    <x v="1"/>
    <s v="Married"/>
    <s v="High School"/>
    <s v="High"/>
    <s v="Maguwon"/>
    <x v="12"/>
    <n v="489.81"/>
    <n v="11"/>
    <x v="0"/>
    <n v="3"/>
    <n v="2"/>
    <n v="1"/>
    <s v="Low"/>
    <s v="Very Sensitive"/>
    <n v="0"/>
    <n v="1"/>
    <s v="None"/>
    <x v="0"/>
    <x v="0"/>
    <d v="2024-12-22T00:00:00"/>
    <n v="485"/>
    <b v="0"/>
    <b v="0"/>
    <x v="1"/>
    <s v="No Preference"/>
    <n v="3"/>
  </r>
  <r>
    <s v="17-763-9416"/>
    <x v="11"/>
    <x v="0"/>
    <x v="1"/>
    <s v="Single"/>
    <s v="High School"/>
    <s v="Middle"/>
    <s v="Tsibulev"/>
    <x v="14"/>
    <n v="455.55"/>
    <n v="8"/>
    <x v="0"/>
    <n v="4"/>
    <n v="4"/>
    <n v="1"/>
    <s v="High"/>
    <s v="Somewhat Sensitive"/>
    <n v="0"/>
    <n v="6"/>
    <s v="High"/>
    <x v="2"/>
    <x v="1"/>
    <d v="2024-10-29T00:00:00"/>
    <n v="539"/>
    <b v="0"/>
    <b v="0"/>
    <x v="3"/>
    <s v="No Preference"/>
    <n v="10"/>
  </r>
  <r>
    <s v="56-453-8263"/>
    <x v="3"/>
    <x v="1"/>
    <x v="0"/>
    <s v="Divorced"/>
    <s v="Master's"/>
    <s v="Middle"/>
    <s v="San Antonio Aguas Calientes"/>
    <x v="7"/>
    <n v="266.61"/>
    <n v="3"/>
    <x v="2"/>
    <n v="3"/>
    <n v="1"/>
    <n v="1"/>
    <s v="Medium"/>
    <s v="Very Sensitive"/>
    <n v="2"/>
    <n v="8"/>
    <s v="None"/>
    <x v="0"/>
    <x v="2"/>
    <d v="2024-06-06T00:00:00"/>
    <n v="684"/>
    <b v="1"/>
    <b v="0"/>
    <x v="0"/>
    <s v="Standard"/>
    <n v="7"/>
  </r>
  <r>
    <s v="19-560-0717"/>
    <x v="17"/>
    <x v="5"/>
    <x v="0"/>
    <s v="Married"/>
    <s v="High School"/>
    <s v="High"/>
    <s v="Pombas"/>
    <x v="22"/>
    <n v="460.88"/>
    <n v="5"/>
    <x v="0"/>
    <n v="3"/>
    <n v="4"/>
    <n v="2"/>
    <s v="None"/>
    <s v="Not Sensitive"/>
    <n v="2"/>
    <n v="4"/>
    <s v="High"/>
    <x v="0"/>
    <x v="4"/>
    <d v="2024-04-12T00:00:00"/>
    <n v="739"/>
    <b v="1"/>
    <b v="0"/>
    <x v="2"/>
    <s v="Standard"/>
    <n v="2"/>
  </r>
  <r>
    <s v="40-199-1803"/>
    <x v="21"/>
    <x v="1"/>
    <x v="1"/>
    <s v="Single"/>
    <s v="High School"/>
    <s v="Middle"/>
    <s v="Kuâ€˜aydinah"/>
    <x v="18"/>
    <n v="361.4"/>
    <n v="2"/>
    <x v="1"/>
    <n v="2"/>
    <n v="5"/>
    <n v="1"/>
    <s v="Medium"/>
    <s v="Somewhat Sensitive"/>
    <n v="0"/>
    <n v="5"/>
    <s v="Medium"/>
    <x v="2"/>
    <x v="0"/>
    <d v="2024-12-21T00:00:00"/>
    <n v="486"/>
    <b v="0"/>
    <b v="1"/>
    <x v="2"/>
    <s v="No Preference"/>
    <n v="7"/>
  </r>
  <r>
    <s v="09-332-0236"/>
    <x v="26"/>
    <x v="0"/>
    <x v="0"/>
    <s v="Divorced"/>
    <s v="Master's"/>
    <s v="Middle"/>
    <s v="San Marcos"/>
    <x v="15"/>
    <n v="51.86"/>
    <n v="4"/>
    <x v="0"/>
    <n v="3"/>
    <n v="5"/>
    <n v="0.2"/>
    <s v="Medium"/>
    <s v="Not Sensitive"/>
    <n v="2"/>
    <n v="6"/>
    <s v="High"/>
    <x v="0"/>
    <x v="0"/>
    <d v="2024-12-25T00:00:00"/>
    <n v="482"/>
    <b v="0"/>
    <b v="1"/>
    <x v="0"/>
    <s v="No Preference"/>
    <n v="6"/>
  </r>
  <r>
    <s v="83-982-5300"/>
    <x v="23"/>
    <x v="1"/>
    <x v="0"/>
    <s v="Married"/>
    <s v="High School"/>
    <s v="Middle"/>
    <s v="Chum Phae"/>
    <x v="2"/>
    <n v="310.16000000000003"/>
    <n v="5"/>
    <x v="0"/>
    <n v="5"/>
    <n v="3"/>
    <n v="1"/>
    <s v="None"/>
    <s v="Somewhat Sensitive"/>
    <n v="0"/>
    <n v="4"/>
    <s v="High"/>
    <x v="2"/>
    <x v="4"/>
    <d v="2024-12-01T00:00:00"/>
    <n v="506"/>
    <b v="0"/>
    <b v="0"/>
    <x v="0"/>
    <s v="Standard"/>
    <n v="14"/>
  </r>
  <r>
    <s v="46-662-1571"/>
    <x v="13"/>
    <x v="0"/>
    <x v="0"/>
    <s v="Widowed"/>
    <s v="Master's"/>
    <s v="Middle"/>
    <s v="La Laja"/>
    <x v="12"/>
    <n v="300.73"/>
    <n v="8"/>
    <x v="2"/>
    <n v="4"/>
    <n v="2"/>
    <n v="1"/>
    <s v="Low"/>
    <s v="Somewhat Sensitive"/>
    <n v="2"/>
    <n v="9"/>
    <s v="High"/>
    <x v="2"/>
    <x v="4"/>
    <d v="2024-03-31T00:00:00"/>
    <n v="751"/>
    <b v="1"/>
    <b v="1"/>
    <x v="0"/>
    <s v="No Preference"/>
    <n v="10"/>
  </r>
  <r>
    <s v="20-699-9217"/>
    <x v="31"/>
    <x v="0"/>
    <x v="1"/>
    <s v="Married"/>
    <s v="High School"/>
    <s v="Middle"/>
    <s v="San Juan del Cesar"/>
    <x v="12"/>
    <n v="356.87"/>
    <n v="12"/>
    <x v="0"/>
    <n v="1"/>
    <n v="4"/>
    <n v="0"/>
    <s v="High"/>
    <s v="Not Sensitive"/>
    <n v="1"/>
    <n v="9"/>
    <s v="Medium"/>
    <x v="1"/>
    <x v="2"/>
    <d v="2024-10-12T00:00:00"/>
    <n v="556"/>
    <b v="0"/>
    <b v="1"/>
    <x v="2"/>
    <s v="Standard"/>
    <n v="10"/>
  </r>
  <r>
    <s v="26-150-0209"/>
    <x v="31"/>
    <x v="1"/>
    <x v="0"/>
    <s v="Widowed"/>
    <s v="High School"/>
    <s v="Middle"/>
    <s v="Taiyigong"/>
    <x v="20"/>
    <n v="82.37"/>
    <n v="6"/>
    <x v="0"/>
    <n v="1"/>
    <n v="1"/>
    <n v="1"/>
    <s v="Medium"/>
    <s v="Not Sensitive"/>
    <n v="0"/>
    <n v="4"/>
    <s v="Medium"/>
    <x v="1"/>
    <x v="0"/>
    <d v="2024-12-25T00:00:00"/>
    <n v="482"/>
    <b v="0"/>
    <b v="0"/>
    <x v="2"/>
    <s v="Standard"/>
    <n v="2"/>
  </r>
  <r>
    <s v="94-985-5336"/>
    <x v="3"/>
    <x v="0"/>
    <x v="1"/>
    <s v="Divorced"/>
    <s v="Bachelor's"/>
    <s v="High"/>
    <s v="GÃ¤vle"/>
    <x v="20"/>
    <n v="372.6"/>
    <n v="3"/>
    <x v="0"/>
    <n v="4"/>
    <n v="5"/>
    <n v="1"/>
    <s v="High"/>
    <s v="Very Sensitive"/>
    <n v="2"/>
    <n v="6"/>
    <s v="Low"/>
    <x v="0"/>
    <x v="1"/>
    <d v="2024-01-11T00:00:00"/>
    <n v="831"/>
    <b v="1"/>
    <b v="1"/>
    <x v="3"/>
    <s v="Express"/>
    <n v="10"/>
  </r>
  <r>
    <s v="97-715-3606"/>
    <x v="3"/>
    <x v="0"/>
    <x v="0"/>
    <s v="Widowed"/>
    <s v="High School"/>
    <s v="High"/>
    <s v="Tayabamba"/>
    <x v="9"/>
    <n v="78.319999999999993"/>
    <n v="9"/>
    <x v="2"/>
    <n v="2"/>
    <n v="4"/>
    <n v="2"/>
    <s v="Low"/>
    <s v="Somewhat Sensitive"/>
    <n v="2"/>
    <n v="10"/>
    <s v="Low"/>
    <x v="1"/>
    <x v="1"/>
    <d v="2024-07-29T00:00:00"/>
    <n v="631"/>
    <b v="0"/>
    <b v="1"/>
    <x v="0"/>
    <s v="Standard"/>
    <n v="7"/>
  </r>
  <r>
    <s v="02-100-4320"/>
    <x v="11"/>
    <x v="0"/>
    <x v="1"/>
    <s v="Single"/>
    <s v="Master's"/>
    <s v="High"/>
    <s v="Majennang"/>
    <x v="15"/>
    <n v="71.72"/>
    <n v="12"/>
    <x v="2"/>
    <n v="3"/>
    <n v="5"/>
    <n v="1"/>
    <s v="High"/>
    <s v="Somewhat Sensitive"/>
    <n v="2"/>
    <n v="5"/>
    <s v="Low"/>
    <x v="0"/>
    <x v="1"/>
    <d v="2024-01-11T00:00:00"/>
    <n v="831"/>
    <b v="1"/>
    <b v="1"/>
    <x v="1"/>
    <s v="Express"/>
    <n v="13"/>
  </r>
  <r>
    <s v="16-070-0138"/>
    <x v="7"/>
    <x v="0"/>
    <x v="1"/>
    <s v="Single"/>
    <s v="High School"/>
    <s v="High"/>
    <s v="Njeru"/>
    <x v="8"/>
    <n v="241.1"/>
    <n v="12"/>
    <x v="1"/>
    <n v="1"/>
    <n v="5"/>
    <n v="2"/>
    <s v="None"/>
    <s v="Not Sensitive"/>
    <n v="2"/>
    <n v="2"/>
    <s v="Medium"/>
    <x v="2"/>
    <x v="0"/>
    <d v="2024-07-30T00:00:00"/>
    <n v="630"/>
    <b v="0"/>
    <b v="1"/>
    <x v="3"/>
    <s v="No Preference"/>
    <n v="8"/>
  </r>
  <r>
    <s v="82-474-5074"/>
    <x v="0"/>
    <x v="1"/>
    <x v="0"/>
    <s v="Married"/>
    <s v="Bachelor's"/>
    <s v="High"/>
    <s v="Ambatolaona"/>
    <x v="22"/>
    <n v="96.86"/>
    <n v="9"/>
    <x v="0"/>
    <n v="5"/>
    <n v="5"/>
    <n v="0"/>
    <s v="None"/>
    <s v="Not Sensitive"/>
    <n v="2"/>
    <n v="10"/>
    <s v="Medium"/>
    <x v="2"/>
    <x v="2"/>
    <d v="2024-07-28T00:00:00"/>
    <n v="632"/>
    <b v="0"/>
    <b v="1"/>
    <x v="1"/>
    <s v="Standard"/>
    <n v="7"/>
  </r>
  <r>
    <s v="36-444-5336"/>
    <x v="18"/>
    <x v="1"/>
    <x v="0"/>
    <s v="Divorced"/>
    <s v="Master's"/>
    <s v="High"/>
    <s v="Jianggang"/>
    <x v="1"/>
    <n v="276.25"/>
    <n v="11"/>
    <x v="1"/>
    <n v="2"/>
    <n v="1"/>
    <n v="2"/>
    <s v="High"/>
    <s v="Not Sensitive"/>
    <n v="2"/>
    <n v="4"/>
    <s v="None"/>
    <x v="1"/>
    <x v="4"/>
    <d v="2024-11-11T00:00:00"/>
    <n v="526"/>
    <b v="1"/>
    <b v="1"/>
    <x v="2"/>
    <s v="Express"/>
    <n v="8"/>
  </r>
  <r>
    <s v="54-680-5344"/>
    <x v="3"/>
    <x v="1"/>
    <x v="0"/>
    <s v="Widowed"/>
    <s v="Master's"/>
    <s v="Middle"/>
    <s v="Langkou"/>
    <x v="2"/>
    <n v="318.45"/>
    <n v="10"/>
    <x v="1"/>
    <n v="2"/>
    <n v="1"/>
    <n v="2"/>
    <s v="None"/>
    <s v="Somewhat Sensitive"/>
    <n v="2"/>
    <n v="4"/>
    <s v="High"/>
    <x v="1"/>
    <x v="3"/>
    <d v="2024-10-25T00:00:00"/>
    <n v="543"/>
    <b v="0"/>
    <b v="1"/>
    <x v="3"/>
    <s v="No Preference"/>
    <n v="5"/>
  </r>
  <r>
    <s v="16-364-8096"/>
    <x v="30"/>
    <x v="0"/>
    <x v="1"/>
    <s v="Married"/>
    <s v="High School"/>
    <s v="High"/>
    <s v="HornÃ­ SuchÃ¡"/>
    <x v="9"/>
    <n v="117.03"/>
    <n v="6"/>
    <x v="2"/>
    <n v="3"/>
    <n v="2"/>
    <n v="0"/>
    <s v="None"/>
    <s v="Very Sensitive"/>
    <n v="2"/>
    <n v="9"/>
    <s v="Medium"/>
    <x v="0"/>
    <x v="4"/>
    <d v="2024-09-20T00:00:00"/>
    <n v="578"/>
    <b v="0"/>
    <b v="0"/>
    <x v="2"/>
    <s v="Standard"/>
    <n v="5"/>
  </r>
  <r>
    <s v="62-644-8183"/>
    <x v="17"/>
    <x v="0"/>
    <x v="0"/>
    <s v="Married"/>
    <s v="Master's"/>
    <s v="High"/>
    <s v="Haradok"/>
    <x v="16"/>
    <n v="490.41"/>
    <n v="7"/>
    <x v="2"/>
    <n v="3"/>
    <n v="5"/>
    <n v="1"/>
    <s v="Medium"/>
    <s v="Very Sensitive"/>
    <n v="1"/>
    <n v="10"/>
    <s v="Low"/>
    <x v="0"/>
    <x v="3"/>
    <d v="2024-10-22T00:00:00"/>
    <n v="546"/>
    <b v="1"/>
    <b v="0"/>
    <x v="3"/>
    <s v="Standard"/>
    <n v="5"/>
  </r>
  <r>
    <s v="59-971-0799"/>
    <x v="18"/>
    <x v="1"/>
    <x v="0"/>
    <s v="Divorced"/>
    <s v="Bachelor's"/>
    <s v="High"/>
    <s v="Vichuga"/>
    <x v="18"/>
    <n v="476.42"/>
    <n v="7"/>
    <x v="1"/>
    <n v="1"/>
    <n v="1"/>
    <n v="1"/>
    <s v="High"/>
    <s v="Very Sensitive"/>
    <n v="0"/>
    <n v="2"/>
    <s v="High"/>
    <x v="2"/>
    <x v="2"/>
    <d v="2024-09-09T00:00:00"/>
    <n v="589"/>
    <b v="1"/>
    <b v="0"/>
    <x v="0"/>
    <s v="Standard"/>
    <n v="2"/>
  </r>
  <r>
    <s v="64-031-2046"/>
    <x v="3"/>
    <x v="0"/>
    <x v="1"/>
    <s v="Divorced"/>
    <s v="Master's"/>
    <s v="High"/>
    <s v="Luci"/>
    <x v="21"/>
    <n v="392.27"/>
    <n v="5"/>
    <x v="0"/>
    <n v="4"/>
    <n v="5"/>
    <n v="1"/>
    <s v="High"/>
    <s v="Not Sensitive"/>
    <n v="0"/>
    <n v="2"/>
    <s v="Low"/>
    <x v="0"/>
    <x v="3"/>
    <d v="2024-07-17T00:00:00"/>
    <n v="643"/>
    <b v="1"/>
    <b v="0"/>
    <x v="1"/>
    <s v="No Preference"/>
    <n v="7"/>
  </r>
  <r>
    <s v="87-079-0237"/>
    <x v="15"/>
    <x v="1"/>
    <x v="1"/>
    <s v="Single"/>
    <s v="Bachelor's"/>
    <s v="Middle"/>
    <s v="Guolemude"/>
    <x v="11"/>
    <n v="207.24"/>
    <n v="9"/>
    <x v="2"/>
    <n v="2"/>
    <n v="2"/>
    <n v="0"/>
    <s v="Low"/>
    <s v="Not Sensitive"/>
    <n v="0"/>
    <n v="6"/>
    <s v="None"/>
    <x v="2"/>
    <x v="2"/>
    <d v="2024-05-12T00:00:00"/>
    <n v="709"/>
    <b v="1"/>
    <b v="0"/>
    <x v="2"/>
    <s v="No Preference"/>
    <n v="3"/>
  </r>
  <r>
    <s v="78-091-8662"/>
    <x v="20"/>
    <x v="1"/>
    <x v="1"/>
    <s v="Divorced"/>
    <s v="High School"/>
    <s v="Middle"/>
    <s v="Prengtale"/>
    <x v="0"/>
    <n v="141.63"/>
    <n v="3"/>
    <x v="2"/>
    <n v="4"/>
    <n v="1"/>
    <n v="1"/>
    <s v="None"/>
    <s v="Somewhat Sensitive"/>
    <n v="1"/>
    <n v="8"/>
    <s v="Low"/>
    <x v="1"/>
    <x v="4"/>
    <d v="2024-10-11T00:00:00"/>
    <n v="557"/>
    <b v="1"/>
    <b v="1"/>
    <x v="3"/>
    <s v="Express"/>
    <n v="11"/>
  </r>
  <r>
    <s v="62-720-2922"/>
    <x v="12"/>
    <x v="1"/>
    <x v="1"/>
    <s v="Widowed"/>
    <s v="Bachelor's"/>
    <s v="High"/>
    <s v="Cabanas"/>
    <x v="3"/>
    <n v="244.47"/>
    <n v="5"/>
    <x v="2"/>
    <n v="3"/>
    <n v="4"/>
    <n v="1"/>
    <s v="High"/>
    <s v="Very Sensitive"/>
    <n v="1"/>
    <n v="5"/>
    <s v="Low"/>
    <x v="1"/>
    <x v="4"/>
    <d v="2024-06-23T00:00:00"/>
    <n v="667"/>
    <b v="0"/>
    <b v="0"/>
    <x v="2"/>
    <s v="No Preference"/>
    <n v="4"/>
  </r>
  <r>
    <s v="47-528-3961"/>
    <x v="2"/>
    <x v="1"/>
    <x v="1"/>
    <s v="Married"/>
    <s v="Master's"/>
    <s v="High"/>
    <s v="FaÄ«áº•ÄbÄd"/>
    <x v="0"/>
    <n v="251.63"/>
    <n v="9"/>
    <x v="2"/>
    <n v="3"/>
    <n v="1"/>
    <n v="0"/>
    <s v="Low"/>
    <s v="Not Sensitive"/>
    <n v="0"/>
    <n v="2"/>
    <s v="High"/>
    <x v="2"/>
    <x v="0"/>
    <d v="2024-08-23T00:00:00"/>
    <n v="606"/>
    <b v="1"/>
    <b v="1"/>
    <x v="0"/>
    <s v="Express"/>
    <n v="10"/>
  </r>
  <r>
    <s v="21-808-2293"/>
    <x v="12"/>
    <x v="1"/>
    <x v="0"/>
    <s v="Divorced"/>
    <s v="Bachelor's"/>
    <s v="Middle"/>
    <s v="Sukumo"/>
    <x v="16"/>
    <n v="431.78"/>
    <n v="12"/>
    <x v="2"/>
    <n v="1"/>
    <n v="3"/>
    <n v="1"/>
    <s v="Medium"/>
    <s v="Very Sensitive"/>
    <n v="1"/>
    <n v="8"/>
    <s v="Low"/>
    <x v="1"/>
    <x v="1"/>
    <d v="2024-02-15T00:00:00"/>
    <n v="796"/>
    <b v="1"/>
    <b v="0"/>
    <x v="2"/>
    <s v="No Preference"/>
    <n v="7"/>
  </r>
  <r>
    <s v="22-022-9256"/>
    <x v="14"/>
    <x v="0"/>
    <x v="0"/>
    <s v="Married"/>
    <s v="Master's"/>
    <s v="High"/>
    <s v="Fenglu"/>
    <x v="23"/>
    <n v="303.08999999999997"/>
    <n v="2"/>
    <x v="2"/>
    <n v="2"/>
    <n v="5"/>
    <n v="1"/>
    <s v="None"/>
    <s v="Very Sensitive"/>
    <n v="2"/>
    <n v="9"/>
    <s v="None"/>
    <x v="0"/>
    <x v="3"/>
    <d v="2024-01-10T00:00:00"/>
    <n v="832"/>
    <b v="0"/>
    <b v="0"/>
    <x v="2"/>
    <s v="No Preference"/>
    <n v="11"/>
  </r>
  <r>
    <s v="96-772-7220"/>
    <x v="13"/>
    <x v="1"/>
    <x v="1"/>
    <s v="Married"/>
    <s v="Bachelor's"/>
    <s v="High"/>
    <s v="Tanjungbalai"/>
    <x v="22"/>
    <n v="341.24"/>
    <n v="9"/>
    <x v="0"/>
    <n v="5"/>
    <n v="5"/>
    <n v="2"/>
    <s v="Low"/>
    <s v="Somewhat Sensitive"/>
    <n v="1"/>
    <n v="3"/>
    <s v="None"/>
    <x v="0"/>
    <x v="0"/>
    <d v="2024-11-18T00:00:00"/>
    <n v="519"/>
    <b v="1"/>
    <b v="0"/>
    <x v="0"/>
    <s v="Standard"/>
    <n v="4"/>
  </r>
  <r>
    <s v="25-866-7286"/>
    <x v="12"/>
    <x v="0"/>
    <x v="0"/>
    <s v="Divorced"/>
    <s v="Master's"/>
    <s v="High"/>
    <s v="Carrefour"/>
    <x v="13"/>
    <n v="211.39"/>
    <n v="10"/>
    <x v="2"/>
    <n v="4"/>
    <n v="5"/>
    <n v="1"/>
    <s v="Medium"/>
    <s v="Not Sensitive"/>
    <n v="0"/>
    <n v="1"/>
    <s v="Low"/>
    <x v="2"/>
    <x v="3"/>
    <d v="2024-05-10T00:00:00"/>
    <n v="711"/>
    <b v="1"/>
    <b v="0"/>
    <x v="3"/>
    <s v="Express"/>
    <n v="1"/>
  </r>
  <r>
    <s v="72-694-4159"/>
    <x v="7"/>
    <x v="0"/>
    <x v="0"/>
    <s v="Married"/>
    <s v="Bachelor's"/>
    <s v="Middle"/>
    <s v="Tewulike"/>
    <x v="13"/>
    <n v="379.21"/>
    <n v="9"/>
    <x v="0"/>
    <n v="1"/>
    <n v="5"/>
    <n v="1"/>
    <s v="Low"/>
    <s v="Somewhat Sensitive"/>
    <n v="1"/>
    <n v="1"/>
    <s v="High"/>
    <x v="1"/>
    <x v="1"/>
    <d v="2024-09-18T00:00:00"/>
    <n v="580"/>
    <b v="1"/>
    <b v="1"/>
    <x v="2"/>
    <s v="No Preference"/>
    <n v="1"/>
  </r>
  <r>
    <s v="10-079-8237"/>
    <x v="19"/>
    <x v="0"/>
    <x v="1"/>
    <s v="Widowed"/>
    <s v="Master's"/>
    <s v="High"/>
    <s v="Hejiang"/>
    <x v="7"/>
    <n v="309.52999999999997"/>
    <n v="8"/>
    <x v="0"/>
    <n v="2"/>
    <n v="1"/>
    <n v="1"/>
    <s v="None"/>
    <s v="Very Sensitive"/>
    <n v="2"/>
    <n v="6"/>
    <s v="None"/>
    <x v="1"/>
    <x v="4"/>
    <d v="2024-04-14T00:00:00"/>
    <n v="737"/>
    <b v="0"/>
    <b v="1"/>
    <x v="3"/>
    <s v="Standard"/>
    <n v="5"/>
  </r>
  <r>
    <s v="47-460-8015"/>
    <x v="18"/>
    <x v="1"/>
    <x v="0"/>
    <s v="Divorced"/>
    <s v="Master's"/>
    <s v="High"/>
    <s v="Yaizu"/>
    <x v="5"/>
    <n v="359.45"/>
    <n v="6"/>
    <x v="2"/>
    <n v="4"/>
    <n v="1"/>
    <n v="2"/>
    <s v="Low"/>
    <s v="Not Sensitive"/>
    <n v="1"/>
    <n v="8"/>
    <s v="Medium"/>
    <x v="2"/>
    <x v="3"/>
    <d v="2024-03-06T00:00:00"/>
    <n v="776"/>
    <b v="0"/>
    <b v="0"/>
    <x v="2"/>
    <s v="Standard"/>
    <n v="11"/>
  </r>
  <r>
    <s v="06-061-0023"/>
    <x v="28"/>
    <x v="0"/>
    <x v="1"/>
    <s v="Widowed"/>
    <s v="High School"/>
    <s v="Middle"/>
    <s v="KembÃ©"/>
    <x v="11"/>
    <n v="479.62"/>
    <n v="8"/>
    <x v="1"/>
    <n v="3"/>
    <n v="1"/>
    <n v="2"/>
    <s v="High"/>
    <s v="Not Sensitive"/>
    <n v="1"/>
    <n v="3"/>
    <s v="Low"/>
    <x v="0"/>
    <x v="3"/>
    <d v="2024-04-19T00:00:00"/>
    <n v="732"/>
    <b v="0"/>
    <b v="0"/>
    <x v="3"/>
    <s v="Express"/>
    <n v="10"/>
  </r>
  <r>
    <s v="80-487-2550"/>
    <x v="10"/>
    <x v="1"/>
    <x v="1"/>
    <s v="Married"/>
    <s v="Bachelor's"/>
    <s v="Middle"/>
    <s v="Novokayakent"/>
    <x v="13"/>
    <n v="208.6"/>
    <n v="2"/>
    <x v="0"/>
    <n v="5"/>
    <n v="1"/>
    <n v="2"/>
    <s v="None"/>
    <s v="Somewhat Sensitive"/>
    <n v="0"/>
    <n v="5"/>
    <s v="High"/>
    <x v="1"/>
    <x v="0"/>
    <d v="2024-02-29T00:00:00"/>
    <n v="782"/>
    <b v="1"/>
    <b v="1"/>
    <x v="2"/>
    <s v="Standard"/>
    <n v="3"/>
  </r>
  <r>
    <s v="23-617-2637"/>
    <x v="17"/>
    <x v="0"/>
    <x v="0"/>
    <s v="Single"/>
    <s v="Master's"/>
    <s v="High"/>
    <s v="Hekou"/>
    <x v="14"/>
    <n v="180.21"/>
    <n v="2"/>
    <x v="0"/>
    <n v="5"/>
    <n v="5"/>
    <n v="0"/>
    <s v="None"/>
    <s v="Very Sensitive"/>
    <n v="1"/>
    <n v="1"/>
    <s v="Medium"/>
    <x v="2"/>
    <x v="4"/>
    <d v="2024-01-22T00:00:00"/>
    <n v="820"/>
    <b v="0"/>
    <b v="1"/>
    <x v="0"/>
    <s v="Express"/>
    <n v="14"/>
  </r>
  <r>
    <s v="60-005-5187"/>
    <x v="8"/>
    <x v="1"/>
    <x v="0"/>
    <s v="Single"/>
    <s v="High School"/>
    <s v="High"/>
    <s v="Bailadores"/>
    <x v="13"/>
    <n v="197.9"/>
    <n v="3"/>
    <x v="0"/>
    <n v="2"/>
    <n v="1"/>
    <n v="2"/>
    <s v="Medium"/>
    <s v="Not Sensitive"/>
    <n v="0"/>
    <n v="8"/>
    <s v="High"/>
    <x v="2"/>
    <x v="2"/>
    <d v="2024-01-18T00:00:00"/>
    <n v="824"/>
    <b v="1"/>
    <b v="1"/>
    <x v="1"/>
    <s v="Standard"/>
    <n v="14"/>
  </r>
  <r>
    <s v="24-371-5870"/>
    <x v="1"/>
    <x v="1"/>
    <x v="0"/>
    <s v="Single"/>
    <s v="Bachelor's"/>
    <s v="High"/>
    <s v="Masuda"/>
    <x v="3"/>
    <n v="362.3"/>
    <n v="7"/>
    <x v="2"/>
    <n v="4"/>
    <n v="2"/>
    <n v="0.2"/>
    <s v="Low"/>
    <s v="Not Sensitive"/>
    <n v="0"/>
    <n v="4"/>
    <s v="Low"/>
    <x v="0"/>
    <x v="3"/>
    <d v="2024-09-30T00:00:00"/>
    <n v="568"/>
    <b v="1"/>
    <b v="1"/>
    <x v="3"/>
    <s v="Standard"/>
    <n v="6"/>
  </r>
  <r>
    <s v="02-055-8248"/>
    <x v="8"/>
    <x v="0"/>
    <x v="1"/>
    <s v="Divorced"/>
    <s v="Bachelor's"/>
    <s v="High"/>
    <s v="Martanesh"/>
    <x v="18"/>
    <n v="159.53"/>
    <n v="11"/>
    <x v="0"/>
    <n v="3"/>
    <n v="4"/>
    <n v="2"/>
    <s v="Low"/>
    <s v="Very Sensitive"/>
    <n v="0"/>
    <n v="3"/>
    <s v="Low"/>
    <x v="2"/>
    <x v="4"/>
    <d v="2024-04-27T00:00:00"/>
    <n v="724"/>
    <b v="1"/>
    <b v="1"/>
    <x v="2"/>
    <s v="Express"/>
    <n v="7"/>
  </r>
  <r>
    <s v="54-238-5459"/>
    <x v="13"/>
    <x v="0"/>
    <x v="1"/>
    <s v="Widowed"/>
    <s v="High School"/>
    <s v="High"/>
    <s v="Xinzhou"/>
    <x v="23"/>
    <n v="149.52000000000001"/>
    <n v="9"/>
    <x v="1"/>
    <n v="2"/>
    <n v="5"/>
    <n v="1"/>
    <s v="None"/>
    <s v="Somewhat Sensitive"/>
    <n v="0"/>
    <n v="6"/>
    <s v="None"/>
    <x v="1"/>
    <x v="4"/>
    <d v="2024-03-10T00:00:00"/>
    <n v="772"/>
    <b v="0"/>
    <b v="0"/>
    <x v="1"/>
    <s v="No Preference"/>
    <n v="8"/>
  </r>
  <r>
    <s v="85-922-0190"/>
    <x v="24"/>
    <x v="0"/>
    <x v="1"/>
    <s v="Widowed"/>
    <s v="Bachelor's"/>
    <s v="High"/>
    <s v="Nanfeng"/>
    <x v="16"/>
    <n v="206.32"/>
    <n v="5"/>
    <x v="2"/>
    <n v="3"/>
    <n v="3"/>
    <n v="1"/>
    <s v="Low"/>
    <s v="Not Sensitive"/>
    <n v="0"/>
    <n v="4"/>
    <s v="None"/>
    <x v="2"/>
    <x v="1"/>
    <d v="2024-10-12T00:00:00"/>
    <n v="556"/>
    <b v="1"/>
    <b v="0"/>
    <x v="1"/>
    <s v="Express"/>
    <n v="12"/>
  </r>
  <r>
    <s v="48-271-1908"/>
    <x v="13"/>
    <x v="2"/>
    <x v="1"/>
    <s v="Single"/>
    <s v="Bachelor's"/>
    <s v="High"/>
    <s v="Oke Ila"/>
    <x v="15"/>
    <n v="308.58"/>
    <n v="11"/>
    <x v="2"/>
    <n v="2"/>
    <n v="5"/>
    <n v="2"/>
    <s v="Medium"/>
    <s v="Not Sensitive"/>
    <n v="0"/>
    <n v="7"/>
    <s v="Medium"/>
    <x v="1"/>
    <x v="2"/>
    <d v="2024-05-21T00:00:00"/>
    <n v="700"/>
    <b v="0"/>
    <b v="1"/>
    <x v="0"/>
    <s v="Express"/>
    <n v="12"/>
  </r>
  <r>
    <s v="46-978-3874"/>
    <x v="0"/>
    <x v="0"/>
    <x v="1"/>
    <s v="Single"/>
    <s v="High School"/>
    <s v="Middle"/>
    <s v="Rio Pardo"/>
    <x v="19"/>
    <n v="91.34"/>
    <n v="5"/>
    <x v="2"/>
    <n v="2"/>
    <n v="1"/>
    <n v="1"/>
    <s v="None"/>
    <s v="Not Sensitive"/>
    <n v="0"/>
    <n v="1"/>
    <s v="None"/>
    <x v="1"/>
    <x v="2"/>
    <d v="2024-01-10T00:00:00"/>
    <n v="832"/>
    <b v="1"/>
    <b v="1"/>
    <x v="2"/>
    <s v="Express"/>
    <n v="6"/>
  </r>
  <r>
    <s v="53-595-7635"/>
    <x v="8"/>
    <x v="0"/>
    <x v="1"/>
    <s v="Divorced"/>
    <s v="High School"/>
    <s v="Middle"/>
    <s v="Pingtang"/>
    <x v="8"/>
    <n v="455.44"/>
    <n v="7"/>
    <x v="0"/>
    <n v="4"/>
    <n v="2"/>
    <n v="1"/>
    <s v="Low"/>
    <s v="Very Sensitive"/>
    <n v="2"/>
    <n v="3"/>
    <s v="Low"/>
    <x v="1"/>
    <x v="3"/>
    <d v="2024-05-07T00:00:00"/>
    <n v="714"/>
    <b v="0"/>
    <b v="0"/>
    <x v="0"/>
    <s v="No Preference"/>
    <n v="3"/>
  </r>
  <r>
    <s v="08-185-6608"/>
    <x v="11"/>
    <x v="0"/>
    <x v="1"/>
    <s v="Divorced"/>
    <s v="Master's"/>
    <s v="Middle"/>
    <s v="Podbrdo"/>
    <x v="15"/>
    <n v="468.16"/>
    <n v="8"/>
    <x v="2"/>
    <n v="3"/>
    <n v="5"/>
    <n v="1"/>
    <s v="Low"/>
    <s v="Somewhat Sensitive"/>
    <n v="1"/>
    <n v="5"/>
    <s v="High"/>
    <x v="2"/>
    <x v="0"/>
    <d v="2024-01-22T00:00:00"/>
    <n v="820"/>
    <b v="0"/>
    <b v="0"/>
    <x v="3"/>
    <s v="Standard"/>
    <n v="2"/>
  </r>
  <r>
    <s v="20-562-2569"/>
    <x v="32"/>
    <x v="0"/>
    <x v="1"/>
    <s v="Divorced"/>
    <s v="Bachelor's"/>
    <s v="High"/>
    <s v="Aramayuan"/>
    <x v="7"/>
    <n v="463.67"/>
    <n v="5"/>
    <x v="2"/>
    <n v="2"/>
    <n v="4"/>
    <n v="0.3"/>
    <s v="High"/>
    <s v="Not Sensitive"/>
    <n v="2"/>
    <n v="4"/>
    <s v="None"/>
    <x v="0"/>
    <x v="1"/>
    <d v="2024-07-07T00:00:00"/>
    <n v="653"/>
    <b v="1"/>
    <b v="0"/>
    <x v="0"/>
    <s v="Standard"/>
    <n v="5"/>
  </r>
  <r>
    <s v="41-366-4205"/>
    <x v="17"/>
    <x v="0"/>
    <x v="1"/>
    <s v="Single"/>
    <s v="High School"/>
    <s v="Middle"/>
    <s v="Paquera"/>
    <x v="0"/>
    <n v="69.78"/>
    <n v="9"/>
    <x v="0"/>
    <n v="4"/>
    <n v="3"/>
    <n v="2"/>
    <s v="Low"/>
    <s v="Very Sensitive"/>
    <n v="0"/>
    <n v="6"/>
    <s v="Low"/>
    <x v="0"/>
    <x v="4"/>
    <d v="2024-03-28T00:00:00"/>
    <n v="754"/>
    <b v="1"/>
    <b v="0"/>
    <x v="1"/>
    <s v="No Preference"/>
    <n v="9"/>
  </r>
  <r>
    <s v="77-241-7621"/>
    <x v="29"/>
    <x v="1"/>
    <x v="1"/>
    <s v="Married"/>
    <s v="Bachelor's"/>
    <s v="High"/>
    <s v="Warudoyong"/>
    <x v="1"/>
    <n v="453.37"/>
    <n v="10"/>
    <x v="0"/>
    <n v="1"/>
    <n v="1"/>
    <n v="2"/>
    <s v="Low"/>
    <s v="Very Sensitive"/>
    <n v="0"/>
    <n v="6"/>
    <s v="High"/>
    <x v="2"/>
    <x v="0"/>
    <d v="2024-03-11T00:00:00"/>
    <n v="771"/>
    <b v="1"/>
    <b v="1"/>
    <x v="1"/>
    <s v="Express"/>
    <n v="9"/>
  </r>
  <r>
    <s v="53-091-2176"/>
    <x v="6"/>
    <x v="0"/>
    <x v="1"/>
    <s v="Widowed"/>
    <s v="Bachelor's"/>
    <s v="Middle"/>
    <s v="BÃ©ziers"/>
    <x v="15"/>
    <n v="106.15"/>
    <n v="12"/>
    <x v="1"/>
    <n v="4"/>
    <n v="4"/>
    <n v="0.3"/>
    <s v="Low"/>
    <s v="Somewhat Sensitive"/>
    <n v="0"/>
    <n v="5"/>
    <s v="Medium"/>
    <x v="2"/>
    <x v="4"/>
    <d v="2024-03-30T00:00:00"/>
    <n v="752"/>
    <b v="1"/>
    <b v="1"/>
    <x v="2"/>
    <s v="Standard"/>
    <n v="8"/>
  </r>
  <r>
    <s v="48-203-9118"/>
    <x v="6"/>
    <x v="0"/>
    <x v="0"/>
    <s v="Single"/>
    <s v="High School"/>
    <s v="High"/>
    <s v="Dongzhou"/>
    <x v="10"/>
    <n v="378.47"/>
    <n v="6"/>
    <x v="2"/>
    <n v="5"/>
    <n v="2"/>
    <n v="0.33"/>
    <s v="Medium"/>
    <s v="Not Sensitive"/>
    <n v="1"/>
    <n v="10"/>
    <s v="Low"/>
    <x v="0"/>
    <x v="3"/>
    <d v="2024-12-08T00:00:00"/>
    <n v="499"/>
    <b v="0"/>
    <b v="0"/>
    <x v="3"/>
    <s v="Express"/>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3660CC-4099-41B4-A288-1F0CF82D5BF9}" name="Revenue by categor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G14" firstHeaderRow="1" firstDataRow="1" firstDataCol="1"/>
  <pivotFields count="29">
    <pivotField showAll="0"/>
    <pivotField showAll="0"/>
    <pivotField showAll="0">
      <items count="9">
        <item x="6"/>
        <item x="2"/>
        <item x="0"/>
        <item x="3"/>
        <item x="7"/>
        <item x="1"/>
        <item x="4"/>
        <item x="5"/>
        <item t="default"/>
      </items>
    </pivotField>
    <pivotField showAll="0">
      <items count="3">
        <item x="1"/>
        <item x="0"/>
        <item t="default"/>
      </items>
    </pivotField>
    <pivotField showAll="0"/>
    <pivotField showAll="0"/>
    <pivotField showAll="0"/>
    <pivotField showAll="0"/>
    <pivotField axis="axisRow" showAll="0" measureFilter="1" sortType="ascending">
      <items count="25">
        <item x="9"/>
        <item x="17"/>
        <item x="15"/>
        <item x="21"/>
        <item x="5"/>
        <item x="20"/>
        <item x="13"/>
        <item x="1"/>
        <item x="4"/>
        <item x="0"/>
        <item x="19"/>
        <item x="10"/>
        <item x="18"/>
        <item x="3"/>
        <item x="11"/>
        <item x="23"/>
        <item x="8"/>
        <item x="7"/>
        <item x="2"/>
        <item x="12"/>
        <item x="14"/>
        <item x="6"/>
        <item x="16"/>
        <item x="22"/>
        <item t="default"/>
      </items>
      <autoSortScope>
        <pivotArea dataOnly="0" outline="0" fieldPosition="0">
          <references count="1">
            <reference field="4294967294" count="1" selected="0">
              <x v="0"/>
            </reference>
          </references>
        </pivotArea>
      </autoSortScope>
    </pivotField>
    <pivotField dataField="1" numFmtId="8"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 showAll="0"/>
    <pivotField showAll="0"/>
    <pivotField showAll="0"/>
    <pivotField showAll="0"/>
    <pivotField showAll="0"/>
    <pivotField showAll="0"/>
  </pivotFields>
  <rowFields count="1">
    <field x="8"/>
  </rowFields>
  <rowItems count="11">
    <i>
      <x v="17"/>
    </i>
    <i>
      <x v="18"/>
    </i>
    <i>
      <x v="21"/>
    </i>
    <i>
      <x v="22"/>
    </i>
    <i>
      <x v="7"/>
    </i>
    <i>
      <x v="19"/>
    </i>
    <i>
      <x v="11"/>
    </i>
    <i>
      <x v="4"/>
    </i>
    <i>
      <x v="15"/>
    </i>
    <i>
      <x v="20"/>
    </i>
    <i t="grand">
      <x/>
    </i>
  </rowItems>
  <colItems count="1">
    <i/>
  </colItems>
  <dataFields count="1">
    <dataField name="Average of Purchase_Amount" fld="9" subtotal="average" baseField="8" baseItem="0" numFmtId="8"/>
  </dataFields>
  <chartFormats count="2">
    <chartFormat chart="1"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2D9483-CC28-4F6F-A06A-FD29CD14DC09}" name="Chart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C23" firstHeaderRow="0" firstDataRow="1" firstDataCol="1"/>
  <pivotFields count="9">
    <pivotField showAll="0"/>
    <pivotField showAll="0"/>
    <pivotField dataField="1" showAll="0"/>
    <pivotField dataField="1" numFmtId="164" showAll="0"/>
    <pivotField showAll="0"/>
    <pivotField showAll="0"/>
    <pivotField showAll="0"/>
    <pivotField showAll="0"/>
    <pivotField axis="axisRow" showAll="0">
      <items count="9">
        <item x="1"/>
        <item x="7"/>
        <item x="0"/>
        <item x="6"/>
        <item x="5"/>
        <item x="3"/>
        <item x="4"/>
        <item x="2"/>
        <item t="default"/>
      </items>
    </pivotField>
  </pivotFields>
  <rowFields count="1">
    <field x="8"/>
  </rowFields>
  <rowItems count="9">
    <i>
      <x/>
    </i>
    <i>
      <x v="1"/>
    </i>
    <i>
      <x v="2"/>
    </i>
    <i>
      <x v="3"/>
    </i>
    <i>
      <x v="4"/>
    </i>
    <i>
      <x v="5"/>
    </i>
    <i>
      <x v="6"/>
    </i>
    <i>
      <x v="7"/>
    </i>
    <i t="grand">
      <x/>
    </i>
  </rowItems>
  <colFields count="1">
    <field x="-2"/>
  </colFields>
  <colItems count="2">
    <i>
      <x/>
    </i>
    <i i="1">
      <x v="1"/>
    </i>
  </colItems>
  <dataFields count="2">
    <dataField name="Average of Monetary" fld="3" subtotal="average" baseField="8" baseItem="0" numFmtId="164"/>
    <dataField name="Average of Frequency" fld="2" subtotal="average" baseField="8" baseItem="0"/>
  </dataFields>
  <formats count="1">
    <format dxfId="0">
      <pivotArea collapsedLevelsAreSubtotals="1" fieldPosition="0">
        <references count="2">
          <reference field="4294967294" count="1" selected="0">
            <x v="1"/>
          </reference>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C05BED-41C4-4424-8E2C-FADBA5134C05}"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K27" firstHeaderRow="1" firstDataRow="1" firstDataCol="0"/>
  <pivotFields count="29">
    <pivotField showAll="0"/>
    <pivotField showAll="0">
      <items count="34">
        <item x="27"/>
        <item x="24"/>
        <item x="28"/>
        <item x="6"/>
        <item x="0"/>
        <item x="25"/>
        <item x="2"/>
        <item x="8"/>
        <item x="29"/>
        <item x="23"/>
        <item x="31"/>
        <item x="3"/>
        <item x="12"/>
        <item x="16"/>
        <item x="11"/>
        <item x="4"/>
        <item x="10"/>
        <item x="22"/>
        <item x="15"/>
        <item x="14"/>
        <item x="9"/>
        <item x="7"/>
        <item x="13"/>
        <item x="30"/>
        <item x="21"/>
        <item x="20"/>
        <item x="32"/>
        <item x="5"/>
        <item x="19"/>
        <item x="26"/>
        <item x="18"/>
        <item x="1"/>
        <item x="17"/>
        <item t="default"/>
      </items>
    </pivotField>
    <pivotField showAll="0"/>
    <pivotField showAll="0"/>
    <pivotField showAll="0"/>
    <pivotField showAll="0"/>
    <pivotField showAll="0"/>
    <pivotField showAll="0"/>
    <pivotField showAll="0"/>
    <pivotField numFmtId="8"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772360-6AD6-439B-9559-8CD763C8F9F8}" name="inten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3:J8" firstHeaderRow="1" firstDataRow="1" firstDataCol="1"/>
  <pivotFields count="29">
    <pivotField dataField="1" showAll="0"/>
    <pivotField showAll="0"/>
    <pivotField showAll="0">
      <items count="9">
        <item x="6"/>
        <item x="2"/>
        <item x="0"/>
        <item x="3"/>
        <item x="7"/>
        <item x="1"/>
        <item x="4"/>
        <item x="5"/>
        <item t="default"/>
      </items>
    </pivotField>
    <pivotField showAll="0">
      <items count="3">
        <item x="1"/>
        <item x="0"/>
        <item t="default"/>
      </items>
    </pivotField>
    <pivotField showAll="0"/>
    <pivotField showAll="0"/>
    <pivotField showAll="0"/>
    <pivotField showAll="0"/>
    <pivotField showAll="0"/>
    <pivotField numFmtId="8"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 showAll="0"/>
    <pivotField showAll="0"/>
    <pivotField showAll="0"/>
    <pivotField axis="axisRow"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26"/>
  </rowFields>
  <rowItems count="5">
    <i>
      <x v="2"/>
    </i>
    <i>
      <x/>
    </i>
    <i>
      <x v="3"/>
    </i>
    <i>
      <x v="1"/>
    </i>
    <i t="grand">
      <x/>
    </i>
  </rowItems>
  <colItems count="1">
    <i/>
  </colItems>
  <dataFields count="1">
    <dataField name="Count of Customer_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0AA7E7-C258-4807-B8EC-641A5163A580}" name="Customer segmen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3:C12" firstHeaderRow="0" firstDataRow="1" firstDataCol="1"/>
  <pivotFields count="9">
    <pivotField dataField="1" showAll="0"/>
    <pivotField showAll="0"/>
    <pivotField showAll="0"/>
    <pivotField dataField="1" numFmtId="164" showAll="0"/>
    <pivotField showAll="0"/>
    <pivotField showAll="0"/>
    <pivotField showAll="0"/>
    <pivotField showAll="0"/>
    <pivotField axis="axisRow" showAll="0" sortType="ascending">
      <items count="9">
        <item x="1"/>
        <item x="7"/>
        <item x="0"/>
        <item x="6"/>
        <item x="5"/>
        <item x="3"/>
        <item x="4"/>
        <item x="2"/>
        <item t="default"/>
      </items>
      <autoSortScope>
        <pivotArea dataOnly="0" outline="0" fieldPosition="0">
          <references count="1">
            <reference field="4294967294" count="1" selected="0">
              <x v="0"/>
            </reference>
          </references>
        </pivotArea>
      </autoSortScope>
    </pivotField>
  </pivotFields>
  <rowFields count="1">
    <field x="8"/>
  </rowFields>
  <rowItems count="9">
    <i>
      <x v="1"/>
    </i>
    <i>
      <x v="3"/>
    </i>
    <i>
      <x v="4"/>
    </i>
    <i>
      <x v="5"/>
    </i>
    <i>
      <x v="6"/>
    </i>
    <i>
      <x/>
    </i>
    <i>
      <x v="7"/>
    </i>
    <i>
      <x v="2"/>
    </i>
    <i t="grand">
      <x/>
    </i>
  </rowItems>
  <colFields count="1">
    <field x="-2"/>
  </colFields>
  <colItems count="2">
    <i>
      <x/>
    </i>
    <i i="1">
      <x v="1"/>
    </i>
  </colItems>
  <dataFields count="2">
    <dataField name="Number of Customers" fld="0" subtotal="count" baseField="0" baseItem="0"/>
    <dataField name="Average of Monetary" fld="3" subtotal="average" baseField="8" baseItem="0" numFmtId="164"/>
  </dataFields>
  <chartFormats count="2">
    <chartFormat chart="6"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37D8B5-5CAB-49EC-91B3-4EB3A1FF85F0}" name="devic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22:G26" firstHeaderRow="1" firstDataRow="1" firstDataCol="1"/>
  <pivotFields count="29">
    <pivotField dataField="1" showAll="0"/>
    <pivotField showAll="0"/>
    <pivotField showAll="0">
      <items count="9">
        <item x="6"/>
        <item x="2"/>
        <item x="0"/>
        <item x="3"/>
        <item x="7"/>
        <item x="1"/>
        <item x="4"/>
        <item x="5"/>
        <item t="default"/>
      </items>
    </pivotField>
    <pivotField showAll="0">
      <items count="3">
        <item x="1"/>
        <item x="0"/>
        <item t="default"/>
      </items>
    </pivotField>
    <pivotField showAll="0"/>
    <pivotField showAll="0"/>
    <pivotField showAll="0"/>
    <pivotField showAll="0"/>
    <pivotField showAll="0"/>
    <pivotField numFmtId="8"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items count="6">
        <item x="4"/>
        <item x="0"/>
        <item x="2"/>
        <item x="3"/>
        <item x="1"/>
        <item t="default"/>
      </items>
    </pivotField>
    <pivotField numFmtId="14" showAll="0"/>
    <pivotField numFmtId="1" showAll="0"/>
    <pivotField showAll="0"/>
    <pivotField showAll="0"/>
    <pivotField showAll="0"/>
    <pivotField showAll="0"/>
    <pivotField showAll="0"/>
  </pivotFields>
  <rowFields count="1">
    <field x="20"/>
  </rowFields>
  <rowItems count="4">
    <i>
      <x/>
    </i>
    <i>
      <x v="1"/>
    </i>
    <i>
      <x v="2"/>
    </i>
    <i t="grand">
      <x/>
    </i>
  </rowItems>
  <colItems count="1">
    <i/>
  </colItems>
  <dataFields count="1">
    <dataField name="Count of Customer_ID" fld="0" subtotal="count" baseField="0" baseItem="0"/>
  </dataField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0" count="1" selected="0">
            <x v="0"/>
          </reference>
        </references>
      </pivotArea>
    </chartFormat>
    <chartFormat chart="3" format="3">
      <pivotArea type="data" outline="0" fieldPosition="0">
        <references count="2">
          <reference field="4294967294" count="1" selected="0">
            <x v="0"/>
          </reference>
          <reference field="20" count="1" selected="0">
            <x v="1"/>
          </reference>
        </references>
      </pivotArea>
    </chartFormat>
    <chartFormat chart="3" format="4">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238B60-7562-47E8-B2B0-53EC72729308}" name="Purchase_Channel"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6:G20" firstHeaderRow="1" firstDataRow="1" firstDataCol="1"/>
  <pivotFields count="29">
    <pivotField dataField="1" showAll="0"/>
    <pivotField showAll="0"/>
    <pivotField showAll="0">
      <items count="9">
        <item x="6"/>
        <item x="2"/>
        <item x="0"/>
        <item x="3"/>
        <item x="7"/>
        <item x="1"/>
        <item x="4"/>
        <item x="5"/>
        <item t="default"/>
      </items>
    </pivotField>
    <pivotField showAll="0">
      <items count="3">
        <item x="1"/>
        <item x="0"/>
        <item t="default"/>
      </items>
    </pivotField>
    <pivotField showAll="0"/>
    <pivotField showAll="0"/>
    <pivotField showAll="0"/>
    <pivotField showAll="0"/>
    <pivotField showAll="0"/>
    <pivotField numFmtId="8"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numFmtId="1"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Customer_ID" fld="0" subtotal="count" baseField="0"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1" count="1" selected="0">
            <x v="0"/>
          </reference>
        </references>
      </pivotArea>
    </chartFormat>
    <chartFormat chart="1" format="3">
      <pivotArea type="data" outline="0" fieldPosition="0">
        <references count="2">
          <reference field="4294967294" count="1" selected="0">
            <x v="0"/>
          </reference>
          <reference field="11" count="1" selected="0">
            <x v="1"/>
          </reference>
        </references>
      </pivotArea>
    </chartFormat>
    <chartFormat chart="1" format="4">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B35B0AB-ED33-4A92-916F-BBB2DEEDE6FC}" sourceName="Gender">
  <pivotTables>
    <pivotTable tabId="4" name="Purchase_Channel"/>
    <pivotTable tabId="4" name="device"/>
    <pivotTable tabId="4" name="intent"/>
    <pivotTable tabId="4" name="Revenue by category"/>
  </pivotTables>
  <data>
    <tabular pivotCacheId="1519239397">
      <items count="8">
        <i x="6" s="1"/>
        <i x="2" s="1"/>
        <i x="0" s="1"/>
        <i x="3" s="1"/>
        <i x="7" s="1"/>
        <i x="1"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 xr10:uid="{C574EE14-5D27-4E19-8A80-45CEAED3E441}" sourceName="Income_Level">
  <pivotTables>
    <pivotTable tabId="4" name="Purchase_Channel"/>
    <pivotTable tabId="4" name="device"/>
    <pivotTable tabId="4" name="intent"/>
    <pivotTable tabId="4" name="Revenue by category"/>
  </pivotTables>
  <data>
    <tabular pivotCacheId="151923939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1757A71-D02A-41D5-896D-D9709C07C5BF}" cache="Slicer_Gender" caption="Gender" startItem="2" style="SlicerStyleLight3" rowHeight="257175"/>
  <slicer name="Income_Level" xr10:uid="{F9AACC1F-F6C6-435D-A4F4-3816A2D8F01A}" cache="Slicer_Income_Level" caption="Income_Level" style="SlicerStyleLigh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C861F3-0BBC-4666-9BD8-CFDDB210C793}" name="DATASET" displayName="DATASET" ref="A1:AC1001" totalsRowShown="0">
  <autoFilter ref="A1:AC1001" xr:uid="{BCC861F3-0BBC-4666-9BD8-CFDDB210C793}"/>
  <tableColumns count="29">
    <tableColumn id="1" xr3:uid="{5A6FAC69-0AFE-4ABD-BED7-BAD0D90638D5}" name="Customer_ID"/>
    <tableColumn id="2" xr3:uid="{63682D7F-6C9D-4957-B5FB-A8A8B8D3D7CE}" name="Age"/>
    <tableColumn id="3" xr3:uid="{592EBE12-3167-4BCF-8E08-E3E772B48339}" name="Gender"/>
    <tableColumn id="4" xr3:uid="{7FCEE808-B033-4426-91D4-C13ACAD5F387}" name="Income_Level"/>
    <tableColumn id="5" xr3:uid="{4DEF4916-780A-42B6-8AC0-2ADEA06965AD}" name="Marital_Status"/>
    <tableColumn id="6" xr3:uid="{F3C9E3D3-1563-47BD-8592-4EA1A731BFD9}" name="Education_Level"/>
    <tableColumn id="7" xr3:uid="{DBADB453-5430-418A-A552-F86DB5D62716}" name="Occupation"/>
    <tableColumn id="8" xr3:uid="{194770EB-5D72-44CC-A214-A492343DFDC0}" name="Location"/>
    <tableColumn id="9" xr3:uid="{7CD7DFDC-B2FE-4A44-8059-1F1EF2B44B02}" name="Purchase_Category"/>
    <tableColumn id="10" xr3:uid="{86DD2A7F-E52B-4EE8-92F2-C0238EDFC7DA}" name="Purchase_Amount" dataDxfId="11"/>
    <tableColumn id="11" xr3:uid="{4A4FE07D-3F6C-442C-8899-9B8952F8FCAE}" name="Frequency_of_Purchase"/>
    <tableColumn id="12" xr3:uid="{B6329A6E-4BB8-46E9-A0D0-EBA674B5D2D6}" name="Purchase_Channel"/>
    <tableColumn id="13" xr3:uid="{91EA8091-BA4F-48FA-897A-1FCFC5EBEB65}" name="Brand_Loyalty"/>
    <tableColumn id="14" xr3:uid="{B66C1D14-F586-4278-87FA-5513F7D9C08F}" name="Product_Rating"/>
    <tableColumn id="15" xr3:uid="{6976501E-C018-4C8A-9CE3-D3441F63FF3B}" name="Time_Spent_on_Product_Research(hours)"/>
    <tableColumn id="16" xr3:uid="{7F58DC28-3212-4D93-98AD-F99B18B8BA72}" name="Social_Media_Influence"/>
    <tableColumn id="17" xr3:uid="{D293669E-FD8C-43A3-8AB4-D0C7A047B651}" name="Discount_Sensitivity"/>
    <tableColumn id="18" xr3:uid="{D7D18E17-776F-49BD-B640-299B117115CA}" name="Return_Rate"/>
    <tableColumn id="19" xr3:uid="{94D47163-F8A7-4D8A-9D7C-FE893BEC183D}" name="Customer_Satisfaction"/>
    <tableColumn id="20" xr3:uid="{9832641C-CE29-4071-BBEF-8E55C19FBA66}" name="Engagement_with_Ads"/>
    <tableColumn id="21" xr3:uid="{66B0D8CA-B48D-49D9-90D2-164554EC4B49}" name="Device_Used_for_Shopping"/>
    <tableColumn id="22" xr3:uid="{618D8D45-CC51-42AF-8985-6BF441D04D98}" name="Payment_Method"/>
    <tableColumn id="23" xr3:uid="{7168180D-7DA4-4AB9-AF5B-0560B753EDC7}" name="Time_of_Purchase" dataDxfId="10"/>
    <tableColumn id="30" xr3:uid="{742FBD2F-7636-4927-94E4-F33C2DAB4EE2}" name="Recency" dataDxfId="9">
      <calculatedColumnFormula>TODAY()-DATASET[[#This Row],[Time_of_Purchase]]</calculatedColumnFormula>
    </tableColumn>
    <tableColumn id="24" xr3:uid="{E546FA82-A26D-46F3-B67E-1F81771B87CE}" name="Discount_Used"/>
    <tableColumn id="25" xr3:uid="{EB5DBBA7-5099-4438-8986-B63EEA760D21}" name="Customer_Loyalty_Program_Member"/>
    <tableColumn id="26" xr3:uid="{272911B6-D651-4C50-ABCB-61077D1FBFAA}" name="Purchase_Intent"/>
    <tableColumn id="27" xr3:uid="{A95C793A-3EEE-4DE5-8977-010D74181544}" name="Shipping_Preference"/>
    <tableColumn id="28" xr3:uid="{2762FAF6-3707-47E7-99A2-8A99A84EB96A}" name="Time_to_Decis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1DAEAC-93D8-441C-87FC-69166C6FFEAE}" name="RFM" displayName="RFM" ref="A1:I1001" totalsRowShown="0" headerRowDxfId="17">
  <autoFilter ref="A1:I1001" xr:uid="{D71DAEAC-93D8-441C-87FC-69166C6FFEAE}"/>
  <tableColumns count="9">
    <tableColumn id="1" xr3:uid="{FEDEF966-966B-4427-8F8E-34DFE750CB99}" name="Customer_ID" dataDxfId="16"/>
    <tableColumn id="2" xr3:uid="{F6A1BBA4-0BF7-4904-A755-D3BE66078169}" name="Recency" dataDxfId="15"/>
    <tableColumn id="3" xr3:uid="{430B9455-C68F-4914-937B-2B3CD11B3524}" name="Frequency" dataDxfId="14"/>
    <tableColumn id="4" xr3:uid="{69618770-304E-4359-892E-0E51E06CAF04}" name="Monetary" dataDxfId="13"/>
    <tableColumn id="5" xr3:uid="{046FE3FF-54A3-4067-AAA9-3DDE93D56871}" name="R_Score">
      <calculatedColumnFormula>IF(B2 &lt;= _xlfn.PERCENTILE.INC($B$2:$B$1001, 0.2), 5,
 IF(B2 &lt;= _xlfn.PERCENTILE.INC($B$2:$B$1001, 0.4), 4,
 IF(B2 &lt;= _xlfn.PERCENTILE.INC($B$2:$B$1001, 0.6), 3,
 IF(B2 &lt;= _xlfn.PERCENTILE.INC($B$2:$B$1001, 0.8), 2, 1))))</calculatedColumnFormula>
    </tableColumn>
    <tableColumn id="6" xr3:uid="{9BB646FE-631B-46E8-BF71-C548290C3740}" name="F_Score">
      <calculatedColumnFormula>IF(C2 &gt;= _xlfn.PERCENTILE.INC($C$2:$C$1001, 0.8), 5,
 IF(C2 &gt;= _xlfn.PERCENTILE.INC($C$2:$C$1001, 0.6), 4,
 IF(C2 &gt;= _xlfn.PERCENTILE.INC($C$2:$C$1001, 0.4), 3,
 IF(C2 &gt;= _xlfn.PERCENTILE.INC($C$2:$C$1001, 0.2), 2, 1))))</calculatedColumnFormula>
    </tableColumn>
    <tableColumn id="7" xr3:uid="{C9C854CF-F0CC-4CB1-928F-C371B4821554}" name="M_Score">
      <calculatedColumnFormula>IF(D2 &gt;= _xlfn.PERCENTILE.INC($D$2:$D$1001, 0.8), 5,
 IF(D2 &gt;= _xlfn.PERCENTILE.INC($D$2:$D$1001, 0.6), 4,
 IF(D2 &gt;= _xlfn.PERCENTILE.INC($D$2:$D$1001, 0.4), 3,
 IF(D2 &gt;= _xlfn.PERCENTILE.INC($D$2:$D$1001, 0.2), 2, 1))))</calculatedColumnFormula>
    </tableColumn>
    <tableColumn id="8" xr3:uid="{F1791A2F-E464-4F1B-92DA-D1A202715AD8}" name="RFM_Score" dataDxfId="12">
      <calculatedColumnFormula>TEXT(E2,"0") &amp; TEXT(F2,"0") &amp; TEXT(G2,"0")</calculatedColumnFormula>
    </tableColumn>
    <tableColumn id="9" xr3:uid="{CEA9CC3C-FD25-4EF5-A8EB-59E6F8EFEE44}" name="Customer_Segments">
      <calculatedColumnFormula>IF(AND(E2&gt;=4, F2&gt;=4, G2&gt;=4), "Champion",
 IF(AND(F2&gt;=4, G2&gt;=4), "Loyal Customer",
 IF(AND(E2&gt;=4, F2&gt;=3), "Potential Loyalist",
 IF(G2&gt;=4, "Big Spender",
 IF(AND(E2&lt;=2, F2&lt;=2), "At Risk",
 IF(E2&lt;=2, "About To Sleep",
 IF(AND(F2&lt;=2, G2&lt;=2), "Lost Customer", "Others")))))))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ED7A2D-DE56-4A75-A586-19EE888A9F94}" name="Table2" displayName="Table2" ref="A2:F5" totalsRowShown="0" headerRowDxfId="8" dataDxfId="7">
  <autoFilter ref="A2:F5" xr:uid="{F4ED7A2D-DE56-4A75-A586-19EE888A9F94}"/>
  <tableColumns count="6">
    <tableColumn id="1" xr3:uid="{15789210-9A8D-4560-A0E1-B41BD9F3D9F1}" name="Metric" dataDxfId="6"/>
    <tableColumn id="2" xr3:uid="{B98686F5-8C07-4E3E-90DE-194CBA9343C8}" name="20th %ile" dataDxfId="5"/>
    <tableColumn id="3" xr3:uid="{BBBFC30E-D3E2-4B46-97E8-9059D9E965CA}" name="40th %ile" dataDxfId="4"/>
    <tableColumn id="4" xr3:uid="{9B23AD3F-67C6-48FB-9DFD-14C96C349E69}" name="60th %ile" dataDxfId="3"/>
    <tableColumn id="5" xr3:uid="{2C62A16E-5148-46D0-9A9B-5D481B271036}" name="80th %ile" dataDxfId="2"/>
    <tableColumn id="6" xr3:uid="{E63FC8D0-BA43-4CEC-B76B-D7543CEF96C8}" name="Meaning" dataDxfId="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0F2E-A41F-414C-A076-BFBC7C24F586}">
  <dimension ref="A1:AC1003"/>
  <sheetViews>
    <sheetView topLeftCell="M990" workbookViewId="0">
      <selection activeCell="S1003" sqref="S1003"/>
    </sheetView>
  </sheetViews>
  <sheetFormatPr defaultRowHeight="15" x14ac:dyDescent="0.25"/>
  <cols>
    <col min="1" max="1" width="15" customWidth="1"/>
    <col min="3" max="3" width="9.85546875" customWidth="1"/>
    <col min="4" max="4" width="15.5703125" customWidth="1"/>
    <col min="5" max="5" width="15.85546875" customWidth="1"/>
    <col min="6" max="6" width="17.85546875" customWidth="1"/>
    <col min="7" max="7" width="13.42578125" customWidth="1"/>
    <col min="8" max="8" width="10.85546875" customWidth="1"/>
    <col min="9" max="9" width="20.42578125" customWidth="1"/>
    <col min="10" max="10" width="19.28515625" customWidth="1"/>
    <col min="11" max="11" width="24.42578125" customWidth="1"/>
    <col min="12" max="12" width="19.85546875" customWidth="1"/>
    <col min="13" max="13" width="15.5703125" customWidth="1"/>
    <col min="14" max="14" width="16.7109375" customWidth="1"/>
    <col min="15" max="15" width="40.5703125" customWidth="1"/>
    <col min="16" max="16" width="24.28515625" customWidth="1"/>
    <col min="17" max="17" width="21.7109375" customWidth="1"/>
    <col min="18" max="18" width="14.28515625" customWidth="1"/>
    <col min="19" max="19" width="23.7109375" customWidth="1"/>
    <col min="20" max="20" width="23.140625" customWidth="1"/>
    <col min="21" max="21" width="27.5703125" customWidth="1"/>
    <col min="22" max="22" width="18.7109375" customWidth="1"/>
    <col min="23" max="23" width="19.42578125" customWidth="1"/>
    <col min="24" max="24" width="19.42578125" style="4" customWidth="1"/>
    <col min="25" max="25" width="16.7109375" customWidth="1"/>
    <col min="26" max="26" width="36" customWidth="1"/>
    <col min="27" max="27" width="17.7109375" customWidth="1"/>
    <col min="28" max="28" width="21.85546875" customWidth="1"/>
    <col min="29" max="29" width="19.140625" customWidth="1"/>
  </cols>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s="4" t="s">
        <v>2062</v>
      </c>
      <c r="Y1" t="s">
        <v>23</v>
      </c>
      <c r="Z1" t="s">
        <v>24</v>
      </c>
      <c r="AA1" t="s">
        <v>25</v>
      </c>
      <c r="AB1" t="s">
        <v>26</v>
      </c>
      <c r="AC1" t="s">
        <v>27</v>
      </c>
    </row>
    <row r="2" spans="1:29" x14ac:dyDescent="0.25">
      <c r="A2" t="s">
        <v>28</v>
      </c>
      <c r="B2">
        <v>22</v>
      </c>
      <c r="C2" t="s">
        <v>29</v>
      </c>
      <c r="D2" t="s">
        <v>30</v>
      </c>
      <c r="E2" t="s">
        <v>31</v>
      </c>
      <c r="F2" t="s">
        <v>32</v>
      </c>
      <c r="G2" t="s">
        <v>30</v>
      </c>
      <c r="H2" t="s">
        <v>33</v>
      </c>
      <c r="I2" t="s">
        <v>34</v>
      </c>
      <c r="J2" s="1">
        <v>333.8</v>
      </c>
      <c r="K2">
        <v>4</v>
      </c>
      <c r="L2" t="s">
        <v>35</v>
      </c>
      <c r="M2">
        <v>5</v>
      </c>
      <c r="N2">
        <v>5</v>
      </c>
      <c r="O2">
        <v>2</v>
      </c>
      <c r="P2" t="s">
        <v>36</v>
      </c>
      <c r="Q2" t="s">
        <v>37</v>
      </c>
      <c r="R2">
        <v>1</v>
      </c>
      <c r="S2">
        <v>7</v>
      </c>
      <c r="T2" t="s">
        <v>36</v>
      </c>
      <c r="U2" t="s">
        <v>38</v>
      </c>
      <c r="V2" t="s">
        <v>39</v>
      </c>
      <c r="W2" s="2">
        <v>45352</v>
      </c>
      <c r="X2" s="4">
        <f ca="1">TODAY()-DATASET[[#This Row],[Time_of_Purchase]]</f>
        <v>782</v>
      </c>
      <c r="Y2" t="b">
        <v>1</v>
      </c>
      <c r="Z2" t="b">
        <v>0</v>
      </c>
      <c r="AA2" t="s">
        <v>40</v>
      </c>
      <c r="AB2" t="s">
        <v>41</v>
      </c>
      <c r="AC2">
        <v>2</v>
      </c>
    </row>
    <row r="3" spans="1:29" x14ac:dyDescent="0.25">
      <c r="A3" t="s">
        <v>42</v>
      </c>
      <c r="B3">
        <v>49</v>
      </c>
      <c r="C3" t="s">
        <v>43</v>
      </c>
      <c r="D3" t="s">
        <v>44</v>
      </c>
      <c r="E3" t="s">
        <v>31</v>
      </c>
      <c r="F3" t="s">
        <v>45</v>
      </c>
      <c r="G3" t="s">
        <v>44</v>
      </c>
      <c r="H3" t="s">
        <v>46</v>
      </c>
      <c r="I3" t="s">
        <v>47</v>
      </c>
      <c r="J3" s="1">
        <v>222.22</v>
      </c>
      <c r="K3">
        <v>11</v>
      </c>
      <c r="L3" t="s">
        <v>48</v>
      </c>
      <c r="M3">
        <v>3</v>
      </c>
      <c r="N3">
        <v>1</v>
      </c>
      <c r="O3">
        <v>2</v>
      </c>
      <c r="P3" t="s">
        <v>49</v>
      </c>
      <c r="Q3" t="s">
        <v>50</v>
      </c>
      <c r="R3">
        <v>1</v>
      </c>
      <c r="S3">
        <v>5</v>
      </c>
      <c r="T3" t="s">
        <v>44</v>
      </c>
      <c r="U3" t="s">
        <v>38</v>
      </c>
      <c r="V3" t="s">
        <v>51</v>
      </c>
      <c r="W3" s="2">
        <v>45398</v>
      </c>
      <c r="X3" s="4">
        <f ca="1">TODAY()-DATASET[[#This Row],[Time_of_Purchase]]</f>
        <v>736</v>
      </c>
      <c r="Y3" t="b">
        <v>1</v>
      </c>
      <c r="Z3" t="b">
        <v>0</v>
      </c>
      <c r="AA3" t="s">
        <v>52</v>
      </c>
      <c r="AB3" t="s">
        <v>53</v>
      </c>
      <c r="AC3">
        <v>6</v>
      </c>
    </row>
    <row r="4" spans="1:29" x14ac:dyDescent="0.25">
      <c r="A4" t="s">
        <v>54</v>
      </c>
      <c r="B4">
        <v>24</v>
      </c>
      <c r="C4" t="s">
        <v>29</v>
      </c>
      <c r="D4" t="s">
        <v>30</v>
      </c>
      <c r="E4" t="s">
        <v>55</v>
      </c>
      <c r="F4" t="s">
        <v>56</v>
      </c>
      <c r="G4" t="s">
        <v>44</v>
      </c>
      <c r="H4" t="s">
        <v>57</v>
      </c>
      <c r="I4" t="s">
        <v>58</v>
      </c>
      <c r="J4" s="1">
        <v>426.22</v>
      </c>
      <c r="K4">
        <v>2</v>
      </c>
      <c r="L4" t="s">
        <v>35</v>
      </c>
      <c r="M4">
        <v>5</v>
      </c>
      <c r="N4">
        <v>5</v>
      </c>
      <c r="O4">
        <v>0.3</v>
      </c>
      <c r="P4" t="s">
        <v>59</v>
      </c>
      <c r="Q4" t="s">
        <v>50</v>
      </c>
      <c r="R4">
        <v>1</v>
      </c>
      <c r="S4">
        <v>7</v>
      </c>
      <c r="T4" t="s">
        <v>59</v>
      </c>
      <c r="U4" t="s">
        <v>60</v>
      </c>
      <c r="V4" t="s">
        <v>61</v>
      </c>
      <c r="W4" s="2">
        <v>45366</v>
      </c>
      <c r="X4" s="4">
        <f ca="1">TODAY()-DATASET[[#This Row],[Time_of_Purchase]]</f>
        <v>768</v>
      </c>
      <c r="Y4" t="b">
        <v>1</v>
      </c>
      <c r="Z4" t="b">
        <v>1</v>
      </c>
      <c r="AA4" t="s">
        <v>62</v>
      </c>
      <c r="AB4" t="s">
        <v>41</v>
      </c>
      <c r="AC4">
        <v>3</v>
      </c>
    </row>
    <row r="5" spans="1:29" x14ac:dyDescent="0.25">
      <c r="A5" t="s">
        <v>63</v>
      </c>
      <c r="B5">
        <v>29</v>
      </c>
      <c r="C5" t="s">
        <v>29</v>
      </c>
      <c r="D5" t="s">
        <v>30</v>
      </c>
      <c r="E5" t="s">
        <v>55</v>
      </c>
      <c r="F5" t="s">
        <v>56</v>
      </c>
      <c r="G5" t="s">
        <v>30</v>
      </c>
      <c r="H5" t="s">
        <v>64</v>
      </c>
      <c r="I5" t="s">
        <v>65</v>
      </c>
      <c r="J5" s="1">
        <v>101.31</v>
      </c>
      <c r="K5">
        <v>6</v>
      </c>
      <c r="L5" t="s">
        <v>35</v>
      </c>
      <c r="M5">
        <v>3</v>
      </c>
      <c r="N5">
        <v>1</v>
      </c>
      <c r="O5">
        <v>1</v>
      </c>
      <c r="P5" t="s">
        <v>44</v>
      </c>
      <c r="Q5" t="s">
        <v>37</v>
      </c>
      <c r="R5">
        <v>0</v>
      </c>
      <c r="S5">
        <v>1</v>
      </c>
      <c r="T5" t="s">
        <v>36</v>
      </c>
      <c r="U5" t="s">
        <v>60</v>
      </c>
      <c r="V5" t="s">
        <v>66</v>
      </c>
      <c r="W5" s="2">
        <v>45569</v>
      </c>
      <c r="X5" s="4">
        <f ca="1">TODAY()-DATASET[[#This Row],[Time_of_Purchase]]</f>
        <v>565</v>
      </c>
      <c r="Y5" t="b">
        <v>1</v>
      </c>
      <c r="Z5" t="b">
        <v>1</v>
      </c>
      <c r="AA5" t="s">
        <v>40</v>
      </c>
      <c r="AB5" t="s">
        <v>67</v>
      </c>
      <c r="AC5">
        <v>10</v>
      </c>
    </row>
    <row r="6" spans="1:29" x14ac:dyDescent="0.25">
      <c r="A6" t="s">
        <v>68</v>
      </c>
      <c r="B6">
        <v>33</v>
      </c>
      <c r="C6" t="s">
        <v>29</v>
      </c>
      <c r="D6" t="s">
        <v>30</v>
      </c>
      <c r="E6" t="s">
        <v>69</v>
      </c>
      <c r="F6" t="s">
        <v>45</v>
      </c>
      <c r="G6" t="s">
        <v>30</v>
      </c>
      <c r="H6" t="s">
        <v>70</v>
      </c>
      <c r="I6" t="s">
        <v>71</v>
      </c>
      <c r="J6" s="1">
        <v>211.7</v>
      </c>
      <c r="K6">
        <v>6</v>
      </c>
      <c r="L6" t="s">
        <v>35</v>
      </c>
      <c r="M6">
        <v>3</v>
      </c>
      <c r="N6">
        <v>4</v>
      </c>
      <c r="O6">
        <v>0</v>
      </c>
      <c r="P6" t="s">
        <v>49</v>
      </c>
      <c r="Q6" t="s">
        <v>50</v>
      </c>
      <c r="R6">
        <v>2</v>
      </c>
      <c r="S6">
        <v>10</v>
      </c>
      <c r="T6" t="s">
        <v>36</v>
      </c>
      <c r="U6" t="s">
        <v>60</v>
      </c>
      <c r="V6" t="s">
        <v>61</v>
      </c>
      <c r="W6" s="2">
        <v>45321</v>
      </c>
      <c r="X6" s="4">
        <f ca="1">TODAY()-DATASET[[#This Row],[Time_of_Purchase]]</f>
        <v>813</v>
      </c>
      <c r="Y6" t="b">
        <v>0</v>
      </c>
      <c r="Z6" t="b">
        <v>0</v>
      </c>
      <c r="AA6" t="s">
        <v>52</v>
      </c>
      <c r="AB6" t="s">
        <v>41</v>
      </c>
      <c r="AC6">
        <v>4</v>
      </c>
    </row>
    <row r="7" spans="1:29" x14ac:dyDescent="0.25">
      <c r="A7" t="s">
        <v>72</v>
      </c>
      <c r="B7">
        <v>45</v>
      </c>
      <c r="C7" t="s">
        <v>43</v>
      </c>
      <c r="D7" t="s">
        <v>30</v>
      </c>
      <c r="E7" t="s">
        <v>31</v>
      </c>
      <c r="F7" t="s">
        <v>56</v>
      </c>
      <c r="G7" t="s">
        <v>44</v>
      </c>
      <c r="H7" t="s">
        <v>73</v>
      </c>
      <c r="I7" t="s">
        <v>58</v>
      </c>
      <c r="J7" s="1">
        <v>487.95</v>
      </c>
      <c r="K7">
        <v>8</v>
      </c>
      <c r="L7" t="s">
        <v>35</v>
      </c>
      <c r="M7">
        <v>3</v>
      </c>
      <c r="N7">
        <v>3</v>
      </c>
      <c r="O7">
        <v>0</v>
      </c>
      <c r="P7" t="s">
        <v>44</v>
      </c>
      <c r="Q7" t="s">
        <v>50</v>
      </c>
      <c r="R7">
        <v>2</v>
      </c>
      <c r="S7">
        <v>3</v>
      </c>
      <c r="T7" t="s">
        <v>36</v>
      </c>
      <c r="U7" t="s">
        <v>38</v>
      </c>
      <c r="V7" t="s">
        <v>61</v>
      </c>
      <c r="W7" s="2">
        <v>45370</v>
      </c>
      <c r="X7" s="4">
        <f ca="1">TODAY()-DATASET[[#This Row],[Time_of_Purchase]]</f>
        <v>764</v>
      </c>
      <c r="Y7" t="b">
        <v>0</v>
      </c>
      <c r="Z7" t="b">
        <v>0</v>
      </c>
      <c r="AA7" t="s">
        <v>74</v>
      </c>
      <c r="AB7" t="s">
        <v>41</v>
      </c>
      <c r="AC7">
        <v>7</v>
      </c>
    </row>
    <row r="8" spans="1:29" x14ac:dyDescent="0.25">
      <c r="A8" t="s">
        <v>75</v>
      </c>
      <c r="B8">
        <v>21</v>
      </c>
      <c r="C8" t="s">
        <v>29</v>
      </c>
      <c r="D8" t="s">
        <v>30</v>
      </c>
      <c r="E8" t="s">
        <v>76</v>
      </c>
      <c r="F8" t="s">
        <v>45</v>
      </c>
      <c r="G8" t="s">
        <v>30</v>
      </c>
      <c r="H8" t="s">
        <v>77</v>
      </c>
      <c r="I8" t="s">
        <v>71</v>
      </c>
      <c r="J8" s="1">
        <v>486.4</v>
      </c>
      <c r="K8">
        <v>12</v>
      </c>
      <c r="L8" t="s">
        <v>78</v>
      </c>
      <c r="M8">
        <v>2</v>
      </c>
      <c r="N8">
        <v>5</v>
      </c>
      <c r="O8">
        <v>1</v>
      </c>
      <c r="P8" t="s">
        <v>44</v>
      </c>
      <c r="Q8" t="s">
        <v>37</v>
      </c>
      <c r="R8">
        <v>0</v>
      </c>
      <c r="S8">
        <v>9</v>
      </c>
      <c r="T8" t="s">
        <v>59</v>
      </c>
      <c r="U8" t="s">
        <v>79</v>
      </c>
      <c r="V8" t="s">
        <v>61</v>
      </c>
      <c r="W8" s="2">
        <v>45366</v>
      </c>
      <c r="X8" s="4">
        <f ca="1">TODAY()-DATASET[[#This Row],[Time_of_Purchase]]</f>
        <v>768</v>
      </c>
      <c r="Y8" t="b">
        <v>1</v>
      </c>
      <c r="Z8" t="b">
        <v>0</v>
      </c>
      <c r="AA8" t="s">
        <v>40</v>
      </c>
      <c r="AB8" t="s">
        <v>67</v>
      </c>
      <c r="AC8">
        <v>13</v>
      </c>
    </row>
    <row r="9" spans="1:29" x14ac:dyDescent="0.25">
      <c r="A9" t="s">
        <v>80</v>
      </c>
      <c r="B9">
        <v>39</v>
      </c>
      <c r="C9" t="s">
        <v>43</v>
      </c>
      <c r="D9" t="s">
        <v>30</v>
      </c>
      <c r="E9" t="s">
        <v>55</v>
      </c>
      <c r="F9" t="s">
        <v>45</v>
      </c>
      <c r="G9" t="s">
        <v>30</v>
      </c>
      <c r="H9" t="s">
        <v>81</v>
      </c>
      <c r="I9" t="s">
        <v>82</v>
      </c>
      <c r="J9" s="1">
        <v>218.06</v>
      </c>
      <c r="K9">
        <v>6</v>
      </c>
      <c r="L9" t="s">
        <v>78</v>
      </c>
      <c r="M9">
        <v>5</v>
      </c>
      <c r="N9">
        <v>4</v>
      </c>
      <c r="O9">
        <v>1</v>
      </c>
      <c r="P9" t="s">
        <v>59</v>
      </c>
      <c r="Q9" t="s">
        <v>37</v>
      </c>
      <c r="R9">
        <v>2</v>
      </c>
      <c r="S9">
        <v>9</v>
      </c>
      <c r="T9" t="s">
        <v>36</v>
      </c>
      <c r="U9" t="s">
        <v>79</v>
      </c>
      <c r="V9" t="s">
        <v>39</v>
      </c>
      <c r="W9" s="2">
        <v>45368</v>
      </c>
      <c r="X9" s="4">
        <f ca="1">TODAY()-DATASET[[#This Row],[Time_of_Purchase]]</f>
        <v>766</v>
      </c>
      <c r="Y9" t="b">
        <v>0</v>
      </c>
      <c r="Z9" t="b">
        <v>1</v>
      </c>
      <c r="AA9" t="s">
        <v>62</v>
      </c>
      <c r="AB9" t="s">
        <v>41</v>
      </c>
      <c r="AC9">
        <v>13</v>
      </c>
    </row>
    <row r="10" spans="1:29" x14ac:dyDescent="0.25">
      <c r="A10" t="s">
        <v>83</v>
      </c>
      <c r="B10">
        <v>24</v>
      </c>
      <c r="C10" t="s">
        <v>29</v>
      </c>
      <c r="D10" t="s">
        <v>44</v>
      </c>
      <c r="E10" t="s">
        <v>76</v>
      </c>
      <c r="F10" t="s">
        <v>56</v>
      </c>
      <c r="G10" t="s">
        <v>30</v>
      </c>
      <c r="H10" t="s">
        <v>84</v>
      </c>
      <c r="I10" t="s">
        <v>58</v>
      </c>
      <c r="J10" s="1">
        <v>201.96</v>
      </c>
      <c r="K10">
        <v>8</v>
      </c>
      <c r="L10" t="s">
        <v>48</v>
      </c>
      <c r="M10">
        <v>3</v>
      </c>
      <c r="N10">
        <v>5</v>
      </c>
      <c r="O10">
        <v>0</v>
      </c>
      <c r="P10" t="s">
        <v>59</v>
      </c>
      <c r="Q10" t="s">
        <v>85</v>
      </c>
      <c r="R10">
        <v>1</v>
      </c>
      <c r="S10">
        <v>2</v>
      </c>
      <c r="T10" t="s">
        <v>44</v>
      </c>
      <c r="U10" t="s">
        <v>79</v>
      </c>
      <c r="V10" t="s">
        <v>86</v>
      </c>
      <c r="W10" s="2">
        <v>45453</v>
      </c>
      <c r="X10" s="4">
        <f ca="1">TODAY()-DATASET[[#This Row],[Time_of_Purchase]]</f>
        <v>681</v>
      </c>
      <c r="Y10" t="b">
        <v>0</v>
      </c>
      <c r="Z10" t="b">
        <v>0</v>
      </c>
      <c r="AA10" t="s">
        <v>40</v>
      </c>
      <c r="AB10" t="s">
        <v>53</v>
      </c>
      <c r="AC10">
        <v>7</v>
      </c>
    </row>
    <row r="11" spans="1:29" x14ac:dyDescent="0.25">
      <c r="A11" t="s">
        <v>87</v>
      </c>
      <c r="B11">
        <v>25</v>
      </c>
      <c r="C11" t="s">
        <v>88</v>
      </c>
      <c r="D11" t="s">
        <v>44</v>
      </c>
      <c r="E11" t="s">
        <v>31</v>
      </c>
      <c r="F11" t="s">
        <v>32</v>
      </c>
      <c r="G11" t="s">
        <v>44</v>
      </c>
      <c r="H11" t="s">
        <v>89</v>
      </c>
      <c r="I11" t="s">
        <v>90</v>
      </c>
      <c r="J11" s="1">
        <v>418.83</v>
      </c>
      <c r="K11">
        <v>7</v>
      </c>
      <c r="L11" t="s">
        <v>78</v>
      </c>
      <c r="M11">
        <v>2</v>
      </c>
      <c r="N11">
        <v>5</v>
      </c>
      <c r="O11">
        <v>1</v>
      </c>
      <c r="P11" t="s">
        <v>36</v>
      </c>
      <c r="Q11" t="s">
        <v>37</v>
      </c>
      <c r="R11">
        <v>1</v>
      </c>
      <c r="S11">
        <v>5</v>
      </c>
      <c r="T11" t="s">
        <v>49</v>
      </c>
      <c r="U11" t="s">
        <v>38</v>
      </c>
      <c r="V11" t="s">
        <v>51</v>
      </c>
      <c r="W11" s="2">
        <v>45572</v>
      </c>
      <c r="X11" s="4">
        <f ca="1">TODAY()-DATASET[[#This Row],[Time_of_Purchase]]</f>
        <v>562</v>
      </c>
      <c r="Y11" t="b">
        <v>1</v>
      </c>
      <c r="Z11" t="b">
        <v>0</v>
      </c>
      <c r="AA11" t="s">
        <v>40</v>
      </c>
      <c r="AB11" t="s">
        <v>41</v>
      </c>
      <c r="AC11">
        <v>13</v>
      </c>
    </row>
    <row r="12" spans="1:29" x14ac:dyDescent="0.25">
      <c r="A12" t="s">
        <v>91</v>
      </c>
      <c r="B12">
        <v>33</v>
      </c>
      <c r="C12" t="s">
        <v>43</v>
      </c>
      <c r="D12" t="s">
        <v>30</v>
      </c>
      <c r="E12" t="s">
        <v>76</v>
      </c>
      <c r="F12" t="s">
        <v>32</v>
      </c>
      <c r="G12" t="s">
        <v>30</v>
      </c>
      <c r="H12" t="s">
        <v>92</v>
      </c>
      <c r="I12" t="s">
        <v>93</v>
      </c>
      <c r="J12" s="1">
        <v>389.7</v>
      </c>
      <c r="K12">
        <v>12</v>
      </c>
      <c r="L12" t="s">
        <v>48</v>
      </c>
      <c r="M12">
        <v>1</v>
      </c>
      <c r="N12">
        <v>4</v>
      </c>
      <c r="O12">
        <v>0.5</v>
      </c>
      <c r="P12" t="s">
        <v>59</v>
      </c>
      <c r="Q12" t="s">
        <v>50</v>
      </c>
      <c r="R12">
        <v>0</v>
      </c>
      <c r="S12">
        <v>4</v>
      </c>
      <c r="T12" t="s">
        <v>44</v>
      </c>
      <c r="U12" t="s">
        <v>79</v>
      </c>
      <c r="V12" t="s">
        <v>51</v>
      </c>
      <c r="W12" s="2">
        <v>45475</v>
      </c>
      <c r="X12" s="4">
        <f ca="1">TODAY()-DATASET[[#This Row],[Time_of_Purchase]]</f>
        <v>659</v>
      </c>
      <c r="Y12" t="b">
        <v>1</v>
      </c>
      <c r="Z12" t="b">
        <v>0</v>
      </c>
      <c r="AA12" t="s">
        <v>74</v>
      </c>
      <c r="AB12" t="s">
        <v>67</v>
      </c>
      <c r="AC12">
        <v>12</v>
      </c>
    </row>
    <row r="13" spans="1:29" x14ac:dyDescent="0.25">
      <c r="A13" t="s">
        <v>94</v>
      </c>
      <c r="B13">
        <v>38</v>
      </c>
      <c r="C13" t="s">
        <v>29</v>
      </c>
      <c r="D13" t="s">
        <v>44</v>
      </c>
      <c r="E13" t="s">
        <v>69</v>
      </c>
      <c r="F13" t="s">
        <v>32</v>
      </c>
      <c r="G13" t="s">
        <v>30</v>
      </c>
      <c r="H13" t="s">
        <v>95</v>
      </c>
      <c r="I13" t="s">
        <v>90</v>
      </c>
      <c r="J13" s="1">
        <v>238.93</v>
      </c>
      <c r="K13">
        <v>5</v>
      </c>
      <c r="L13" t="s">
        <v>78</v>
      </c>
      <c r="M13">
        <v>4</v>
      </c>
      <c r="N13">
        <v>3</v>
      </c>
      <c r="O13">
        <v>1</v>
      </c>
      <c r="P13" t="s">
        <v>49</v>
      </c>
      <c r="Q13" t="s">
        <v>85</v>
      </c>
      <c r="R13">
        <v>0</v>
      </c>
      <c r="S13">
        <v>10</v>
      </c>
      <c r="T13" t="s">
        <v>44</v>
      </c>
      <c r="U13" t="s">
        <v>38</v>
      </c>
      <c r="V13" t="s">
        <v>86</v>
      </c>
      <c r="W13" s="2">
        <v>45653</v>
      </c>
      <c r="X13" s="4">
        <f ca="1">TODAY()-DATASET[[#This Row],[Time_of_Purchase]]</f>
        <v>481</v>
      </c>
      <c r="Y13" t="b">
        <v>1</v>
      </c>
      <c r="Z13" t="b">
        <v>0</v>
      </c>
      <c r="AA13" t="s">
        <v>74</v>
      </c>
      <c r="AB13" t="s">
        <v>41</v>
      </c>
      <c r="AC13">
        <v>1</v>
      </c>
    </row>
    <row r="14" spans="1:29" x14ac:dyDescent="0.25">
      <c r="A14" t="s">
        <v>96</v>
      </c>
      <c r="B14">
        <v>34</v>
      </c>
      <c r="C14" t="s">
        <v>43</v>
      </c>
      <c r="D14" t="s">
        <v>30</v>
      </c>
      <c r="E14" t="s">
        <v>55</v>
      </c>
      <c r="F14" t="s">
        <v>32</v>
      </c>
      <c r="G14" t="s">
        <v>44</v>
      </c>
      <c r="H14" t="s">
        <v>97</v>
      </c>
      <c r="I14" t="s">
        <v>98</v>
      </c>
      <c r="J14" s="1">
        <v>61.22</v>
      </c>
      <c r="K14">
        <v>7</v>
      </c>
      <c r="L14" t="s">
        <v>48</v>
      </c>
      <c r="M14">
        <v>5</v>
      </c>
      <c r="N14">
        <v>2</v>
      </c>
      <c r="O14">
        <v>2</v>
      </c>
      <c r="P14" t="s">
        <v>59</v>
      </c>
      <c r="Q14" t="s">
        <v>85</v>
      </c>
      <c r="R14">
        <v>1</v>
      </c>
      <c r="S14">
        <v>7</v>
      </c>
      <c r="T14" t="s">
        <v>44</v>
      </c>
      <c r="U14" t="s">
        <v>79</v>
      </c>
      <c r="V14" t="s">
        <v>61</v>
      </c>
      <c r="W14" s="2">
        <v>45509</v>
      </c>
      <c r="X14" s="4">
        <f ca="1">TODAY()-DATASET[[#This Row],[Time_of_Purchase]]</f>
        <v>625</v>
      </c>
      <c r="Y14" t="b">
        <v>1</v>
      </c>
      <c r="Z14" t="b">
        <v>1</v>
      </c>
      <c r="AA14" t="s">
        <v>40</v>
      </c>
      <c r="AB14" t="s">
        <v>41</v>
      </c>
      <c r="AC14">
        <v>5</v>
      </c>
    </row>
    <row r="15" spans="1:29" x14ac:dyDescent="0.25">
      <c r="A15" t="s">
        <v>99</v>
      </c>
      <c r="B15">
        <v>32</v>
      </c>
      <c r="C15" t="s">
        <v>43</v>
      </c>
      <c r="D15" t="s">
        <v>44</v>
      </c>
      <c r="E15" t="s">
        <v>31</v>
      </c>
      <c r="F15" t="s">
        <v>45</v>
      </c>
      <c r="G15" t="s">
        <v>30</v>
      </c>
      <c r="H15" t="s">
        <v>100</v>
      </c>
      <c r="I15" t="s">
        <v>101</v>
      </c>
      <c r="J15" s="1">
        <v>79.81</v>
      </c>
      <c r="K15">
        <v>4</v>
      </c>
      <c r="L15" t="s">
        <v>35</v>
      </c>
      <c r="M15">
        <v>5</v>
      </c>
      <c r="N15">
        <v>5</v>
      </c>
      <c r="O15">
        <v>0</v>
      </c>
      <c r="P15" t="s">
        <v>44</v>
      </c>
      <c r="Q15" t="s">
        <v>50</v>
      </c>
      <c r="R15">
        <v>0</v>
      </c>
      <c r="S15">
        <v>9</v>
      </c>
      <c r="T15" t="s">
        <v>44</v>
      </c>
      <c r="U15" t="s">
        <v>60</v>
      </c>
      <c r="V15" t="s">
        <v>61</v>
      </c>
      <c r="W15" s="2">
        <v>45489</v>
      </c>
      <c r="X15" s="4">
        <f ca="1">TODAY()-DATASET[[#This Row],[Time_of_Purchase]]</f>
        <v>645</v>
      </c>
      <c r="Y15" t="b">
        <v>0</v>
      </c>
      <c r="Z15" t="b">
        <v>1</v>
      </c>
      <c r="AA15" t="s">
        <v>52</v>
      </c>
      <c r="AB15" t="s">
        <v>53</v>
      </c>
      <c r="AC15">
        <v>14</v>
      </c>
    </row>
    <row r="16" spans="1:29" x14ac:dyDescent="0.25">
      <c r="A16" t="s">
        <v>102</v>
      </c>
      <c r="B16">
        <v>30</v>
      </c>
      <c r="C16" t="s">
        <v>29</v>
      </c>
      <c r="D16" t="s">
        <v>44</v>
      </c>
      <c r="E16" t="s">
        <v>69</v>
      </c>
      <c r="F16" t="s">
        <v>45</v>
      </c>
      <c r="G16" t="s">
        <v>44</v>
      </c>
      <c r="H16" t="s">
        <v>103</v>
      </c>
      <c r="I16" t="s">
        <v>104</v>
      </c>
      <c r="J16" s="1">
        <v>58.51</v>
      </c>
      <c r="K16">
        <v>2</v>
      </c>
      <c r="L16" t="s">
        <v>78</v>
      </c>
      <c r="M16">
        <v>4</v>
      </c>
      <c r="N16">
        <v>4</v>
      </c>
      <c r="O16">
        <v>0.5</v>
      </c>
      <c r="P16" t="s">
        <v>36</v>
      </c>
      <c r="Q16" t="s">
        <v>50</v>
      </c>
      <c r="R16">
        <v>0</v>
      </c>
      <c r="S16">
        <v>4</v>
      </c>
      <c r="T16" t="s">
        <v>49</v>
      </c>
      <c r="U16" t="s">
        <v>79</v>
      </c>
      <c r="V16" t="s">
        <v>51</v>
      </c>
      <c r="W16" s="2">
        <v>45640</v>
      </c>
      <c r="X16" s="4">
        <f ca="1">TODAY()-DATASET[[#This Row],[Time_of_Purchase]]</f>
        <v>494</v>
      </c>
      <c r="Y16" t="b">
        <v>1</v>
      </c>
      <c r="Z16" t="b">
        <v>1</v>
      </c>
      <c r="AA16" t="s">
        <v>74</v>
      </c>
      <c r="AB16" t="s">
        <v>41</v>
      </c>
      <c r="AC16">
        <v>14</v>
      </c>
    </row>
    <row r="17" spans="1:29" x14ac:dyDescent="0.25">
      <c r="A17" t="s">
        <v>105</v>
      </c>
      <c r="B17">
        <v>40</v>
      </c>
      <c r="C17" t="s">
        <v>43</v>
      </c>
      <c r="D17" t="s">
        <v>44</v>
      </c>
      <c r="E17" t="s">
        <v>76</v>
      </c>
      <c r="F17" t="s">
        <v>56</v>
      </c>
      <c r="G17" t="s">
        <v>44</v>
      </c>
      <c r="H17" t="s">
        <v>106</v>
      </c>
      <c r="I17" t="s">
        <v>107</v>
      </c>
      <c r="J17" s="1">
        <v>109.29</v>
      </c>
      <c r="K17">
        <v>3</v>
      </c>
      <c r="L17" t="s">
        <v>78</v>
      </c>
      <c r="M17">
        <v>3</v>
      </c>
      <c r="N17">
        <v>4</v>
      </c>
      <c r="O17">
        <v>0</v>
      </c>
      <c r="P17" t="s">
        <v>49</v>
      </c>
      <c r="Q17" t="s">
        <v>37</v>
      </c>
      <c r="R17">
        <v>2</v>
      </c>
      <c r="S17">
        <v>2</v>
      </c>
      <c r="T17" t="s">
        <v>44</v>
      </c>
      <c r="U17" t="s">
        <v>79</v>
      </c>
      <c r="V17" t="s">
        <v>61</v>
      </c>
      <c r="W17" s="2">
        <v>45515</v>
      </c>
      <c r="X17" s="4">
        <f ca="1">TODAY()-DATASET[[#This Row],[Time_of_Purchase]]</f>
        <v>619</v>
      </c>
      <c r="Y17" t="b">
        <v>0</v>
      </c>
      <c r="Z17" t="b">
        <v>1</v>
      </c>
      <c r="AA17" t="s">
        <v>52</v>
      </c>
      <c r="AB17" t="s">
        <v>67</v>
      </c>
      <c r="AC17">
        <v>11</v>
      </c>
    </row>
    <row r="18" spans="1:29" x14ac:dyDescent="0.25">
      <c r="A18" t="s">
        <v>108</v>
      </c>
      <c r="B18">
        <v>37</v>
      </c>
      <c r="C18" t="s">
        <v>43</v>
      </c>
      <c r="D18" t="s">
        <v>44</v>
      </c>
      <c r="E18" t="s">
        <v>55</v>
      </c>
      <c r="F18" t="s">
        <v>32</v>
      </c>
      <c r="G18" t="s">
        <v>44</v>
      </c>
      <c r="H18" t="s">
        <v>109</v>
      </c>
      <c r="I18" t="s">
        <v>71</v>
      </c>
      <c r="J18" s="1">
        <v>356.45</v>
      </c>
      <c r="K18">
        <v>6</v>
      </c>
      <c r="L18" t="s">
        <v>35</v>
      </c>
      <c r="M18">
        <v>5</v>
      </c>
      <c r="N18">
        <v>5</v>
      </c>
      <c r="O18">
        <v>2</v>
      </c>
      <c r="P18" t="s">
        <v>59</v>
      </c>
      <c r="Q18" t="s">
        <v>85</v>
      </c>
      <c r="R18">
        <v>0</v>
      </c>
      <c r="S18">
        <v>7</v>
      </c>
      <c r="T18" t="s">
        <v>49</v>
      </c>
      <c r="U18" t="s">
        <v>60</v>
      </c>
      <c r="V18" t="s">
        <v>39</v>
      </c>
      <c r="W18" s="2">
        <v>45583</v>
      </c>
      <c r="X18" s="4">
        <f ca="1">TODAY()-DATASET[[#This Row],[Time_of_Purchase]]</f>
        <v>551</v>
      </c>
      <c r="Y18" t="b">
        <v>0</v>
      </c>
      <c r="Z18" t="b">
        <v>1</v>
      </c>
      <c r="AA18" t="s">
        <v>74</v>
      </c>
      <c r="AB18" t="s">
        <v>53</v>
      </c>
      <c r="AC18">
        <v>8</v>
      </c>
    </row>
    <row r="19" spans="1:29" x14ac:dyDescent="0.25">
      <c r="A19" t="s">
        <v>110</v>
      </c>
      <c r="B19">
        <v>38</v>
      </c>
      <c r="C19" t="s">
        <v>29</v>
      </c>
      <c r="D19" t="s">
        <v>30</v>
      </c>
      <c r="E19" t="s">
        <v>76</v>
      </c>
      <c r="F19" t="s">
        <v>32</v>
      </c>
      <c r="G19" t="s">
        <v>44</v>
      </c>
      <c r="H19" t="s">
        <v>111</v>
      </c>
      <c r="I19" t="s">
        <v>93</v>
      </c>
      <c r="J19" s="1">
        <v>236.99</v>
      </c>
      <c r="K19">
        <v>10</v>
      </c>
      <c r="L19" t="s">
        <v>35</v>
      </c>
      <c r="M19">
        <v>2</v>
      </c>
      <c r="N19">
        <v>4</v>
      </c>
      <c r="O19">
        <v>0</v>
      </c>
      <c r="P19" t="s">
        <v>44</v>
      </c>
      <c r="Q19" t="s">
        <v>85</v>
      </c>
      <c r="R19">
        <v>0</v>
      </c>
      <c r="S19">
        <v>8</v>
      </c>
      <c r="T19" t="s">
        <v>36</v>
      </c>
      <c r="U19" t="s">
        <v>38</v>
      </c>
      <c r="V19" t="s">
        <v>51</v>
      </c>
      <c r="W19" s="2">
        <v>45635</v>
      </c>
      <c r="X19" s="4">
        <f ca="1">TODAY()-DATASET[[#This Row],[Time_of_Purchase]]</f>
        <v>499</v>
      </c>
      <c r="Y19" t="b">
        <v>1</v>
      </c>
      <c r="Z19" t="b">
        <v>1</v>
      </c>
      <c r="AA19" t="s">
        <v>62</v>
      </c>
      <c r="AB19" t="s">
        <v>41</v>
      </c>
      <c r="AC19">
        <v>13</v>
      </c>
    </row>
    <row r="20" spans="1:29" x14ac:dyDescent="0.25">
      <c r="A20" t="s">
        <v>112</v>
      </c>
      <c r="B20">
        <v>36</v>
      </c>
      <c r="C20" t="s">
        <v>43</v>
      </c>
      <c r="D20" t="s">
        <v>30</v>
      </c>
      <c r="E20" t="s">
        <v>69</v>
      </c>
      <c r="F20" t="s">
        <v>32</v>
      </c>
      <c r="G20" t="s">
        <v>44</v>
      </c>
      <c r="H20" t="s">
        <v>113</v>
      </c>
      <c r="I20" t="s">
        <v>114</v>
      </c>
      <c r="J20" s="1">
        <v>454.39</v>
      </c>
      <c r="K20">
        <v>10</v>
      </c>
      <c r="L20" t="s">
        <v>48</v>
      </c>
      <c r="M20">
        <v>2</v>
      </c>
      <c r="N20">
        <v>4</v>
      </c>
      <c r="O20">
        <v>2</v>
      </c>
      <c r="P20" t="s">
        <v>49</v>
      </c>
      <c r="Q20" t="s">
        <v>50</v>
      </c>
      <c r="R20">
        <v>0</v>
      </c>
      <c r="S20">
        <v>3</v>
      </c>
      <c r="T20" t="s">
        <v>36</v>
      </c>
      <c r="U20" t="s">
        <v>79</v>
      </c>
      <c r="V20" t="s">
        <v>66</v>
      </c>
      <c r="W20" s="2">
        <v>45496</v>
      </c>
      <c r="X20" s="4">
        <f ca="1">TODAY()-DATASET[[#This Row],[Time_of_Purchase]]</f>
        <v>638</v>
      </c>
      <c r="Y20" t="b">
        <v>0</v>
      </c>
      <c r="Z20" t="b">
        <v>1</v>
      </c>
      <c r="AA20" t="s">
        <v>62</v>
      </c>
      <c r="AB20" t="s">
        <v>53</v>
      </c>
      <c r="AC20">
        <v>3</v>
      </c>
    </row>
    <row r="21" spans="1:29" x14ac:dyDescent="0.25">
      <c r="A21" t="s">
        <v>115</v>
      </c>
      <c r="B21">
        <v>29</v>
      </c>
      <c r="C21" t="s">
        <v>29</v>
      </c>
      <c r="D21" t="s">
        <v>44</v>
      </c>
      <c r="E21" t="s">
        <v>69</v>
      </c>
      <c r="F21" t="s">
        <v>32</v>
      </c>
      <c r="G21" t="s">
        <v>30</v>
      </c>
      <c r="H21" t="s">
        <v>116</v>
      </c>
      <c r="I21" t="s">
        <v>117</v>
      </c>
      <c r="J21" s="1">
        <v>490.75</v>
      </c>
      <c r="K21">
        <v>10</v>
      </c>
      <c r="L21" t="s">
        <v>48</v>
      </c>
      <c r="M21">
        <v>2</v>
      </c>
      <c r="N21">
        <v>4</v>
      </c>
      <c r="O21">
        <v>1</v>
      </c>
      <c r="P21" t="s">
        <v>36</v>
      </c>
      <c r="Q21" t="s">
        <v>85</v>
      </c>
      <c r="R21">
        <v>1</v>
      </c>
      <c r="S21">
        <v>4</v>
      </c>
      <c r="T21" t="s">
        <v>59</v>
      </c>
      <c r="U21" t="s">
        <v>60</v>
      </c>
      <c r="V21" t="s">
        <v>61</v>
      </c>
      <c r="W21" s="2">
        <v>45481</v>
      </c>
      <c r="X21" s="4">
        <f ca="1">TODAY()-DATASET[[#This Row],[Time_of_Purchase]]</f>
        <v>653</v>
      </c>
      <c r="Y21" t="b">
        <v>0</v>
      </c>
      <c r="Z21" t="b">
        <v>0</v>
      </c>
      <c r="AA21" t="s">
        <v>52</v>
      </c>
      <c r="AB21" t="s">
        <v>53</v>
      </c>
      <c r="AC21">
        <v>13</v>
      </c>
    </row>
    <row r="22" spans="1:29" x14ac:dyDescent="0.25">
      <c r="A22" t="s">
        <v>118</v>
      </c>
      <c r="B22">
        <v>21</v>
      </c>
      <c r="C22" t="s">
        <v>29</v>
      </c>
      <c r="D22" t="s">
        <v>30</v>
      </c>
      <c r="E22" t="s">
        <v>69</v>
      </c>
      <c r="F22" t="s">
        <v>45</v>
      </c>
      <c r="G22" t="s">
        <v>30</v>
      </c>
      <c r="H22" t="s">
        <v>119</v>
      </c>
      <c r="I22" t="s">
        <v>120</v>
      </c>
      <c r="J22" s="1">
        <v>463.07</v>
      </c>
      <c r="K22">
        <v>7</v>
      </c>
      <c r="L22" t="s">
        <v>35</v>
      </c>
      <c r="M22">
        <v>4</v>
      </c>
      <c r="N22">
        <v>2</v>
      </c>
      <c r="O22">
        <v>0</v>
      </c>
      <c r="P22" t="s">
        <v>36</v>
      </c>
      <c r="Q22" t="s">
        <v>85</v>
      </c>
      <c r="R22">
        <v>1</v>
      </c>
      <c r="S22">
        <v>2</v>
      </c>
      <c r="T22" t="s">
        <v>49</v>
      </c>
      <c r="U22" t="s">
        <v>60</v>
      </c>
      <c r="V22" t="s">
        <v>51</v>
      </c>
      <c r="W22" s="2">
        <v>45496</v>
      </c>
      <c r="X22" s="4">
        <f ca="1">TODAY()-DATASET[[#This Row],[Time_of_Purchase]]</f>
        <v>638</v>
      </c>
      <c r="Y22" t="b">
        <v>1</v>
      </c>
      <c r="Z22" t="b">
        <v>0</v>
      </c>
      <c r="AA22" t="s">
        <v>52</v>
      </c>
      <c r="AB22" t="s">
        <v>41</v>
      </c>
      <c r="AC22">
        <v>11</v>
      </c>
    </row>
    <row r="23" spans="1:29" x14ac:dyDescent="0.25">
      <c r="A23" t="s">
        <v>121</v>
      </c>
      <c r="B23">
        <v>36</v>
      </c>
      <c r="C23" t="s">
        <v>29</v>
      </c>
      <c r="D23" t="s">
        <v>44</v>
      </c>
      <c r="E23" t="s">
        <v>31</v>
      </c>
      <c r="F23" t="s">
        <v>56</v>
      </c>
      <c r="G23" t="s">
        <v>44</v>
      </c>
      <c r="H23" t="s">
        <v>122</v>
      </c>
      <c r="I23" t="s">
        <v>123</v>
      </c>
      <c r="J23" s="1">
        <v>56.74</v>
      </c>
      <c r="K23">
        <v>5</v>
      </c>
      <c r="L23" t="s">
        <v>78</v>
      </c>
      <c r="M23">
        <v>5</v>
      </c>
      <c r="N23">
        <v>1</v>
      </c>
      <c r="O23">
        <v>0</v>
      </c>
      <c r="P23" t="s">
        <v>49</v>
      </c>
      <c r="Q23" t="s">
        <v>85</v>
      </c>
      <c r="R23">
        <v>0</v>
      </c>
      <c r="S23">
        <v>6</v>
      </c>
      <c r="T23" t="s">
        <v>36</v>
      </c>
      <c r="U23" t="s">
        <v>60</v>
      </c>
      <c r="V23" t="s">
        <v>66</v>
      </c>
      <c r="W23" s="2">
        <v>45504</v>
      </c>
      <c r="X23" s="4">
        <f ca="1">TODAY()-DATASET[[#This Row],[Time_of_Purchase]]</f>
        <v>630</v>
      </c>
      <c r="Y23" t="b">
        <v>1</v>
      </c>
      <c r="Z23" t="b">
        <v>0</v>
      </c>
      <c r="AA23" t="s">
        <v>62</v>
      </c>
      <c r="AB23" t="s">
        <v>67</v>
      </c>
      <c r="AC23">
        <v>7</v>
      </c>
    </row>
    <row r="24" spans="1:29" x14ac:dyDescent="0.25">
      <c r="A24" t="s">
        <v>124</v>
      </c>
      <c r="B24">
        <v>38</v>
      </c>
      <c r="C24" t="s">
        <v>43</v>
      </c>
      <c r="D24" t="s">
        <v>44</v>
      </c>
      <c r="E24" t="s">
        <v>76</v>
      </c>
      <c r="F24" t="s">
        <v>32</v>
      </c>
      <c r="G24" t="s">
        <v>30</v>
      </c>
      <c r="H24" t="s">
        <v>125</v>
      </c>
      <c r="I24" t="s">
        <v>126</v>
      </c>
      <c r="J24" s="1">
        <v>371.32</v>
      </c>
      <c r="K24">
        <v>7</v>
      </c>
      <c r="L24" t="s">
        <v>48</v>
      </c>
      <c r="M24">
        <v>4</v>
      </c>
      <c r="N24">
        <v>4</v>
      </c>
      <c r="O24">
        <v>0.7</v>
      </c>
      <c r="P24" t="s">
        <v>49</v>
      </c>
      <c r="Q24" t="s">
        <v>50</v>
      </c>
      <c r="R24">
        <v>2</v>
      </c>
      <c r="S24">
        <v>1</v>
      </c>
      <c r="T24" t="s">
        <v>36</v>
      </c>
      <c r="U24" t="s">
        <v>38</v>
      </c>
      <c r="V24" t="s">
        <v>61</v>
      </c>
      <c r="W24" s="2">
        <v>45347</v>
      </c>
      <c r="X24" s="4">
        <f ca="1">TODAY()-DATASET[[#This Row],[Time_of_Purchase]]</f>
        <v>787</v>
      </c>
      <c r="Y24" t="b">
        <v>1</v>
      </c>
      <c r="Z24" t="b">
        <v>1</v>
      </c>
      <c r="AA24" t="s">
        <v>62</v>
      </c>
      <c r="AB24" t="s">
        <v>53</v>
      </c>
      <c r="AC24">
        <v>6</v>
      </c>
    </row>
    <row r="25" spans="1:29" x14ac:dyDescent="0.25">
      <c r="A25" t="s">
        <v>127</v>
      </c>
      <c r="B25">
        <v>37</v>
      </c>
      <c r="C25" t="s">
        <v>29</v>
      </c>
      <c r="D25" t="s">
        <v>30</v>
      </c>
      <c r="E25" t="s">
        <v>55</v>
      </c>
      <c r="F25" t="s">
        <v>32</v>
      </c>
      <c r="G25" t="s">
        <v>30</v>
      </c>
      <c r="H25" t="s">
        <v>128</v>
      </c>
      <c r="I25" t="s">
        <v>120</v>
      </c>
      <c r="J25" s="1">
        <v>461</v>
      </c>
      <c r="K25">
        <v>7</v>
      </c>
      <c r="L25" t="s">
        <v>78</v>
      </c>
      <c r="M25">
        <v>2</v>
      </c>
      <c r="N25">
        <v>4</v>
      </c>
      <c r="O25">
        <v>1</v>
      </c>
      <c r="P25" t="s">
        <v>44</v>
      </c>
      <c r="Q25" t="s">
        <v>50</v>
      </c>
      <c r="R25">
        <v>0</v>
      </c>
      <c r="S25">
        <v>8</v>
      </c>
      <c r="T25" t="s">
        <v>59</v>
      </c>
      <c r="U25" t="s">
        <v>38</v>
      </c>
      <c r="V25" t="s">
        <v>86</v>
      </c>
      <c r="W25" s="2">
        <v>45483</v>
      </c>
      <c r="X25" s="4">
        <f ca="1">TODAY()-DATASET[[#This Row],[Time_of_Purchase]]</f>
        <v>651</v>
      </c>
      <c r="Y25" t="b">
        <v>0</v>
      </c>
      <c r="Z25" t="b">
        <v>1</v>
      </c>
      <c r="AA25" t="s">
        <v>52</v>
      </c>
      <c r="AB25" t="s">
        <v>53</v>
      </c>
      <c r="AC25">
        <v>9</v>
      </c>
    </row>
    <row r="26" spans="1:29" x14ac:dyDescent="0.25">
      <c r="A26" t="s">
        <v>129</v>
      </c>
      <c r="B26">
        <v>33</v>
      </c>
      <c r="C26" t="s">
        <v>29</v>
      </c>
      <c r="D26" t="s">
        <v>44</v>
      </c>
      <c r="E26" t="s">
        <v>31</v>
      </c>
      <c r="F26" t="s">
        <v>32</v>
      </c>
      <c r="G26" t="s">
        <v>44</v>
      </c>
      <c r="H26" t="s">
        <v>130</v>
      </c>
      <c r="I26" t="s">
        <v>47</v>
      </c>
      <c r="J26" s="1">
        <v>253.37</v>
      </c>
      <c r="K26">
        <v>6</v>
      </c>
      <c r="L26" t="s">
        <v>48</v>
      </c>
      <c r="M26">
        <v>4</v>
      </c>
      <c r="N26">
        <v>1</v>
      </c>
      <c r="O26">
        <v>1</v>
      </c>
      <c r="P26" t="s">
        <v>36</v>
      </c>
      <c r="Q26" t="s">
        <v>85</v>
      </c>
      <c r="R26">
        <v>2</v>
      </c>
      <c r="S26">
        <v>10</v>
      </c>
      <c r="T26" t="s">
        <v>44</v>
      </c>
      <c r="U26" t="s">
        <v>38</v>
      </c>
      <c r="V26" t="s">
        <v>66</v>
      </c>
      <c r="W26" s="2">
        <v>45651</v>
      </c>
      <c r="X26" s="4">
        <f ca="1">TODAY()-DATASET[[#This Row],[Time_of_Purchase]]</f>
        <v>483</v>
      </c>
      <c r="Y26" t="b">
        <v>1</v>
      </c>
      <c r="Z26" t="b">
        <v>0</v>
      </c>
      <c r="AA26" t="s">
        <v>62</v>
      </c>
      <c r="AB26" t="s">
        <v>53</v>
      </c>
      <c r="AC26">
        <v>8</v>
      </c>
    </row>
    <row r="27" spans="1:29" x14ac:dyDescent="0.25">
      <c r="A27" t="s">
        <v>131</v>
      </c>
      <c r="B27">
        <v>37</v>
      </c>
      <c r="C27" t="s">
        <v>43</v>
      </c>
      <c r="D27" t="s">
        <v>44</v>
      </c>
      <c r="E27" t="s">
        <v>69</v>
      </c>
      <c r="F27" t="s">
        <v>45</v>
      </c>
      <c r="G27" t="s">
        <v>44</v>
      </c>
      <c r="H27" t="s">
        <v>132</v>
      </c>
      <c r="I27" t="s">
        <v>114</v>
      </c>
      <c r="J27" s="1">
        <v>136.53</v>
      </c>
      <c r="K27">
        <v>3</v>
      </c>
      <c r="L27" t="s">
        <v>35</v>
      </c>
      <c r="M27">
        <v>2</v>
      </c>
      <c r="N27">
        <v>4</v>
      </c>
      <c r="O27">
        <v>2</v>
      </c>
      <c r="P27" t="s">
        <v>44</v>
      </c>
      <c r="Q27" t="s">
        <v>50</v>
      </c>
      <c r="R27">
        <v>1</v>
      </c>
      <c r="S27">
        <v>3</v>
      </c>
      <c r="T27" t="s">
        <v>44</v>
      </c>
      <c r="U27" t="s">
        <v>60</v>
      </c>
      <c r="V27" t="s">
        <v>51</v>
      </c>
      <c r="W27" s="2">
        <v>45443</v>
      </c>
      <c r="X27" s="4">
        <f ca="1">TODAY()-DATASET[[#This Row],[Time_of_Purchase]]</f>
        <v>691</v>
      </c>
      <c r="Y27" t="b">
        <v>1</v>
      </c>
      <c r="Z27" t="b">
        <v>1</v>
      </c>
      <c r="AA27" t="s">
        <v>74</v>
      </c>
      <c r="AB27" t="s">
        <v>53</v>
      </c>
      <c r="AC27">
        <v>10</v>
      </c>
    </row>
    <row r="28" spans="1:29" x14ac:dyDescent="0.25">
      <c r="A28" t="s">
        <v>133</v>
      </c>
      <c r="B28">
        <v>31</v>
      </c>
      <c r="C28" t="s">
        <v>29</v>
      </c>
      <c r="D28" t="s">
        <v>30</v>
      </c>
      <c r="E28" t="s">
        <v>55</v>
      </c>
      <c r="F28" t="s">
        <v>56</v>
      </c>
      <c r="G28" t="s">
        <v>30</v>
      </c>
      <c r="H28" t="s">
        <v>134</v>
      </c>
      <c r="I28" t="s">
        <v>135</v>
      </c>
      <c r="J28" s="1">
        <v>489.05</v>
      </c>
      <c r="K28">
        <v>10</v>
      </c>
      <c r="L28" t="s">
        <v>78</v>
      </c>
      <c r="M28">
        <v>5</v>
      </c>
      <c r="N28">
        <v>3</v>
      </c>
      <c r="O28">
        <v>0</v>
      </c>
      <c r="P28" t="s">
        <v>44</v>
      </c>
      <c r="Q28" t="s">
        <v>37</v>
      </c>
      <c r="R28">
        <v>2</v>
      </c>
      <c r="S28">
        <v>2</v>
      </c>
      <c r="T28" t="s">
        <v>44</v>
      </c>
      <c r="U28" t="s">
        <v>79</v>
      </c>
      <c r="V28" t="s">
        <v>51</v>
      </c>
      <c r="W28" s="2">
        <v>45539</v>
      </c>
      <c r="X28" s="4">
        <f ca="1">TODAY()-DATASET[[#This Row],[Time_of_Purchase]]</f>
        <v>595</v>
      </c>
      <c r="Y28" t="b">
        <v>1</v>
      </c>
      <c r="Z28" t="b">
        <v>1</v>
      </c>
      <c r="AA28" t="s">
        <v>74</v>
      </c>
      <c r="AB28" t="s">
        <v>53</v>
      </c>
      <c r="AC28">
        <v>7</v>
      </c>
    </row>
    <row r="29" spans="1:29" x14ac:dyDescent="0.25">
      <c r="A29" t="s">
        <v>136</v>
      </c>
      <c r="B29">
        <v>50</v>
      </c>
      <c r="C29" t="s">
        <v>43</v>
      </c>
      <c r="D29" t="s">
        <v>44</v>
      </c>
      <c r="E29" t="s">
        <v>55</v>
      </c>
      <c r="F29" t="s">
        <v>56</v>
      </c>
      <c r="G29" t="s">
        <v>44</v>
      </c>
      <c r="H29" t="s">
        <v>137</v>
      </c>
      <c r="I29" t="s">
        <v>117</v>
      </c>
      <c r="J29" s="1">
        <v>81.91</v>
      </c>
      <c r="K29">
        <v>10</v>
      </c>
      <c r="L29" t="s">
        <v>48</v>
      </c>
      <c r="M29">
        <v>3</v>
      </c>
      <c r="N29">
        <v>4</v>
      </c>
      <c r="O29">
        <v>1</v>
      </c>
      <c r="P29" t="s">
        <v>49</v>
      </c>
      <c r="Q29" t="s">
        <v>85</v>
      </c>
      <c r="R29">
        <v>0</v>
      </c>
      <c r="S29">
        <v>4</v>
      </c>
      <c r="T29" t="s">
        <v>36</v>
      </c>
      <c r="U29" t="s">
        <v>79</v>
      </c>
      <c r="V29" t="s">
        <v>61</v>
      </c>
      <c r="W29" s="2">
        <v>45497</v>
      </c>
      <c r="X29" s="4">
        <f ca="1">TODAY()-DATASET[[#This Row],[Time_of_Purchase]]</f>
        <v>637</v>
      </c>
      <c r="Y29" t="b">
        <v>0</v>
      </c>
      <c r="Z29" t="b">
        <v>1</v>
      </c>
      <c r="AA29" t="s">
        <v>40</v>
      </c>
      <c r="AB29" t="s">
        <v>67</v>
      </c>
      <c r="AC29">
        <v>2</v>
      </c>
    </row>
    <row r="30" spans="1:29" x14ac:dyDescent="0.25">
      <c r="A30" t="s">
        <v>138</v>
      </c>
      <c r="B30">
        <v>50</v>
      </c>
      <c r="C30" t="s">
        <v>43</v>
      </c>
      <c r="D30" t="s">
        <v>30</v>
      </c>
      <c r="E30" t="s">
        <v>31</v>
      </c>
      <c r="F30" t="s">
        <v>32</v>
      </c>
      <c r="G30" t="s">
        <v>30</v>
      </c>
      <c r="H30" t="s">
        <v>139</v>
      </c>
      <c r="I30" t="s">
        <v>135</v>
      </c>
      <c r="J30" s="1">
        <v>135.80000000000001</v>
      </c>
      <c r="K30">
        <v>2</v>
      </c>
      <c r="L30" t="s">
        <v>48</v>
      </c>
      <c r="M30">
        <v>2</v>
      </c>
      <c r="N30">
        <v>5</v>
      </c>
      <c r="O30">
        <v>1</v>
      </c>
      <c r="P30" t="s">
        <v>59</v>
      </c>
      <c r="Q30" t="s">
        <v>37</v>
      </c>
      <c r="R30">
        <v>1</v>
      </c>
      <c r="S30">
        <v>2</v>
      </c>
      <c r="T30" t="s">
        <v>44</v>
      </c>
      <c r="U30" t="s">
        <v>79</v>
      </c>
      <c r="V30" t="s">
        <v>61</v>
      </c>
      <c r="W30" s="2">
        <v>45612</v>
      </c>
      <c r="X30" s="4">
        <f ca="1">TODAY()-DATASET[[#This Row],[Time_of_Purchase]]</f>
        <v>522</v>
      </c>
      <c r="Y30" t="b">
        <v>0</v>
      </c>
      <c r="Z30" t="b">
        <v>1</v>
      </c>
      <c r="AA30" t="s">
        <v>74</v>
      </c>
      <c r="AB30" t="s">
        <v>41</v>
      </c>
      <c r="AC30">
        <v>9</v>
      </c>
    </row>
    <row r="31" spans="1:29" x14ac:dyDescent="0.25">
      <c r="A31" t="s">
        <v>140</v>
      </c>
      <c r="B31">
        <v>45</v>
      </c>
      <c r="C31" t="s">
        <v>29</v>
      </c>
      <c r="D31" t="s">
        <v>30</v>
      </c>
      <c r="E31" t="s">
        <v>69</v>
      </c>
      <c r="F31" t="s">
        <v>45</v>
      </c>
      <c r="G31" t="s">
        <v>30</v>
      </c>
      <c r="H31" t="s">
        <v>141</v>
      </c>
      <c r="I31" t="s">
        <v>142</v>
      </c>
      <c r="J31" s="1">
        <v>382.24</v>
      </c>
      <c r="K31">
        <v>12</v>
      </c>
      <c r="L31" t="s">
        <v>48</v>
      </c>
      <c r="M31">
        <v>1</v>
      </c>
      <c r="N31">
        <v>5</v>
      </c>
      <c r="O31">
        <v>1</v>
      </c>
      <c r="P31" t="s">
        <v>44</v>
      </c>
      <c r="Q31" t="s">
        <v>85</v>
      </c>
      <c r="R31">
        <v>1</v>
      </c>
      <c r="S31">
        <v>4</v>
      </c>
      <c r="T31" t="s">
        <v>44</v>
      </c>
      <c r="U31" t="s">
        <v>38</v>
      </c>
      <c r="V31" t="s">
        <v>51</v>
      </c>
      <c r="W31" s="2">
        <v>45479</v>
      </c>
      <c r="X31" s="4">
        <f ca="1">TODAY()-DATASET[[#This Row],[Time_of_Purchase]]</f>
        <v>655</v>
      </c>
      <c r="Y31" t="b">
        <v>1</v>
      </c>
      <c r="Z31" t="b">
        <v>1</v>
      </c>
      <c r="AA31" t="s">
        <v>74</v>
      </c>
      <c r="AB31" t="s">
        <v>53</v>
      </c>
      <c r="AC31">
        <v>3</v>
      </c>
    </row>
    <row r="32" spans="1:29" x14ac:dyDescent="0.25">
      <c r="A32" t="s">
        <v>143</v>
      </c>
      <c r="B32">
        <v>33</v>
      </c>
      <c r="C32" t="s">
        <v>29</v>
      </c>
      <c r="D32" t="s">
        <v>44</v>
      </c>
      <c r="E32" t="s">
        <v>31</v>
      </c>
      <c r="F32" t="s">
        <v>32</v>
      </c>
      <c r="G32" t="s">
        <v>30</v>
      </c>
      <c r="H32" t="s">
        <v>144</v>
      </c>
      <c r="I32" t="s">
        <v>34</v>
      </c>
      <c r="J32" s="1">
        <v>354.7</v>
      </c>
      <c r="K32">
        <v>5</v>
      </c>
      <c r="L32" t="s">
        <v>78</v>
      </c>
      <c r="M32">
        <v>4</v>
      </c>
      <c r="N32">
        <v>2</v>
      </c>
      <c r="O32">
        <v>0</v>
      </c>
      <c r="P32" t="s">
        <v>36</v>
      </c>
      <c r="Q32" t="s">
        <v>85</v>
      </c>
      <c r="R32">
        <v>2</v>
      </c>
      <c r="S32">
        <v>7</v>
      </c>
      <c r="T32" t="s">
        <v>36</v>
      </c>
      <c r="U32" t="s">
        <v>60</v>
      </c>
      <c r="V32" t="s">
        <v>66</v>
      </c>
      <c r="W32" s="2">
        <v>45332</v>
      </c>
      <c r="X32" s="4">
        <f ca="1">TODAY()-DATASET[[#This Row],[Time_of_Purchase]]</f>
        <v>802</v>
      </c>
      <c r="Y32" t="b">
        <v>1</v>
      </c>
      <c r="Z32" t="b">
        <v>0</v>
      </c>
      <c r="AA32" t="s">
        <v>74</v>
      </c>
      <c r="AB32" t="s">
        <v>67</v>
      </c>
      <c r="AC32">
        <v>12</v>
      </c>
    </row>
    <row r="33" spans="1:29" x14ac:dyDescent="0.25">
      <c r="A33" t="s">
        <v>145</v>
      </c>
      <c r="B33">
        <v>24</v>
      </c>
      <c r="C33" t="s">
        <v>43</v>
      </c>
      <c r="D33" t="s">
        <v>44</v>
      </c>
      <c r="E33" t="s">
        <v>76</v>
      </c>
      <c r="F33" t="s">
        <v>32</v>
      </c>
      <c r="G33" t="s">
        <v>44</v>
      </c>
      <c r="H33" t="s">
        <v>146</v>
      </c>
      <c r="I33" t="s">
        <v>93</v>
      </c>
      <c r="J33" s="1">
        <v>433.82</v>
      </c>
      <c r="K33">
        <v>6</v>
      </c>
      <c r="L33" t="s">
        <v>78</v>
      </c>
      <c r="M33">
        <v>3</v>
      </c>
      <c r="N33">
        <v>2</v>
      </c>
      <c r="O33">
        <v>1</v>
      </c>
      <c r="P33" t="s">
        <v>49</v>
      </c>
      <c r="Q33" t="s">
        <v>37</v>
      </c>
      <c r="R33">
        <v>0</v>
      </c>
      <c r="S33">
        <v>8</v>
      </c>
      <c r="T33" t="s">
        <v>49</v>
      </c>
      <c r="U33" t="s">
        <v>79</v>
      </c>
      <c r="V33" t="s">
        <v>66</v>
      </c>
      <c r="W33" s="2">
        <v>45472</v>
      </c>
      <c r="X33" s="4">
        <f ca="1">TODAY()-DATASET[[#This Row],[Time_of_Purchase]]</f>
        <v>662</v>
      </c>
      <c r="Y33" t="b">
        <v>0</v>
      </c>
      <c r="Z33" t="b">
        <v>1</v>
      </c>
      <c r="AA33" t="s">
        <v>74</v>
      </c>
      <c r="AB33" t="s">
        <v>67</v>
      </c>
      <c r="AC33">
        <v>10</v>
      </c>
    </row>
    <row r="34" spans="1:29" x14ac:dyDescent="0.25">
      <c r="A34" t="s">
        <v>147</v>
      </c>
      <c r="B34">
        <v>39</v>
      </c>
      <c r="C34" t="s">
        <v>148</v>
      </c>
      <c r="D34" t="s">
        <v>44</v>
      </c>
      <c r="E34" t="s">
        <v>31</v>
      </c>
      <c r="F34" t="s">
        <v>32</v>
      </c>
      <c r="G34" t="s">
        <v>30</v>
      </c>
      <c r="H34" t="s">
        <v>149</v>
      </c>
      <c r="I34" t="s">
        <v>93</v>
      </c>
      <c r="J34" s="1">
        <v>282.13</v>
      </c>
      <c r="K34">
        <v>5</v>
      </c>
      <c r="L34" t="s">
        <v>35</v>
      </c>
      <c r="M34">
        <v>4</v>
      </c>
      <c r="N34">
        <v>5</v>
      </c>
      <c r="O34">
        <v>1</v>
      </c>
      <c r="P34" t="s">
        <v>36</v>
      </c>
      <c r="Q34" t="s">
        <v>37</v>
      </c>
      <c r="R34">
        <v>1</v>
      </c>
      <c r="S34">
        <v>2</v>
      </c>
      <c r="T34" t="s">
        <v>36</v>
      </c>
      <c r="U34" t="s">
        <v>38</v>
      </c>
      <c r="V34" t="s">
        <v>66</v>
      </c>
      <c r="W34" s="2">
        <v>45317</v>
      </c>
      <c r="X34" s="4">
        <f ca="1">TODAY()-DATASET[[#This Row],[Time_of_Purchase]]</f>
        <v>817</v>
      </c>
      <c r="Y34" t="b">
        <v>1</v>
      </c>
      <c r="Z34" t="b">
        <v>0</v>
      </c>
      <c r="AA34" t="s">
        <v>40</v>
      </c>
      <c r="AB34" t="s">
        <v>53</v>
      </c>
      <c r="AC34">
        <v>9</v>
      </c>
    </row>
    <row r="35" spans="1:29" x14ac:dyDescent="0.25">
      <c r="A35" t="s">
        <v>150</v>
      </c>
      <c r="B35">
        <v>48</v>
      </c>
      <c r="C35" t="s">
        <v>43</v>
      </c>
      <c r="D35" t="s">
        <v>44</v>
      </c>
      <c r="E35" t="s">
        <v>69</v>
      </c>
      <c r="F35" t="s">
        <v>45</v>
      </c>
      <c r="G35" t="s">
        <v>30</v>
      </c>
      <c r="H35" t="s">
        <v>151</v>
      </c>
      <c r="I35" t="s">
        <v>93</v>
      </c>
      <c r="J35" s="1">
        <v>454.38</v>
      </c>
      <c r="K35">
        <v>10</v>
      </c>
      <c r="L35" t="s">
        <v>78</v>
      </c>
      <c r="M35">
        <v>3</v>
      </c>
      <c r="N35">
        <v>4</v>
      </c>
      <c r="O35">
        <v>0</v>
      </c>
      <c r="P35" t="s">
        <v>36</v>
      </c>
      <c r="Q35" t="s">
        <v>37</v>
      </c>
      <c r="R35">
        <v>0</v>
      </c>
      <c r="S35">
        <v>10</v>
      </c>
      <c r="T35" t="s">
        <v>49</v>
      </c>
      <c r="U35" t="s">
        <v>60</v>
      </c>
      <c r="V35" t="s">
        <v>51</v>
      </c>
      <c r="W35" s="2">
        <v>45458</v>
      </c>
      <c r="X35" s="4">
        <f ca="1">TODAY()-DATASET[[#This Row],[Time_of_Purchase]]</f>
        <v>676</v>
      </c>
      <c r="Y35" t="b">
        <v>1</v>
      </c>
      <c r="Z35" t="b">
        <v>0</v>
      </c>
      <c r="AA35" t="s">
        <v>62</v>
      </c>
      <c r="AB35" t="s">
        <v>41</v>
      </c>
      <c r="AC35">
        <v>7</v>
      </c>
    </row>
    <row r="36" spans="1:29" x14ac:dyDescent="0.25">
      <c r="A36" t="s">
        <v>152</v>
      </c>
      <c r="B36">
        <v>25</v>
      </c>
      <c r="C36" t="s">
        <v>43</v>
      </c>
      <c r="D36" t="s">
        <v>30</v>
      </c>
      <c r="E36" t="s">
        <v>31</v>
      </c>
      <c r="F36" t="s">
        <v>45</v>
      </c>
      <c r="G36" t="s">
        <v>44</v>
      </c>
      <c r="H36" t="s">
        <v>153</v>
      </c>
      <c r="I36" t="s">
        <v>93</v>
      </c>
      <c r="J36" s="1">
        <v>138.88</v>
      </c>
      <c r="K36">
        <v>7</v>
      </c>
      <c r="L36" t="s">
        <v>48</v>
      </c>
      <c r="M36">
        <v>2</v>
      </c>
      <c r="N36">
        <v>4</v>
      </c>
      <c r="O36">
        <v>1</v>
      </c>
      <c r="P36" t="s">
        <v>36</v>
      </c>
      <c r="Q36" t="s">
        <v>50</v>
      </c>
      <c r="R36">
        <v>1</v>
      </c>
      <c r="S36">
        <v>3</v>
      </c>
      <c r="T36" t="s">
        <v>36</v>
      </c>
      <c r="U36" t="s">
        <v>38</v>
      </c>
      <c r="V36" t="s">
        <v>86</v>
      </c>
      <c r="W36" s="2">
        <v>45451</v>
      </c>
      <c r="X36" s="4">
        <f ca="1">TODAY()-DATASET[[#This Row],[Time_of_Purchase]]</f>
        <v>683</v>
      </c>
      <c r="Y36" t="b">
        <v>1</v>
      </c>
      <c r="Z36" t="b">
        <v>0</v>
      </c>
      <c r="AA36" t="s">
        <v>74</v>
      </c>
      <c r="AB36" t="s">
        <v>41</v>
      </c>
      <c r="AC36">
        <v>4</v>
      </c>
    </row>
    <row r="37" spans="1:29" x14ac:dyDescent="0.25">
      <c r="A37" t="s">
        <v>154</v>
      </c>
      <c r="B37">
        <v>30</v>
      </c>
      <c r="C37" t="s">
        <v>29</v>
      </c>
      <c r="D37" t="s">
        <v>44</v>
      </c>
      <c r="E37" t="s">
        <v>55</v>
      </c>
      <c r="F37" t="s">
        <v>32</v>
      </c>
      <c r="G37" t="s">
        <v>44</v>
      </c>
      <c r="H37" t="s">
        <v>155</v>
      </c>
      <c r="I37" t="s">
        <v>82</v>
      </c>
      <c r="J37" s="1">
        <v>52.34</v>
      </c>
      <c r="K37">
        <v>6</v>
      </c>
      <c r="L37" t="s">
        <v>48</v>
      </c>
      <c r="M37">
        <v>3</v>
      </c>
      <c r="N37">
        <v>4</v>
      </c>
      <c r="O37">
        <v>1</v>
      </c>
      <c r="P37" t="s">
        <v>59</v>
      </c>
      <c r="Q37" t="s">
        <v>37</v>
      </c>
      <c r="R37">
        <v>1</v>
      </c>
      <c r="S37">
        <v>5</v>
      </c>
      <c r="T37" t="s">
        <v>49</v>
      </c>
      <c r="U37" t="s">
        <v>38</v>
      </c>
      <c r="V37" t="s">
        <v>51</v>
      </c>
      <c r="W37" s="2">
        <v>45433</v>
      </c>
      <c r="X37" s="4">
        <f ca="1">TODAY()-DATASET[[#This Row],[Time_of_Purchase]]</f>
        <v>701</v>
      </c>
      <c r="Y37" t="b">
        <v>1</v>
      </c>
      <c r="Z37" t="b">
        <v>1</v>
      </c>
      <c r="AA37" t="s">
        <v>74</v>
      </c>
      <c r="AB37" t="s">
        <v>67</v>
      </c>
      <c r="AC37">
        <v>13</v>
      </c>
    </row>
    <row r="38" spans="1:29" x14ac:dyDescent="0.25">
      <c r="A38" t="s">
        <v>156</v>
      </c>
      <c r="B38">
        <v>34</v>
      </c>
      <c r="C38" t="s">
        <v>43</v>
      </c>
      <c r="D38" t="s">
        <v>30</v>
      </c>
      <c r="E38" t="s">
        <v>55</v>
      </c>
      <c r="F38" t="s">
        <v>32</v>
      </c>
      <c r="G38" t="s">
        <v>44</v>
      </c>
      <c r="H38" t="s">
        <v>157</v>
      </c>
      <c r="I38" t="s">
        <v>158</v>
      </c>
      <c r="J38" s="1">
        <v>338.2</v>
      </c>
      <c r="K38">
        <v>7</v>
      </c>
      <c r="L38" t="s">
        <v>78</v>
      </c>
      <c r="M38">
        <v>3</v>
      </c>
      <c r="N38">
        <v>5</v>
      </c>
      <c r="O38">
        <v>0</v>
      </c>
      <c r="P38" t="s">
        <v>36</v>
      </c>
      <c r="Q38" t="s">
        <v>50</v>
      </c>
      <c r="R38">
        <v>1</v>
      </c>
      <c r="S38">
        <v>9</v>
      </c>
      <c r="T38" t="s">
        <v>49</v>
      </c>
      <c r="U38" t="s">
        <v>38</v>
      </c>
      <c r="V38" t="s">
        <v>66</v>
      </c>
      <c r="W38" s="2">
        <v>45536</v>
      </c>
      <c r="X38" s="4">
        <f ca="1">TODAY()-DATASET[[#This Row],[Time_of_Purchase]]</f>
        <v>598</v>
      </c>
      <c r="Y38" t="b">
        <v>1</v>
      </c>
      <c r="Z38" t="b">
        <v>0</v>
      </c>
      <c r="AA38" t="s">
        <v>52</v>
      </c>
      <c r="AB38" t="s">
        <v>53</v>
      </c>
      <c r="AC38">
        <v>7</v>
      </c>
    </row>
    <row r="39" spans="1:29" x14ac:dyDescent="0.25">
      <c r="A39" t="s">
        <v>159</v>
      </c>
      <c r="B39">
        <v>21</v>
      </c>
      <c r="C39" t="s">
        <v>29</v>
      </c>
      <c r="D39" t="s">
        <v>30</v>
      </c>
      <c r="E39" t="s">
        <v>69</v>
      </c>
      <c r="F39" t="s">
        <v>45</v>
      </c>
      <c r="G39" t="s">
        <v>30</v>
      </c>
      <c r="H39" t="s">
        <v>160</v>
      </c>
      <c r="I39" t="s">
        <v>126</v>
      </c>
      <c r="J39" s="1">
        <v>263.14999999999998</v>
      </c>
      <c r="K39">
        <v>3</v>
      </c>
      <c r="L39" t="s">
        <v>48</v>
      </c>
      <c r="M39">
        <v>1</v>
      </c>
      <c r="N39">
        <v>5</v>
      </c>
      <c r="O39">
        <v>1</v>
      </c>
      <c r="P39" t="s">
        <v>44</v>
      </c>
      <c r="Q39" t="s">
        <v>37</v>
      </c>
      <c r="R39">
        <v>1</v>
      </c>
      <c r="S39">
        <v>10</v>
      </c>
      <c r="T39" t="s">
        <v>44</v>
      </c>
      <c r="U39" t="s">
        <v>38</v>
      </c>
      <c r="V39" t="s">
        <v>66</v>
      </c>
      <c r="W39" s="2">
        <v>45355</v>
      </c>
      <c r="X39" s="4">
        <f ca="1">TODAY()-DATASET[[#This Row],[Time_of_Purchase]]</f>
        <v>779</v>
      </c>
      <c r="Y39" t="b">
        <v>1</v>
      </c>
      <c r="Z39" t="b">
        <v>0</v>
      </c>
      <c r="AA39" t="s">
        <v>62</v>
      </c>
      <c r="AB39" t="s">
        <v>67</v>
      </c>
      <c r="AC39">
        <v>10</v>
      </c>
    </row>
    <row r="40" spans="1:29" x14ac:dyDescent="0.25">
      <c r="A40" t="s">
        <v>161</v>
      </c>
      <c r="B40">
        <v>36</v>
      </c>
      <c r="C40" t="s">
        <v>29</v>
      </c>
      <c r="D40" t="s">
        <v>30</v>
      </c>
      <c r="E40" t="s">
        <v>31</v>
      </c>
      <c r="F40" t="s">
        <v>56</v>
      </c>
      <c r="G40" t="s">
        <v>30</v>
      </c>
      <c r="H40" t="s">
        <v>162</v>
      </c>
      <c r="I40" t="s">
        <v>120</v>
      </c>
      <c r="J40" s="1">
        <v>371.58</v>
      </c>
      <c r="K40">
        <v>2</v>
      </c>
      <c r="L40" t="s">
        <v>35</v>
      </c>
      <c r="M40">
        <v>2</v>
      </c>
      <c r="N40">
        <v>1</v>
      </c>
      <c r="O40">
        <v>2</v>
      </c>
      <c r="P40" t="s">
        <v>44</v>
      </c>
      <c r="Q40" t="s">
        <v>50</v>
      </c>
      <c r="R40">
        <v>0</v>
      </c>
      <c r="S40">
        <v>10</v>
      </c>
      <c r="T40" t="s">
        <v>36</v>
      </c>
      <c r="U40" t="s">
        <v>60</v>
      </c>
      <c r="V40" t="s">
        <v>86</v>
      </c>
      <c r="W40" s="2">
        <v>45548</v>
      </c>
      <c r="X40" s="4">
        <f ca="1">TODAY()-DATASET[[#This Row],[Time_of_Purchase]]</f>
        <v>586</v>
      </c>
      <c r="Y40" t="b">
        <v>1</v>
      </c>
      <c r="Z40" t="b">
        <v>1</v>
      </c>
      <c r="AA40" t="s">
        <v>52</v>
      </c>
      <c r="AB40" t="s">
        <v>41</v>
      </c>
      <c r="AC40">
        <v>11</v>
      </c>
    </row>
    <row r="41" spans="1:29" x14ac:dyDescent="0.25">
      <c r="A41" t="s">
        <v>163</v>
      </c>
      <c r="B41">
        <v>30</v>
      </c>
      <c r="C41" t="s">
        <v>43</v>
      </c>
      <c r="D41" t="s">
        <v>30</v>
      </c>
      <c r="E41" t="s">
        <v>69</v>
      </c>
      <c r="F41" t="s">
        <v>32</v>
      </c>
      <c r="G41" t="s">
        <v>30</v>
      </c>
      <c r="H41" t="s">
        <v>164</v>
      </c>
      <c r="I41" t="s">
        <v>104</v>
      </c>
      <c r="J41" s="1">
        <v>353.4</v>
      </c>
      <c r="K41">
        <v>2</v>
      </c>
      <c r="L41" t="s">
        <v>78</v>
      </c>
      <c r="M41">
        <v>2</v>
      </c>
      <c r="N41">
        <v>3</v>
      </c>
      <c r="O41">
        <v>2</v>
      </c>
      <c r="P41" t="s">
        <v>49</v>
      </c>
      <c r="Q41" t="s">
        <v>85</v>
      </c>
      <c r="R41">
        <v>0</v>
      </c>
      <c r="S41">
        <v>1</v>
      </c>
      <c r="T41" t="s">
        <v>59</v>
      </c>
      <c r="U41" t="s">
        <v>38</v>
      </c>
      <c r="V41" t="s">
        <v>39</v>
      </c>
      <c r="W41" s="2">
        <v>45632</v>
      </c>
      <c r="X41" s="4">
        <f ca="1">TODAY()-DATASET[[#This Row],[Time_of_Purchase]]</f>
        <v>502</v>
      </c>
      <c r="Y41" t="b">
        <v>0</v>
      </c>
      <c r="Z41" t="b">
        <v>1</v>
      </c>
      <c r="AA41" t="s">
        <v>62</v>
      </c>
      <c r="AB41" t="s">
        <v>41</v>
      </c>
      <c r="AC41">
        <v>3</v>
      </c>
    </row>
    <row r="42" spans="1:29" x14ac:dyDescent="0.25">
      <c r="A42" t="s">
        <v>165</v>
      </c>
      <c r="B42">
        <v>46</v>
      </c>
      <c r="C42" t="s">
        <v>29</v>
      </c>
      <c r="D42" t="s">
        <v>30</v>
      </c>
      <c r="E42" t="s">
        <v>76</v>
      </c>
      <c r="F42" t="s">
        <v>45</v>
      </c>
      <c r="G42" t="s">
        <v>44</v>
      </c>
      <c r="H42" t="s">
        <v>166</v>
      </c>
      <c r="I42" t="s">
        <v>120</v>
      </c>
      <c r="J42" s="1">
        <v>329.41</v>
      </c>
      <c r="K42">
        <v>5</v>
      </c>
      <c r="L42" t="s">
        <v>48</v>
      </c>
      <c r="M42">
        <v>5</v>
      </c>
      <c r="N42">
        <v>3</v>
      </c>
      <c r="O42">
        <v>0</v>
      </c>
      <c r="P42" t="s">
        <v>49</v>
      </c>
      <c r="Q42" t="s">
        <v>37</v>
      </c>
      <c r="R42">
        <v>1</v>
      </c>
      <c r="S42">
        <v>1</v>
      </c>
      <c r="T42" t="s">
        <v>44</v>
      </c>
      <c r="U42" t="s">
        <v>79</v>
      </c>
      <c r="V42" t="s">
        <v>86</v>
      </c>
      <c r="W42" s="2">
        <v>45586</v>
      </c>
      <c r="X42" s="4">
        <f ca="1">TODAY()-DATASET[[#This Row],[Time_of_Purchase]]</f>
        <v>548</v>
      </c>
      <c r="Y42" t="b">
        <v>1</v>
      </c>
      <c r="Z42" t="b">
        <v>1</v>
      </c>
      <c r="AA42" t="s">
        <v>40</v>
      </c>
      <c r="AB42" t="s">
        <v>41</v>
      </c>
      <c r="AC42">
        <v>2</v>
      </c>
    </row>
    <row r="43" spans="1:29" x14ac:dyDescent="0.25">
      <c r="A43" t="s">
        <v>167</v>
      </c>
      <c r="B43">
        <v>46</v>
      </c>
      <c r="C43" t="s">
        <v>29</v>
      </c>
      <c r="D43" t="s">
        <v>30</v>
      </c>
      <c r="E43" t="s">
        <v>31</v>
      </c>
      <c r="F43" t="s">
        <v>56</v>
      </c>
      <c r="G43" t="s">
        <v>30</v>
      </c>
      <c r="H43" t="s">
        <v>168</v>
      </c>
      <c r="I43" t="s">
        <v>47</v>
      </c>
      <c r="J43" s="1">
        <v>54.46</v>
      </c>
      <c r="K43">
        <v>5</v>
      </c>
      <c r="L43" t="s">
        <v>78</v>
      </c>
      <c r="M43">
        <v>4</v>
      </c>
      <c r="N43">
        <v>5</v>
      </c>
      <c r="O43">
        <v>1</v>
      </c>
      <c r="P43" t="s">
        <v>44</v>
      </c>
      <c r="Q43" t="s">
        <v>50</v>
      </c>
      <c r="R43">
        <v>1</v>
      </c>
      <c r="S43">
        <v>1</v>
      </c>
      <c r="T43" t="s">
        <v>59</v>
      </c>
      <c r="U43" t="s">
        <v>38</v>
      </c>
      <c r="V43" t="s">
        <v>66</v>
      </c>
      <c r="W43" s="2">
        <v>45613</v>
      </c>
      <c r="X43" s="4">
        <f ca="1">TODAY()-DATASET[[#This Row],[Time_of_Purchase]]</f>
        <v>521</v>
      </c>
      <c r="Y43" t="b">
        <v>0</v>
      </c>
      <c r="Z43" t="b">
        <v>0</v>
      </c>
      <c r="AA43" t="s">
        <v>62</v>
      </c>
      <c r="AB43" t="s">
        <v>53</v>
      </c>
      <c r="AC43">
        <v>1</v>
      </c>
    </row>
    <row r="44" spans="1:29" x14ac:dyDescent="0.25">
      <c r="A44" t="s">
        <v>169</v>
      </c>
      <c r="B44">
        <v>43</v>
      </c>
      <c r="C44" t="s">
        <v>43</v>
      </c>
      <c r="D44" t="s">
        <v>44</v>
      </c>
      <c r="E44" t="s">
        <v>69</v>
      </c>
      <c r="F44" t="s">
        <v>56</v>
      </c>
      <c r="G44" t="s">
        <v>30</v>
      </c>
      <c r="H44" t="s">
        <v>170</v>
      </c>
      <c r="I44" t="s">
        <v>82</v>
      </c>
      <c r="J44" s="1">
        <v>257.12</v>
      </c>
      <c r="K44">
        <v>8</v>
      </c>
      <c r="L44" t="s">
        <v>78</v>
      </c>
      <c r="M44">
        <v>2</v>
      </c>
      <c r="N44">
        <v>1</v>
      </c>
      <c r="O44">
        <v>0</v>
      </c>
      <c r="P44" t="s">
        <v>44</v>
      </c>
      <c r="Q44" t="s">
        <v>50</v>
      </c>
      <c r="R44">
        <v>2</v>
      </c>
      <c r="S44">
        <v>1</v>
      </c>
      <c r="T44" t="s">
        <v>44</v>
      </c>
      <c r="U44" t="s">
        <v>60</v>
      </c>
      <c r="V44" t="s">
        <v>66</v>
      </c>
      <c r="W44" s="2">
        <v>45497</v>
      </c>
      <c r="X44" s="4">
        <f ca="1">TODAY()-DATASET[[#This Row],[Time_of_Purchase]]</f>
        <v>637</v>
      </c>
      <c r="Y44" t="b">
        <v>1</v>
      </c>
      <c r="Z44" t="b">
        <v>0</v>
      </c>
      <c r="AA44" t="s">
        <v>62</v>
      </c>
      <c r="AB44" t="s">
        <v>41</v>
      </c>
      <c r="AC44">
        <v>11</v>
      </c>
    </row>
    <row r="45" spans="1:29" x14ac:dyDescent="0.25">
      <c r="A45" t="s">
        <v>171</v>
      </c>
      <c r="B45">
        <v>43</v>
      </c>
      <c r="C45" t="s">
        <v>43</v>
      </c>
      <c r="D45" t="s">
        <v>44</v>
      </c>
      <c r="E45" t="s">
        <v>76</v>
      </c>
      <c r="F45" t="s">
        <v>32</v>
      </c>
      <c r="G45" t="s">
        <v>30</v>
      </c>
      <c r="H45" t="s">
        <v>172</v>
      </c>
      <c r="I45" t="s">
        <v>135</v>
      </c>
      <c r="J45" s="1">
        <v>293.04000000000002</v>
      </c>
      <c r="K45">
        <v>11</v>
      </c>
      <c r="L45" t="s">
        <v>48</v>
      </c>
      <c r="M45">
        <v>4</v>
      </c>
      <c r="N45">
        <v>2</v>
      </c>
      <c r="O45">
        <v>1</v>
      </c>
      <c r="P45" t="s">
        <v>36</v>
      </c>
      <c r="Q45" t="s">
        <v>85</v>
      </c>
      <c r="R45">
        <v>1</v>
      </c>
      <c r="S45">
        <v>3</v>
      </c>
      <c r="T45" t="s">
        <v>59</v>
      </c>
      <c r="U45" t="s">
        <v>79</v>
      </c>
      <c r="V45" t="s">
        <v>51</v>
      </c>
      <c r="W45" s="2">
        <v>45354</v>
      </c>
      <c r="X45" s="4">
        <f ca="1">TODAY()-DATASET[[#This Row],[Time_of_Purchase]]</f>
        <v>780</v>
      </c>
      <c r="Y45" t="b">
        <v>1</v>
      </c>
      <c r="Z45" t="b">
        <v>0</v>
      </c>
      <c r="AA45" t="s">
        <v>74</v>
      </c>
      <c r="AB45" t="s">
        <v>53</v>
      </c>
      <c r="AC45">
        <v>6</v>
      </c>
    </row>
    <row r="46" spans="1:29" x14ac:dyDescent="0.25">
      <c r="A46" t="s">
        <v>173</v>
      </c>
      <c r="B46">
        <v>34</v>
      </c>
      <c r="C46" t="s">
        <v>43</v>
      </c>
      <c r="D46" t="s">
        <v>44</v>
      </c>
      <c r="E46" t="s">
        <v>55</v>
      </c>
      <c r="F46" t="s">
        <v>56</v>
      </c>
      <c r="G46" t="s">
        <v>44</v>
      </c>
      <c r="H46" t="s">
        <v>174</v>
      </c>
      <c r="I46" t="s">
        <v>82</v>
      </c>
      <c r="J46" s="1">
        <v>110.4</v>
      </c>
      <c r="K46">
        <v>12</v>
      </c>
      <c r="L46" t="s">
        <v>35</v>
      </c>
      <c r="M46">
        <v>5</v>
      </c>
      <c r="N46">
        <v>1</v>
      </c>
      <c r="O46">
        <v>2</v>
      </c>
      <c r="P46" t="s">
        <v>36</v>
      </c>
      <c r="Q46" t="s">
        <v>37</v>
      </c>
      <c r="R46">
        <v>1</v>
      </c>
      <c r="S46">
        <v>3</v>
      </c>
      <c r="T46" t="s">
        <v>49</v>
      </c>
      <c r="U46" t="s">
        <v>38</v>
      </c>
      <c r="V46" t="s">
        <v>61</v>
      </c>
      <c r="W46" s="2">
        <v>45609</v>
      </c>
      <c r="X46" s="4">
        <f ca="1">TODAY()-DATASET[[#This Row],[Time_of_Purchase]]</f>
        <v>525</v>
      </c>
      <c r="Y46" t="b">
        <v>0</v>
      </c>
      <c r="Z46" t="b">
        <v>0</v>
      </c>
      <c r="AA46" t="s">
        <v>40</v>
      </c>
      <c r="AB46" t="s">
        <v>53</v>
      </c>
      <c r="AC46">
        <v>12</v>
      </c>
    </row>
    <row r="47" spans="1:29" x14ac:dyDescent="0.25">
      <c r="A47" t="s">
        <v>175</v>
      </c>
      <c r="B47">
        <v>42</v>
      </c>
      <c r="C47" t="s">
        <v>29</v>
      </c>
      <c r="D47" t="s">
        <v>30</v>
      </c>
      <c r="E47" t="s">
        <v>31</v>
      </c>
      <c r="F47" t="s">
        <v>56</v>
      </c>
      <c r="G47" t="s">
        <v>44</v>
      </c>
      <c r="H47" t="s">
        <v>176</v>
      </c>
      <c r="I47" t="s">
        <v>93</v>
      </c>
      <c r="J47" s="1">
        <v>76.27</v>
      </c>
      <c r="K47">
        <v>4</v>
      </c>
      <c r="L47" t="s">
        <v>48</v>
      </c>
      <c r="M47">
        <v>2</v>
      </c>
      <c r="N47">
        <v>3</v>
      </c>
      <c r="O47">
        <v>0</v>
      </c>
      <c r="P47" t="s">
        <v>36</v>
      </c>
      <c r="Q47" t="s">
        <v>50</v>
      </c>
      <c r="R47">
        <v>0</v>
      </c>
      <c r="S47">
        <v>8</v>
      </c>
      <c r="T47" t="s">
        <v>49</v>
      </c>
      <c r="U47" t="s">
        <v>60</v>
      </c>
      <c r="V47" t="s">
        <v>39</v>
      </c>
      <c r="W47" s="2">
        <v>45650</v>
      </c>
      <c r="X47" s="4">
        <f ca="1">TODAY()-DATASET[[#This Row],[Time_of_Purchase]]</f>
        <v>484</v>
      </c>
      <c r="Y47" t="b">
        <v>1</v>
      </c>
      <c r="Z47" t="b">
        <v>0</v>
      </c>
      <c r="AA47" t="s">
        <v>52</v>
      </c>
      <c r="AB47" t="s">
        <v>53</v>
      </c>
      <c r="AC47">
        <v>10</v>
      </c>
    </row>
    <row r="48" spans="1:29" x14ac:dyDescent="0.25">
      <c r="A48" t="s">
        <v>177</v>
      </c>
      <c r="B48">
        <v>40</v>
      </c>
      <c r="C48" t="s">
        <v>29</v>
      </c>
      <c r="D48" t="s">
        <v>44</v>
      </c>
      <c r="E48" t="s">
        <v>69</v>
      </c>
      <c r="F48" t="s">
        <v>32</v>
      </c>
      <c r="G48" t="s">
        <v>30</v>
      </c>
      <c r="H48" t="s">
        <v>178</v>
      </c>
      <c r="I48" t="s">
        <v>126</v>
      </c>
      <c r="J48" s="1">
        <v>392.08</v>
      </c>
      <c r="K48">
        <v>6</v>
      </c>
      <c r="L48" t="s">
        <v>78</v>
      </c>
      <c r="M48">
        <v>2</v>
      </c>
      <c r="N48">
        <v>5</v>
      </c>
      <c r="O48">
        <v>1</v>
      </c>
      <c r="P48" t="s">
        <v>36</v>
      </c>
      <c r="Q48" t="s">
        <v>85</v>
      </c>
      <c r="R48">
        <v>2</v>
      </c>
      <c r="S48">
        <v>7</v>
      </c>
      <c r="T48" t="s">
        <v>44</v>
      </c>
      <c r="U48" t="s">
        <v>38</v>
      </c>
      <c r="V48" t="s">
        <v>66</v>
      </c>
      <c r="W48" s="2">
        <v>45508</v>
      </c>
      <c r="X48" s="4">
        <f ca="1">TODAY()-DATASET[[#This Row],[Time_of_Purchase]]</f>
        <v>626</v>
      </c>
      <c r="Y48" t="b">
        <v>1</v>
      </c>
      <c r="Z48" t="b">
        <v>1</v>
      </c>
      <c r="AA48" t="s">
        <v>40</v>
      </c>
      <c r="AB48" t="s">
        <v>67</v>
      </c>
      <c r="AC48">
        <v>6</v>
      </c>
    </row>
    <row r="49" spans="1:29" x14ac:dyDescent="0.25">
      <c r="A49" t="s">
        <v>179</v>
      </c>
      <c r="B49">
        <v>25</v>
      </c>
      <c r="C49" t="s">
        <v>29</v>
      </c>
      <c r="D49" t="s">
        <v>44</v>
      </c>
      <c r="E49" t="s">
        <v>31</v>
      </c>
      <c r="F49" t="s">
        <v>32</v>
      </c>
      <c r="G49" t="s">
        <v>44</v>
      </c>
      <c r="H49" t="s">
        <v>180</v>
      </c>
      <c r="I49" t="s">
        <v>126</v>
      </c>
      <c r="J49" s="1">
        <v>51.22</v>
      </c>
      <c r="K49">
        <v>6</v>
      </c>
      <c r="L49" t="s">
        <v>78</v>
      </c>
      <c r="M49">
        <v>2</v>
      </c>
      <c r="N49">
        <v>1</v>
      </c>
      <c r="O49">
        <v>0</v>
      </c>
      <c r="P49" t="s">
        <v>36</v>
      </c>
      <c r="Q49" t="s">
        <v>85</v>
      </c>
      <c r="R49">
        <v>1</v>
      </c>
      <c r="S49">
        <v>5</v>
      </c>
      <c r="T49" t="s">
        <v>49</v>
      </c>
      <c r="U49" t="s">
        <v>38</v>
      </c>
      <c r="V49" t="s">
        <v>86</v>
      </c>
      <c r="W49" s="2">
        <v>45529</v>
      </c>
      <c r="X49" s="4">
        <f ca="1">TODAY()-DATASET[[#This Row],[Time_of_Purchase]]</f>
        <v>605</v>
      </c>
      <c r="Y49" t="b">
        <v>1</v>
      </c>
      <c r="Z49" t="b">
        <v>1</v>
      </c>
      <c r="AA49" t="s">
        <v>74</v>
      </c>
      <c r="AB49" t="s">
        <v>53</v>
      </c>
      <c r="AC49">
        <v>5</v>
      </c>
    </row>
    <row r="50" spans="1:29" x14ac:dyDescent="0.25">
      <c r="A50" t="s">
        <v>181</v>
      </c>
      <c r="B50">
        <v>38</v>
      </c>
      <c r="C50" t="s">
        <v>43</v>
      </c>
      <c r="D50" t="s">
        <v>30</v>
      </c>
      <c r="E50" t="s">
        <v>76</v>
      </c>
      <c r="F50" t="s">
        <v>32</v>
      </c>
      <c r="G50" t="s">
        <v>44</v>
      </c>
      <c r="H50" t="s">
        <v>182</v>
      </c>
      <c r="I50" t="s">
        <v>183</v>
      </c>
      <c r="J50" s="1">
        <v>227.57</v>
      </c>
      <c r="K50">
        <v>2</v>
      </c>
      <c r="L50" t="s">
        <v>78</v>
      </c>
      <c r="M50">
        <v>1</v>
      </c>
      <c r="N50">
        <v>2</v>
      </c>
      <c r="O50">
        <v>0</v>
      </c>
      <c r="P50" t="s">
        <v>44</v>
      </c>
      <c r="Q50" t="s">
        <v>37</v>
      </c>
      <c r="R50">
        <v>1</v>
      </c>
      <c r="S50">
        <v>6</v>
      </c>
      <c r="T50" t="s">
        <v>36</v>
      </c>
      <c r="U50" t="s">
        <v>38</v>
      </c>
      <c r="V50" t="s">
        <v>51</v>
      </c>
      <c r="W50" s="2">
        <v>45521</v>
      </c>
      <c r="X50" s="4">
        <f ca="1">TODAY()-DATASET[[#This Row],[Time_of_Purchase]]</f>
        <v>613</v>
      </c>
      <c r="Y50" t="b">
        <v>0</v>
      </c>
      <c r="Z50" t="b">
        <v>1</v>
      </c>
      <c r="AA50" t="s">
        <v>52</v>
      </c>
      <c r="AB50" t="s">
        <v>41</v>
      </c>
      <c r="AC50">
        <v>14</v>
      </c>
    </row>
    <row r="51" spans="1:29" x14ac:dyDescent="0.25">
      <c r="A51" t="s">
        <v>184</v>
      </c>
      <c r="B51">
        <v>46</v>
      </c>
      <c r="C51" t="s">
        <v>29</v>
      </c>
      <c r="D51" t="s">
        <v>30</v>
      </c>
      <c r="E51" t="s">
        <v>69</v>
      </c>
      <c r="F51" t="s">
        <v>32</v>
      </c>
      <c r="G51" t="s">
        <v>30</v>
      </c>
      <c r="H51" t="s">
        <v>185</v>
      </c>
      <c r="I51" t="s">
        <v>158</v>
      </c>
      <c r="J51" s="1">
        <v>378.87</v>
      </c>
      <c r="K51">
        <v>7</v>
      </c>
      <c r="L51" t="s">
        <v>78</v>
      </c>
      <c r="M51">
        <v>1</v>
      </c>
      <c r="N51">
        <v>2</v>
      </c>
      <c r="O51">
        <v>0</v>
      </c>
      <c r="P51" t="s">
        <v>36</v>
      </c>
      <c r="Q51" t="s">
        <v>85</v>
      </c>
      <c r="R51">
        <v>1</v>
      </c>
      <c r="S51">
        <v>2</v>
      </c>
      <c r="T51" t="s">
        <v>59</v>
      </c>
      <c r="U51" t="s">
        <v>38</v>
      </c>
      <c r="V51" t="s">
        <v>51</v>
      </c>
      <c r="W51" s="2">
        <v>45383</v>
      </c>
      <c r="X51" s="4">
        <f ca="1">TODAY()-DATASET[[#This Row],[Time_of_Purchase]]</f>
        <v>751</v>
      </c>
      <c r="Y51" t="b">
        <v>1</v>
      </c>
      <c r="Z51" t="b">
        <v>0</v>
      </c>
      <c r="AA51" t="s">
        <v>74</v>
      </c>
      <c r="AB51" t="s">
        <v>41</v>
      </c>
      <c r="AC51">
        <v>5</v>
      </c>
    </row>
    <row r="52" spans="1:29" x14ac:dyDescent="0.25">
      <c r="A52" t="s">
        <v>186</v>
      </c>
      <c r="B52">
        <v>24</v>
      </c>
      <c r="C52" t="s">
        <v>29</v>
      </c>
      <c r="D52" t="s">
        <v>30</v>
      </c>
      <c r="E52" t="s">
        <v>69</v>
      </c>
      <c r="F52" t="s">
        <v>45</v>
      </c>
      <c r="G52" t="s">
        <v>44</v>
      </c>
      <c r="H52" t="s">
        <v>187</v>
      </c>
      <c r="I52" t="s">
        <v>188</v>
      </c>
      <c r="J52" s="1">
        <v>423.92</v>
      </c>
      <c r="K52">
        <v>8</v>
      </c>
      <c r="L52" t="s">
        <v>35</v>
      </c>
      <c r="M52">
        <v>3</v>
      </c>
      <c r="N52">
        <v>1</v>
      </c>
      <c r="O52">
        <v>2</v>
      </c>
      <c r="P52" t="s">
        <v>59</v>
      </c>
      <c r="Q52" t="s">
        <v>37</v>
      </c>
      <c r="R52">
        <v>0</v>
      </c>
      <c r="S52">
        <v>9</v>
      </c>
      <c r="T52" t="s">
        <v>44</v>
      </c>
      <c r="U52" t="s">
        <v>38</v>
      </c>
      <c r="V52" t="s">
        <v>39</v>
      </c>
      <c r="W52" s="2">
        <v>45528</v>
      </c>
      <c r="X52" s="4">
        <f ca="1">TODAY()-DATASET[[#This Row],[Time_of_Purchase]]</f>
        <v>606</v>
      </c>
      <c r="Y52" t="b">
        <v>0</v>
      </c>
      <c r="Z52" t="b">
        <v>1</v>
      </c>
      <c r="AA52" t="s">
        <v>40</v>
      </c>
      <c r="AB52" t="s">
        <v>53</v>
      </c>
      <c r="AC52">
        <v>8</v>
      </c>
    </row>
    <row r="53" spans="1:29" x14ac:dyDescent="0.25">
      <c r="A53" t="s">
        <v>189</v>
      </c>
      <c r="B53">
        <v>43</v>
      </c>
      <c r="C53" t="s">
        <v>190</v>
      </c>
      <c r="D53" t="s">
        <v>44</v>
      </c>
      <c r="E53" t="s">
        <v>69</v>
      </c>
      <c r="F53" t="s">
        <v>56</v>
      </c>
      <c r="G53" t="s">
        <v>30</v>
      </c>
      <c r="H53" t="s">
        <v>191</v>
      </c>
      <c r="I53" t="s">
        <v>135</v>
      </c>
      <c r="J53" s="1">
        <v>111.24</v>
      </c>
      <c r="K53">
        <v>9</v>
      </c>
      <c r="L53" t="s">
        <v>35</v>
      </c>
      <c r="M53">
        <v>5</v>
      </c>
      <c r="N53">
        <v>2</v>
      </c>
      <c r="O53">
        <v>0</v>
      </c>
      <c r="P53" t="s">
        <v>49</v>
      </c>
      <c r="Q53" t="s">
        <v>37</v>
      </c>
      <c r="R53">
        <v>0</v>
      </c>
      <c r="S53">
        <v>2</v>
      </c>
      <c r="T53" t="s">
        <v>44</v>
      </c>
      <c r="U53" t="s">
        <v>60</v>
      </c>
      <c r="V53" t="s">
        <v>39</v>
      </c>
      <c r="W53" s="2">
        <v>45510</v>
      </c>
      <c r="X53" s="4">
        <f ca="1">TODAY()-DATASET[[#This Row],[Time_of_Purchase]]</f>
        <v>624</v>
      </c>
      <c r="Y53" t="b">
        <v>1</v>
      </c>
      <c r="Z53" t="b">
        <v>0</v>
      </c>
      <c r="AA53" t="s">
        <v>40</v>
      </c>
      <c r="AB53" t="s">
        <v>41</v>
      </c>
      <c r="AC53">
        <v>12</v>
      </c>
    </row>
    <row r="54" spans="1:29" x14ac:dyDescent="0.25">
      <c r="A54" t="s">
        <v>192</v>
      </c>
      <c r="B54">
        <v>37</v>
      </c>
      <c r="C54" t="s">
        <v>29</v>
      </c>
      <c r="D54" t="s">
        <v>30</v>
      </c>
      <c r="E54" t="s">
        <v>55</v>
      </c>
      <c r="F54" t="s">
        <v>32</v>
      </c>
      <c r="G54" t="s">
        <v>30</v>
      </c>
      <c r="H54" t="s">
        <v>193</v>
      </c>
      <c r="I54" t="s">
        <v>194</v>
      </c>
      <c r="J54" s="1">
        <v>299.31</v>
      </c>
      <c r="K54">
        <v>7</v>
      </c>
      <c r="L54" t="s">
        <v>35</v>
      </c>
      <c r="M54">
        <v>2</v>
      </c>
      <c r="N54">
        <v>4</v>
      </c>
      <c r="O54">
        <v>1</v>
      </c>
      <c r="P54" t="s">
        <v>49</v>
      </c>
      <c r="Q54" t="s">
        <v>85</v>
      </c>
      <c r="R54">
        <v>2</v>
      </c>
      <c r="S54">
        <v>3</v>
      </c>
      <c r="T54" t="s">
        <v>36</v>
      </c>
      <c r="U54" t="s">
        <v>79</v>
      </c>
      <c r="V54" t="s">
        <v>61</v>
      </c>
      <c r="W54" s="2">
        <v>45323</v>
      </c>
      <c r="X54" s="4">
        <f ca="1">TODAY()-DATASET[[#This Row],[Time_of_Purchase]]</f>
        <v>811</v>
      </c>
      <c r="Y54" t="b">
        <v>1</v>
      </c>
      <c r="Z54" t="b">
        <v>0</v>
      </c>
      <c r="AA54" t="s">
        <v>40</v>
      </c>
      <c r="AB54" t="s">
        <v>67</v>
      </c>
      <c r="AC54">
        <v>3</v>
      </c>
    </row>
    <row r="55" spans="1:29" x14ac:dyDescent="0.25">
      <c r="A55" t="s">
        <v>195</v>
      </c>
      <c r="B55">
        <v>42</v>
      </c>
      <c r="C55" t="s">
        <v>43</v>
      </c>
      <c r="D55" t="s">
        <v>30</v>
      </c>
      <c r="E55" t="s">
        <v>69</v>
      </c>
      <c r="F55" t="s">
        <v>56</v>
      </c>
      <c r="G55" t="s">
        <v>30</v>
      </c>
      <c r="H55" t="s">
        <v>196</v>
      </c>
      <c r="I55" t="s">
        <v>101</v>
      </c>
      <c r="J55" s="1">
        <v>169.28</v>
      </c>
      <c r="K55">
        <v>7</v>
      </c>
      <c r="L55" t="s">
        <v>35</v>
      </c>
      <c r="M55">
        <v>4</v>
      </c>
      <c r="N55">
        <v>4</v>
      </c>
      <c r="O55">
        <v>1</v>
      </c>
      <c r="P55" t="s">
        <v>36</v>
      </c>
      <c r="Q55" t="s">
        <v>37</v>
      </c>
      <c r="R55">
        <v>2</v>
      </c>
      <c r="S55">
        <v>1</v>
      </c>
      <c r="T55" t="s">
        <v>59</v>
      </c>
      <c r="U55" t="s">
        <v>38</v>
      </c>
      <c r="V55" t="s">
        <v>86</v>
      </c>
      <c r="W55" s="2">
        <v>45460</v>
      </c>
      <c r="X55" s="4">
        <f ca="1">TODAY()-DATASET[[#This Row],[Time_of_Purchase]]</f>
        <v>674</v>
      </c>
      <c r="Y55" t="b">
        <v>1</v>
      </c>
      <c r="Z55" t="b">
        <v>1</v>
      </c>
      <c r="AA55" t="s">
        <v>62</v>
      </c>
      <c r="AB55" t="s">
        <v>41</v>
      </c>
      <c r="AC55">
        <v>6</v>
      </c>
    </row>
    <row r="56" spans="1:29" x14ac:dyDescent="0.25">
      <c r="A56" t="s">
        <v>197</v>
      </c>
      <c r="B56">
        <v>29</v>
      </c>
      <c r="C56" t="s">
        <v>43</v>
      </c>
      <c r="D56" t="s">
        <v>30</v>
      </c>
      <c r="E56" t="s">
        <v>69</v>
      </c>
      <c r="F56" t="s">
        <v>45</v>
      </c>
      <c r="G56" t="s">
        <v>44</v>
      </c>
      <c r="H56" t="s">
        <v>198</v>
      </c>
      <c r="I56" t="s">
        <v>58</v>
      </c>
      <c r="J56" s="1">
        <v>449.13</v>
      </c>
      <c r="K56">
        <v>9</v>
      </c>
      <c r="L56" t="s">
        <v>48</v>
      </c>
      <c r="M56">
        <v>2</v>
      </c>
      <c r="N56">
        <v>1</v>
      </c>
      <c r="O56">
        <v>0.5</v>
      </c>
      <c r="P56" t="s">
        <v>49</v>
      </c>
      <c r="Q56" t="s">
        <v>50</v>
      </c>
      <c r="R56">
        <v>2</v>
      </c>
      <c r="S56">
        <v>2</v>
      </c>
      <c r="T56" t="s">
        <v>59</v>
      </c>
      <c r="U56" t="s">
        <v>38</v>
      </c>
      <c r="V56" t="s">
        <v>39</v>
      </c>
      <c r="W56" s="2">
        <v>45455</v>
      </c>
      <c r="X56" s="4">
        <f ca="1">TODAY()-DATASET[[#This Row],[Time_of_Purchase]]</f>
        <v>679</v>
      </c>
      <c r="Y56" t="b">
        <v>0</v>
      </c>
      <c r="Z56" t="b">
        <v>0</v>
      </c>
      <c r="AA56" t="s">
        <v>74</v>
      </c>
      <c r="AB56" t="s">
        <v>41</v>
      </c>
      <c r="AC56">
        <v>14</v>
      </c>
    </row>
    <row r="57" spans="1:29" x14ac:dyDescent="0.25">
      <c r="A57" t="s">
        <v>199</v>
      </c>
      <c r="B57">
        <v>35</v>
      </c>
      <c r="C57" t="s">
        <v>29</v>
      </c>
      <c r="D57" t="s">
        <v>44</v>
      </c>
      <c r="E57" t="s">
        <v>31</v>
      </c>
      <c r="F57" t="s">
        <v>56</v>
      </c>
      <c r="G57" t="s">
        <v>44</v>
      </c>
      <c r="H57" t="s">
        <v>200</v>
      </c>
      <c r="I57" t="s">
        <v>101</v>
      </c>
      <c r="J57" s="1">
        <v>427.48</v>
      </c>
      <c r="K57">
        <v>6</v>
      </c>
      <c r="L57" t="s">
        <v>78</v>
      </c>
      <c r="M57">
        <v>4</v>
      </c>
      <c r="N57">
        <v>2</v>
      </c>
      <c r="O57">
        <v>0</v>
      </c>
      <c r="P57" t="s">
        <v>49</v>
      </c>
      <c r="Q57" t="s">
        <v>50</v>
      </c>
      <c r="R57">
        <v>1</v>
      </c>
      <c r="S57">
        <v>1</v>
      </c>
      <c r="T57" t="s">
        <v>59</v>
      </c>
      <c r="U57" t="s">
        <v>60</v>
      </c>
      <c r="V57" t="s">
        <v>61</v>
      </c>
      <c r="W57" s="2">
        <v>45642</v>
      </c>
      <c r="X57" s="4">
        <f ca="1">TODAY()-DATASET[[#This Row],[Time_of_Purchase]]</f>
        <v>492</v>
      </c>
      <c r="Y57" t="b">
        <v>1</v>
      </c>
      <c r="Z57" t="b">
        <v>0</v>
      </c>
      <c r="AA57" t="s">
        <v>62</v>
      </c>
      <c r="AB57" t="s">
        <v>53</v>
      </c>
      <c r="AC57">
        <v>11</v>
      </c>
    </row>
    <row r="58" spans="1:29" x14ac:dyDescent="0.25">
      <c r="A58" t="s">
        <v>201</v>
      </c>
      <c r="B58">
        <v>27</v>
      </c>
      <c r="C58" t="s">
        <v>29</v>
      </c>
      <c r="D58" t="s">
        <v>30</v>
      </c>
      <c r="E58" t="s">
        <v>55</v>
      </c>
      <c r="F58" t="s">
        <v>45</v>
      </c>
      <c r="G58" t="s">
        <v>44</v>
      </c>
      <c r="H58" t="s">
        <v>202</v>
      </c>
      <c r="I58" t="s">
        <v>90</v>
      </c>
      <c r="J58" s="1">
        <v>171.61</v>
      </c>
      <c r="K58">
        <v>3</v>
      </c>
      <c r="L58" t="s">
        <v>78</v>
      </c>
      <c r="M58">
        <v>3</v>
      </c>
      <c r="N58">
        <v>1</v>
      </c>
      <c r="O58">
        <v>2</v>
      </c>
      <c r="P58" t="s">
        <v>59</v>
      </c>
      <c r="Q58" t="s">
        <v>85</v>
      </c>
      <c r="R58">
        <v>1</v>
      </c>
      <c r="S58">
        <v>6</v>
      </c>
      <c r="T58" t="s">
        <v>44</v>
      </c>
      <c r="U58" t="s">
        <v>79</v>
      </c>
      <c r="V58" t="s">
        <v>39</v>
      </c>
      <c r="W58" s="2">
        <v>45596</v>
      </c>
      <c r="X58" s="4">
        <f ca="1">TODAY()-DATASET[[#This Row],[Time_of_Purchase]]</f>
        <v>538</v>
      </c>
      <c r="Y58" t="b">
        <v>1</v>
      </c>
      <c r="Z58" t="b">
        <v>0</v>
      </c>
      <c r="AA58" t="s">
        <v>74</v>
      </c>
      <c r="AB58" t="s">
        <v>67</v>
      </c>
      <c r="AC58">
        <v>8</v>
      </c>
    </row>
    <row r="59" spans="1:29" x14ac:dyDescent="0.25">
      <c r="A59" t="s">
        <v>203</v>
      </c>
      <c r="B59">
        <v>40</v>
      </c>
      <c r="C59" t="s">
        <v>29</v>
      </c>
      <c r="D59" t="s">
        <v>44</v>
      </c>
      <c r="E59" t="s">
        <v>31</v>
      </c>
      <c r="F59" t="s">
        <v>32</v>
      </c>
      <c r="G59" t="s">
        <v>44</v>
      </c>
      <c r="H59" t="s">
        <v>204</v>
      </c>
      <c r="I59" t="s">
        <v>82</v>
      </c>
      <c r="J59" s="1">
        <v>240.28</v>
      </c>
      <c r="K59">
        <v>3</v>
      </c>
      <c r="L59" t="s">
        <v>78</v>
      </c>
      <c r="M59">
        <v>3</v>
      </c>
      <c r="N59">
        <v>5</v>
      </c>
      <c r="O59">
        <v>2</v>
      </c>
      <c r="P59" t="s">
        <v>44</v>
      </c>
      <c r="Q59" t="s">
        <v>50</v>
      </c>
      <c r="R59">
        <v>2</v>
      </c>
      <c r="S59">
        <v>7</v>
      </c>
      <c r="T59" t="s">
        <v>49</v>
      </c>
      <c r="U59" t="s">
        <v>38</v>
      </c>
      <c r="V59" t="s">
        <v>86</v>
      </c>
      <c r="W59" s="2">
        <v>45633</v>
      </c>
      <c r="X59" s="4">
        <f ca="1">TODAY()-DATASET[[#This Row],[Time_of_Purchase]]</f>
        <v>501</v>
      </c>
      <c r="Y59" t="b">
        <v>1</v>
      </c>
      <c r="Z59" t="b">
        <v>1</v>
      </c>
      <c r="AA59" t="s">
        <v>62</v>
      </c>
      <c r="AB59" t="s">
        <v>53</v>
      </c>
      <c r="AC59">
        <v>4</v>
      </c>
    </row>
    <row r="60" spans="1:29" x14ac:dyDescent="0.25">
      <c r="A60" t="s">
        <v>205</v>
      </c>
      <c r="B60">
        <v>34</v>
      </c>
      <c r="C60" t="s">
        <v>29</v>
      </c>
      <c r="D60" t="s">
        <v>44</v>
      </c>
      <c r="E60" t="s">
        <v>55</v>
      </c>
      <c r="F60" t="s">
        <v>45</v>
      </c>
      <c r="G60" t="s">
        <v>44</v>
      </c>
      <c r="H60" t="s">
        <v>206</v>
      </c>
      <c r="I60" t="s">
        <v>71</v>
      </c>
      <c r="J60" s="1">
        <v>310.17</v>
      </c>
      <c r="K60">
        <v>6</v>
      </c>
      <c r="L60" t="s">
        <v>48</v>
      </c>
      <c r="M60">
        <v>2</v>
      </c>
      <c r="N60">
        <v>3</v>
      </c>
      <c r="O60">
        <v>2</v>
      </c>
      <c r="P60" t="s">
        <v>49</v>
      </c>
      <c r="Q60" t="s">
        <v>85</v>
      </c>
      <c r="R60">
        <v>0</v>
      </c>
      <c r="S60">
        <v>10</v>
      </c>
      <c r="T60" t="s">
        <v>36</v>
      </c>
      <c r="U60" t="s">
        <v>60</v>
      </c>
      <c r="V60" t="s">
        <v>61</v>
      </c>
      <c r="W60" s="2">
        <v>45346</v>
      </c>
      <c r="X60" s="4">
        <f ca="1">TODAY()-DATASET[[#This Row],[Time_of_Purchase]]</f>
        <v>788</v>
      </c>
      <c r="Y60" t="b">
        <v>0</v>
      </c>
      <c r="Z60" t="b">
        <v>0</v>
      </c>
      <c r="AA60" t="s">
        <v>52</v>
      </c>
      <c r="AB60" t="s">
        <v>41</v>
      </c>
      <c r="AC60">
        <v>13</v>
      </c>
    </row>
    <row r="61" spans="1:29" x14ac:dyDescent="0.25">
      <c r="A61" t="s">
        <v>207</v>
      </c>
      <c r="B61">
        <v>25</v>
      </c>
      <c r="C61" t="s">
        <v>29</v>
      </c>
      <c r="D61" t="s">
        <v>30</v>
      </c>
      <c r="E61" t="s">
        <v>31</v>
      </c>
      <c r="F61" t="s">
        <v>32</v>
      </c>
      <c r="G61" t="s">
        <v>30</v>
      </c>
      <c r="H61" t="s">
        <v>208</v>
      </c>
      <c r="I61" t="s">
        <v>107</v>
      </c>
      <c r="J61" s="1">
        <v>166</v>
      </c>
      <c r="K61">
        <v>10</v>
      </c>
      <c r="L61" t="s">
        <v>78</v>
      </c>
      <c r="M61">
        <v>5</v>
      </c>
      <c r="N61">
        <v>3</v>
      </c>
      <c r="O61">
        <v>0</v>
      </c>
      <c r="P61" t="s">
        <v>44</v>
      </c>
      <c r="Q61" t="s">
        <v>50</v>
      </c>
      <c r="R61">
        <v>2</v>
      </c>
      <c r="S61">
        <v>10</v>
      </c>
      <c r="T61" t="s">
        <v>49</v>
      </c>
      <c r="U61" t="s">
        <v>60</v>
      </c>
      <c r="V61" t="s">
        <v>51</v>
      </c>
      <c r="W61" s="2">
        <v>45454</v>
      </c>
      <c r="X61" s="4">
        <f ca="1">TODAY()-DATASET[[#This Row],[Time_of_Purchase]]</f>
        <v>680</v>
      </c>
      <c r="Y61" t="b">
        <v>0</v>
      </c>
      <c r="Z61" t="b">
        <v>0</v>
      </c>
      <c r="AA61" t="s">
        <v>62</v>
      </c>
      <c r="AB61" t="s">
        <v>67</v>
      </c>
      <c r="AC61">
        <v>5</v>
      </c>
    </row>
    <row r="62" spans="1:29" x14ac:dyDescent="0.25">
      <c r="A62" t="s">
        <v>209</v>
      </c>
      <c r="B62">
        <v>38</v>
      </c>
      <c r="C62" t="s">
        <v>43</v>
      </c>
      <c r="D62" t="s">
        <v>44</v>
      </c>
      <c r="E62" t="s">
        <v>76</v>
      </c>
      <c r="F62" t="s">
        <v>32</v>
      </c>
      <c r="G62" t="s">
        <v>44</v>
      </c>
      <c r="H62" t="s">
        <v>210</v>
      </c>
      <c r="I62" t="s">
        <v>123</v>
      </c>
      <c r="J62" s="1">
        <v>362.01</v>
      </c>
      <c r="K62">
        <v>2</v>
      </c>
      <c r="L62" t="s">
        <v>48</v>
      </c>
      <c r="M62">
        <v>2</v>
      </c>
      <c r="N62">
        <v>4</v>
      </c>
      <c r="O62">
        <v>1</v>
      </c>
      <c r="P62" t="s">
        <v>36</v>
      </c>
      <c r="Q62" t="s">
        <v>37</v>
      </c>
      <c r="R62">
        <v>2</v>
      </c>
      <c r="S62">
        <v>1</v>
      </c>
      <c r="T62" t="s">
        <v>49</v>
      </c>
      <c r="U62" t="s">
        <v>38</v>
      </c>
      <c r="V62" t="s">
        <v>61</v>
      </c>
      <c r="W62" s="2">
        <v>45620</v>
      </c>
      <c r="X62" s="4">
        <f ca="1">TODAY()-DATASET[[#This Row],[Time_of_Purchase]]</f>
        <v>514</v>
      </c>
      <c r="Y62" t="b">
        <v>0</v>
      </c>
      <c r="Z62" t="b">
        <v>0</v>
      </c>
      <c r="AA62" t="s">
        <v>62</v>
      </c>
      <c r="AB62" t="s">
        <v>67</v>
      </c>
      <c r="AC62">
        <v>1</v>
      </c>
    </row>
    <row r="63" spans="1:29" x14ac:dyDescent="0.25">
      <c r="A63" t="s">
        <v>211</v>
      </c>
      <c r="B63">
        <v>33</v>
      </c>
      <c r="C63" t="s">
        <v>212</v>
      </c>
      <c r="D63" t="s">
        <v>44</v>
      </c>
      <c r="E63" t="s">
        <v>31</v>
      </c>
      <c r="F63" t="s">
        <v>32</v>
      </c>
      <c r="G63" t="s">
        <v>30</v>
      </c>
      <c r="H63" t="s">
        <v>213</v>
      </c>
      <c r="I63" t="s">
        <v>194</v>
      </c>
      <c r="J63" s="1">
        <v>348.5</v>
      </c>
      <c r="K63">
        <v>3</v>
      </c>
      <c r="L63" t="s">
        <v>35</v>
      </c>
      <c r="M63">
        <v>2</v>
      </c>
      <c r="N63">
        <v>3</v>
      </c>
      <c r="O63">
        <v>2</v>
      </c>
      <c r="P63" t="s">
        <v>36</v>
      </c>
      <c r="Q63" t="s">
        <v>50</v>
      </c>
      <c r="R63">
        <v>0</v>
      </c>
      <c r="S63">
        <v>6</v>
      </c>
      <c r="T63" t="s">
        <v>49</v>
      </c>
      <c r="U63" t="s">
        <v>60</v>
      </c>
      <c r="V63" t="s">
        <v>61</v>
      </c>
      <c r="W63" s="2">
        <v>45482</v>
      </c>
      <c r="X63" s="4">
        <f ca="1">TODAY()-DATASET[[#This Row],[Time_of_Purchase]]</f>
        <v>652</v>
      </c>
      <c r="Y63" t="b">
        <v>0</v>
      </c>
      <c r="Z63" t="b">
        <v>0</v>
      </c>
      <c r="AA63" t="s">
        <v>74</v>
      </c>
      <c r="AB63" t="s">
        <v>41</v>
      </c>
      <c r="AC63">
        <v>8</v>
      </c>
    </row>
    <row r="64" spans="1:29" x14ac:dyDescent="0.25">
      <c r="A64" t="s">
        <v>214</v>
      </c>
      <c r="B64">
        <v>32</v>
      </c>
      <c r="C64" t="s">
        <v>29</v>
      </c>
      <c r="D64" t="s">
        <v>30</v>
      </c>
      <c r="E64" t="s">
        <v>31</v>
      </c>
      <c r="F64" t="s">
        <v>32</v>
      </c>
      <c r="G64" t="s">
        <v>44</v>
      </c>
      <c r="H64" t="s">
        <v>215</v>
      </c>
      <c r="I64" t="s">
        <v>101</v>
      </c>
      <c r="J64" s="1">
        <v>395.97</v>
      </c>
      <c r="K64">
        <v>9</v>
      </c>
      <c r="L64" t="s">
        <v>48</v>
      </c>
      <c r="M64">
        <v>1</v>
      </c>
      <c r="N64">
        <v>4</v>
      </c>
      <c r="O64">
        <v>0</v>
      </c>
      <c r="P64" t="s">
        <v>49</v>
      </c>
      <c r="Q64" t="s">
        <v>85</v>
      </c>
      <c r="R64">
        <v>1</v>
      </c>
      <c r="S64">
        <v>6</v>
      </c>
      <c r="T64" t="s">
        <v>59</v>
      </c>
      <c r="U64" t="s">
        <v>38</v>
      </c>
      <c r="V64" t="s">
        <v>61</v>
      </c>
      <c r="W64" s="2">
        <v>45522</v>
      </c>
      <c r="X64" s="4">
        <f ca="1">TODAY()-DATASET[[#This Row],[Time_of_Purchase]]</f>
        <v>612</v>
      </c>
      <c r="Y64" t="b">
        <v>1</v>
      </c>
      <c r="Z64" t="b">
        <v>1</v>
      </c>
      <c r="AA64" t="s">
        <v>52</v>
      </c>
      <c r="AB64" t="s">
        <v>53</v>
      </c>
      <c r="AC64">
        <v>1</v>
      </c>
    </row>
    <row r="65" spans="1:29" x14ac:dyDescent="0.25">
      <c r="A65" t="s">
        <v>216</v>
      </c>
      <c r="B65">
        <v>50</v>
      </c>
      <c r="C65" t="s">
        <v>29</v>
      </c>
      <c r="D65" t="s">
        <v>30</v>
      </c>
      <c r="E65" t="s">
        <v>69</v>
      </c>
      <c r="F65" t="s">
        <v>45</v>
      </c>
      <c r="G65" t="s">
        <v>30</v>
      </c>
      <c r="H65" t="s">
        <v>217</v>
      </c>
      <c r="I65" t="s">
        <v>90</v>
      </c>
      <c r="J65" s="1">
        <v>474.99</v>
      </c>
      <c r="K65">
        <v>9</v>
      </c>
      <c r="L65" t="s">
        <v>78</v>
      </c>
      <c r="M65">
        <v>2</v>
      </c>
      <c r="N65">
        <v>4</v>
      </c>
      <c r="O65">
        <v>1</v>
      </c>
      <c r="P65" t="s">
        <v>36</v>
      </c>
      <c r="Q65" t="s">
        <v>37</v>
      </c>
      <c r="R65">
        <v>0</v>
      </c>
      <c r="S65">
        <v>8</v>
      </c>
      <c r="T65" t="s">
        <v>44</v>
      </c>
      <c r="U65" t="s">
        <v>79</v>
      </c>
      <c r="V65" t="s">
        <v>39</v>
      </c>
      <c r="W65" s="2">
        <v>45483</v>
      </c>
      <c r="X65" s="4">
        <f ca="1">TODAY()-DATASET[[#This Row],[Time_of_Purchase]]</f>
        <v>651</v>
      </c>
      <c r="Y65" t="b">
        <v>1</v>
      </c>
      <c r="Z65" t="b">
        <v>0</v>
      </c>
      <c r="AA65" t="s">
        <v>74</v>
      </c>
      <c r="AB65" t="s">
        <v>53</v>
      </c>
      <c r="AC65">
        <v>5</v>
      </c>
    </row>
    <row r="66" spans="1:29" x14ac:dyDescent="0.25">
      <c r="A66" t="s">
        <v>218</v>
      </c>
      <c r="B66">
        <v>35</v>
      </c>
      <c r="C66" t="s">
        <v>29</v>
      </c>
      <c r="D66" t="s">
        <v>30</v>
      </c>
      <c r="E66" t="s">
        <v>69</v>
      </c>
      <c r="F66" t="s">
        <v>45</v>
      </c>
      <c r="G66" t="s">
        <v>30</v>
      </c>
      <c r="H66" t="s">
        <v>219</v>
      </c>
      <c r="I66" t="s">
        <v>98</v>
      </c>
      <c r="J66" s="1">
        <v>286.43</v>
      </c>
      <c r="K66">
        <v>4</v>
      </c>
      <c r="L66" t="s">
        <v>35</v>
      </c>
      <c r="M66">
        <v>1</v>
      </c>
      <c r="N66">
        <v>3</v>
      </c>
      <c r="O66">
        <v>0</v>
      </c>
      <c r="P66" t="s">
        <v>44</v>
      </c>
      <c r="Q66" t="s">
        <v>85</v>
      </c>
      <c r="R66">
        <v>2</v>
      </c>
      <c r="S66">
        <v>3</v>
      </c>
      <c r="T66" t="s">
        <v>36</v>
      </c>
      <c r="U66" t="s">
        <v>79</v>
      </c>
      <c r="V66" t="s">
        <v>86</v>
      </c>
      <c r="W66" s="2">
        <v>45485</v>
      </c>
      <c r="X66" s="4">
        <f ca="1">TODAY()-DATASET[[#This Row],[Time_of_Purchase]]</f>
        <v>649</v>
      </c>
      <c r="Y66" t="b">
        <v>1</v>
      </c>
      <c r="Z66" t="b">
        <v>0</v>
      </c>
      <c r="AA66" t="s">
        <v>52</v>
      </c>
      <c r="AB66" t="s">
        <v>67</v>
      </c>
      <c r="AC66">
        <v>14</v>
      </c>
    </row>
    <row r="67" spans="1:29" x14ac:dyDescent="0.25">
      <c r="A67" t="s">
        <v>220</v>
      </c>
      <c r="B67">
        <v>19</v>
      </c>
      <c r="C67" t="s">
        <v>148</v>
      </c>
      <c r="D67" t="s">
        <v>44</v>
      </c>
      <c r="E67" t="s">
        <v>69</v>
      </c>
      <c r="F67" t="s">
        <v>45</v>
      </c>
      <c r="G67" t="s">
        <v>44</v>
      </c>
      <c r="H67" t="s">
        <v>221</v>
      </c>
      <c r="I67" t="s">
        <v>104</v>
      </c>
      <c r="J67" s="1">
        <v>333.32</v>
      </c>
      <c r="K67">
        <v>8</v>
      </c>
      <c r="L67" t="s">
        <v>78</v>
      </c>
      <c r="M67">
        <v>1</v>
      </c>
      <c r="N67">
        <v>5</v>
      </c>
      <c r="O67">
        <v>0</v>
      </c>
      <c r="P67" t="s">
        <v>59</v>
      </c>
      <c r="Q67" t="s">
        <v>85</v>
      </c>
      <c r="R67">
        <v>0</v>
      </c>
      <c r="S67">
        <v>3</v>
      </c>
      <c r="T67" t="s">
        <v>44</v>
      </c>
      <c r="U67" t="s">
        <v>60</v>
      </c>
      <c r="V67" t="s">
        <v>39</v>
      </c>
      <c r="W67" s="2">
        <v>45570</v>
      </c>
      <c r="X67" s="4">
        <f ca="1">TODAY()-DATASET[[#This Row],[Time_of_Purchase]]</f>
        <v>564</v>
      </c>
      <c r="Y67" t="b">
        <v>1</v>
      </c>
      <c r="Z67" t="b">
        <v>0</v>
      </c>
      <c r="AA67" t="s">
        <v>74</v>
      </c>
      <c r="AB67" t="s">
        <v>41</v>
      </c>
      <c r="AC67">
        <v>3</v>
      </c>
    </row>
    <row r="68" spans="1:29" x14ac:dyDescent="0.25">
      <c r="A68" t="s">
        <v>222</v>
      </c>
      <c r="B68">
        <v>46</v>
      </c>
      <c r="C68" t="s">
        <v>88</v>
      </c>
      <c r="D68" t="s">
        <v>44</v>
      </c>
      <c r="E68" t="s">
        <v>55</v>
      </c>
      <c r="F68" t="s">
        <v>56</v>
      </c>
      <c r="G68" t="s">
        <v>44</v>
      </c>
      <c r="H68" t="s">
        <v>223</v>
      </c>
      <c r="I68" t="s">
        <v>117</v>
      </c>
      <c r="J68" s="1">
        <v>223.47</v>
      </c>
      <c r="K68">
        <v>9</v>
      </c>
      <c r="L68" t="s">
        <v>35</v>
      </c>
      <c r="M68">
        <v>2</v>
      </c>
      <c r="N68">
        <v>1</v>
      </c>
      <c r="O68">
        <v>1</v>
      </c>
      <c r="P68" t="s">
        <v>44</v>
      </c>
      <c r="Q68" t="s">
        <v>37</v>
      </c>
      <c r="R68">
        <v>0</v>
      </c>
      <c r="S68">
        <v>2</v>
      </c>
      <c r="T68" t="s">
        <v>36</v>
      </c>
      <c r="U68" t="s">
        <v>38</v>
      </c>
      <c r="V68" t="s">
        <v>61</v>
      </c>
      <c r="W68" s="2">
        <v>45555</v>
      </c>
      <c r="X68" s="4">
        <f ca="1">TODAY()-DATASET[[#This Row],[Time_of_Purchase]]</f>
        <v>579</v>
      </c>
      <c r="Y68" t="b">
        <v>1</v>
      </c>
      <c r="Z68" t="b">
        <v>1</v>
      </c>
      <c r="AA68" t="s">
        <v>40</v>
      </c>
      <c r="AB68" t="s">
        <v>53</v>
      </c>
      <c r="AC68">
        <v>8</v>
      </c>
    </row>
    <row r="69" spans="1:29" x14ac:dyDescent="0.25">
      <c r="A69" t="s">
        <v>224</v>
      </c>
      <c r="B69">
        <v>23</v>
      </c>
      <c r="C69" t="s">
        <v>43</v>
      </c>
      <c r="D69" t="s">
        <v>30</v>
      </c>
      <c r="E69" t="s">
        <v>76</v>
      </c>
      <c r="F69" t="s">
        <v>56</v>
      </c>
      <c r="G69" t="s">
        <v>30</v>
      </c>
      <c r="H69" t="s">
        <v>225</v>
      </c>
      <c r="I69" t="s">
        <v>90</v>
      </c>
      <c r="J69" s="1">
        <v>414.83</v>
      </c>
      <c r="K69">
        <v>2</v>
      </c>
      <c r="L69" t="s">
        <v>35</v>
      </c>
      <c r="M69">
        <v>2</v>
      </c>
      <c r="N69">
        <v>4</v>
      </c>
      <c r="O69">
        <v>0.5</v>
      </c>
      <c r="P69" t="s">
        <v>44</v>
      </c>
      <c r="Q69" t="s">
        <v>37</v>
      </c>
      <c r="R69">
        <v>2</v>
      </c>
      <c r="S69">
        <v>4</v>
      </c>
      <c r="T69" t="s">
        <v>44</v>
      </c>
      <c r="U69" t="s">
        <v>79</v>
      </c>
      <c r="V69" t="s">
        <v>39</v>
      </c>
      <c r="W69" s="2">
        <v>45489</v>
      </c>
      <c r="X69" s="4">
        <f ca="1">TODAY()-DATASET[[#This Row],[Time_of_Purchase]]</f>
        <v>645</v>
      </c>
      <c r="Y69" t="b">
        <v>0</v>
      </c>
      <c r="Z69" t="b">
        <v>0</v>
      </c>
      <c r="AA69" t="s">
        <v>74</v>
      </c>
      <c r="AB69" t="s">
        <v>67</v>
      </c>
      <c r="AC69">
        <v>8</v>
      </c>
    </row>
    <row r="70" spans="1:29" x14ac:dyDescent="0.25">
      <c r="A70" t="s">
        <v>226</v>
      </c>
      <c r="B70">
        <v>34</v>
      </c>
      <c r="C70" t="s">
        <v>29</v>
      </c>
      <c r="D70" t="s">
        <v>44</v>
      </c>
      <c r="E70" t="s">
        <v>69</v>
      </c>
      <c r="F70" t="s">
        <v>56</v>
      </c>
      <c r="G70" t="s">
        <v>44</v>
      </c>
      <c r="H70" t="s">
        <v>227</v>
      </c>
      <c r="I70" t="s">
        <v>82</v>
      </c>
      <c r="J70" s="1">
        <v>391.38</v>
      </c>
      <c r="K70">
        <v>5</v>
      </c>
      <c r="L70" t="s">
        <v>48</v>
      </c>
      <c r="M70">
        <v>5</v>
      </c>
      <c r="N70">
        <v>2</v>
      </c>
      <c r="O70">
        <v>2</v>
      </c>
      <c r="P70" t="s">
        <v>59</v>
      </c>
      <c r="Q70" t="s">
        <v>50</v>
      </c>
      <c r="R70">
        <v>0</v>
      </c>
      <c r="S70">
        <v>7</v>
      </c>
      <c r="T70" t="s">
        <v>59</v>
      </c>
      <c r="U70" t="s">
        <v>38</v>
      </c>
      <c r="V70" t="s">
        <v>66</v>
      </c>
      <c r="W70" s="2">
        <v>45384</v>
      </c>
      <c r="X70" s="4">
        <f ca="1">TODAY()-DATASET[[#This Row],[Time_of_Purchase]]</f>
        <v>750</v>
      </c>
      <c r="Y70" t="b">
        <v>0</v>
      </c>
      <c r="Z70" t="b">
        <v>0</v>
      </c>
      <c r="AA70" t="s">
        <v>40</v>
      </c>
      <c r="AB70" t="s">
        <v>41</v>
      </c>
      <c r="AC70">
        <v>8</v>
      </c>
    </row>
    <row r="71" spans="1:29" x14ac:dyDescent="0.25">
      <c r="A71" t="s">
        <v>228</v>
      </c>
      <c r="B71">
        <v>48</v>
      </c>
      <c r="C71" t="s">
        <v>43</v>
      </c>
      <c r="D71" t="s">
        <v>30</v>
      </c>
      <c r="E71" t="s">
        <v>76</v>
      </c>
      <c r="F71" t="s">
        <v>32</v>
      </c>
      <c r="G71" t="s">
        <v>44</v>
      </c>
      <c r="H71" t="s">
        <v>229</v>
      </c>
      <c r="I71" t="s">
        <v>71</v>
      </c>
      <c r="J71" s="1">
        <v>368.4</v>
      </c>
      <c r="K71">
        <v>11</v>
      </c>
      <c r="L71" t="s">
        <v>78</v>
      </c>
      <c r="M71">
        <v>2</v>
      </c>
      <c r="N71">
        <v>5</v>
      </c>
      <c r="O71">
        <v>1</v>
      </c>
      <c r="P71" t="s">
        <v>44</v>
      </c>
      <c r="Q71" t="s">
        <v>50</v>
      </c>
      <c r="R71">
        <v>0</v>
      </c>
      <c r="S71">
        <v>3</v>
      </c>
      <c r="T71" t="s">
        <v>44</v>
      </c>
      <c r="U71" t="s">
        <v>79</v>
      </c>
      <c r="V71" t="s">
        <v>39</v>
      </c>
      <c r="W71" s="2">
        <v>45464</v>
      </c>
      <c r="X71" s="4">
        <f ca="1">TODAY()-DATASET[[#This Row],[Time_of_Purchase]]</f>
        <v>670</v>
      </c>
      <c r="Y71" t="b">
        <v>0</v>
      </c>
      <c r="Z71" t="b">
        <v>0</v>
      </c>
      <c r="AA71" t="s">
        <v>40</v>
      </c>
      <c r="AB71" t="s">
        <v>41</v>
      </c>
      <c r="AC71">
        <v>13</v>
      </c>
    </row>
    <row r="72" spans="1:29" x14ac:dyDescent="0.25">
      <c r="A72" t="s">
        <v>230</v>
      </c>
      <c r="B72">
        <v>27</v>
      </c>
      <c r="C72" t="s">
        <v>88</v>
      </c>
      <c r="D72" t="s">
        <v>30</v>
      </c>
      <c r="E72" t="s">
        <v>69</v>
      </c>
      <c r="F72" t="s">
        <v>45</v>
      </c>
      <c r="G72" t="s">
        <v>30</v>
      </c>
      <c r="H72" t="s">
        <v>231</v>
      </c>
      <c r="I72" t="s">
        <v>71</v>
      </c>
      <c r="J72" s="1">
        <v>328.36</v>
      </c>
      <c r="K72">
        <v>11</v>
      </c>
      <c r="L72" t="s">
        <v>48</v>
      </c>
      <c r="M72">
        <v>1</v>
      </c>
      <c r="N72">
        <v>4</v>
      </c>
      <c r="O72">
        <v>2</v>
      </c>
      <c r="P72" t="s">
        <v>44</v>
      </c>
      <c r="Q72" t="s">
        <v>85</v>
      </c>
      <c r="R72">
        <v>0</v>
      </c>
      <c r="S72">
        <v>4</v>
      </c>
      <c r="T72" t="s">
        <v>36</v>
      </c>
      <c r="U72" t="s">
        <v>38</v>
      </c>
      <c r="V72" t="s">
        <v>86</v>
      </c>
      <c r="W72" s="2">
        <v>45362</v>
      </c>
      <c r="X72" s="4">
        <f ca="1">TODAY()-DATASET[[#This Row],[Time_of_Purchase]]</f>
        <v>772</v>
      </c>
      <c r="Y72" t="b">
        <v>0</v>
      </c>
      <c r="Z72" t="b">
        <v>1</v>
      </c>
      <c r="AA72" t="s">
        <v>52</v>
      </c>
      <c r="AB72" t="s">
        <v>67</v>
      </c>
      <c r="AC72">
        <v>4</v>
      </c>
    </row>
    <row r="73" spans="1:29" x14ac:dyDescent="0.25">
      <c r="A73" t="s">
        <v>232</v>
      </c>
      <c r="B73">
        <v>37</v>
      </c>
      <c r="C73" t="s">
        <v>29</v>
      </c>
      <c r="D73" t="s">
        <v>30</v>
      </c>
      <c r="E73" t="s">
        <v>76</v>
      </c>
      <c r="F73" t="s">
        <v>32</v>
      </c>
      <c r="G73" t="s">
        <v>30</v>
      </c>
      <c r="H73" t="s">
        <v>233</v>
      </c>
      <c r="I73" t="s">
        <v>65</v>
      </c>
      <c r="J73" s="1">
        <v>424.39</v>
      </c>
      <c r="K73">
        <v>9</v>
      </c>
      <c r="L73" t="s">
        <v>35</v>
      </c>
      <c r="M73">
        <v>3</v>
      </c>
      <c r="N73">
        <v>1</v>
      </c>
      <c r="O73">
        <v>1</v>
      </c>
      <c r="P73" t="s">
        <v>44</v>
      </c>
      <c r="Q73" t="s">
        <v>37</v>
      </c>
      <c r="R73">
        <v>0</v>
      </c>
      <c r="S73">
        <v>7</v>
      </c>
      <c r="T73" t="s">
        <v>59</v>
      </c>
      <c r="U73" t="s">
        <v>60</v>
      </c>
      <c r="V73" t="s">
        <v>39</v>
      </c>
      <c r="W73" s="2">
        <v>45348</v>
      </c>
      <c r="X73" s="4">
        <f ca="1">TODAY()-DATASET[[#This Row],[Time_of_Purchase]]</f>
        <v>786</v>
      </c>
      <c r="Y73" t="b">
        <v>1</v>
      </c>
      <c r="Z73" t="b">
        <v>0</v>
      </c>
      <c r="AA73" t="s">
        <v>52</v>
      </c>
      <c r="AB73" t="s">
        <v>41</v>
      </c>
      <c r="AC73">
        <v>13</v>
      </c>
    </row>
    <row r="74" spans="1:29" x14ac:dyDescent="0.25">
      <c r="A74" t="s">
        <v>234</v>
      </c>
      <c r="B74">
        <v>47</v>
      </c>
      <c r="C74" t="s">
        <v>43</v>
      </c>
      <c r="D74" t="s">
        <v>44</v>
      </c>
      <c r="E74" t="s">
        <v>31</v>
      </c>
      <c r="F74" t="s">
        <v>45</v>
      </c>
      <c r="G74" t="s">
        <v>44</v>
      </c>
      <c r="H74" t="s">
        <v>235</v>
      </c>
      <c r="I74" t="s">
        <v>142</v>
      </c>
      <c r="J74" s="1">
        <v>197.12</v>
      </c>
      <c r="K74">
        <v>10</v>
      </c>
      <c r="L74" t="s">
        <v>48</v>
      </c>
      <c r="M74">
        <v>4</v>
      </c>
      <c r="N74">
        <v>4</v>
      </c>
      <c r="O74">
        <v>0</v>
      </c>
      <c r="P74" t="s">
        <v>59</v>
      </c>
      <c r="Q74" t="s">
        <v>37</v>
      </c>
      <c r="R74">
        <v>1</v>
      </c>
      <c r="S74">
        <v>1</v>
      </c>
      <c r="T74" t="s">
        <v>49</v>
      </c>
      <c r="U74" t="s">
        <v>38</v>
      </c>
      <c r="V74" t="s">
        <v>66</v>
      </c>
      <c r="W74" s="2">
        <v>45457</v>
      </c>
      <c r="X74" s="4">
        <f ca="1">TODAY()-DATASET[[#This Row],[Time_of_Purchase]]</f>
        <v>677</v>
      </c>
      <c r="Y74" t="b">
        <v>1</v>
      </c>
      <c r="Z74" t="b">
        <v>1</v>
      </c>
      <c r="AA74" t="s">
        <v>52</v>
      </c>
      <c r="AB74" t="s">
        <v>53</v>
      </c>
      <c r="AC74">
        <v>10</v>
      </c>
    </row>
    <row r="75" spans="1:29" x14ac:dyDescent="0.25">
      <c r="A75" t="s">
        <v>236</v>
      </c>
      <c r="B75">
        <v>45</v>
      </c>
      <c r="C75" t="s">
        <v>43</v>
      </c>
      <c r="D75" t="s">
        <v>44</v>
      </c>
      <c r="E75" t="s">
        <v>55</v>
      </c>
      <c r="F75" t="s">
        <v>32</v>
      </c>
      <c r="G75" t="s">
        <v>44</v>
      </c>
      <c r="H75" t="s">
        <v>237</v>
      </c>
      <c r="I75" t="s">
        <v>82</v>
      </c>
      <c r="J75" s="1">
        <v>454.57</v>
      </c>
      <c r="K75">
        <v>9</v>
      </c>
      <c r="L75" t="s">
        <v>35</v>
      </c>
      <c r="M75">
        <v>2</v>
      </c>
      <c r="N75">
        <v>5</v>
      </c>
      <c r="O75">
        <v>1</v>
      </c>
      <c r="P75" t="s">
        <v>59</v>
      </c>
      <c r="Q75" t="s">
        <v>37</v>
      </c>
      <c r="R75">
        <v>0</v>
      </c>
      <c r="S75">
        <v>1</v>
      </c>
      <c r="T75" t="s">
        <v>49</v>
      </c>
      <c r="U75" t="s">
        <v>60</v>
      </c>
      <c r="V75" t="s">
        <v>61</v>
      </c>
      <c r="W75" s="2">
        <v>45375</v>
      </c>
      <c r="X75" s="4">
        <f ca="1">TODAY()-DATASET[[#This Row],[Time_of_Purchase]]</f>
        <v>759</v>
      </c>
      <c r="Y75" t="b">
        <v>1</v>
      </c>
      <c r="Z75" t="b">
        <v>1</v>
      </c>
      <c r="AA75" t="s">
        <v>52</v>
      </c>
      <c r="AB75" t="s">
        <v>67</v>
      </c>
      <c r="AC75">
        <v>1</v>
      </c>
    </row>
    <row r="76" spans="1:29" x14ac:dyDescent="0.25">
      <c r="A76" t="s">
        <v>238</v>
      </c>
      <c r="B76">
        <v>37</v>
      </c>
      <c r="C76" t="s">
        <v>43</v>
      </c>
      <c r="D76" t="s">
        <v>30</v>
      </c>
      <c r="E76" t="s">
        <v>76</v>
      </c>
      <c r="F76" t="s">
        <v>45</v>
      </c>
      <c r="G76" t="s">
        <v>44</v>
      </c>
      <c r="H76" t="s">
        <v>239</v>
      </c>
      <c r="I76" t="s">
        <v>117</v>
      </c>
      <c r="J76" s="1">
        <v>298.38</v>
      </c>
      <c r="K76">
        <v>4</v>
      </c>
      <c r="L76" t="s">
        <v>35</v>
      </c>
      <c r="M76">
        <v>3</v>
      </c>
      <c r="N76">
        <v>4</v>
      </c>
      <c r="O76">
        <v>2</v>
      </c>
      <c r="P76" t="s">
        <v>44</v>
      </c>
      <c r="Q76" t="s">
        <v>85</v>
      </c>
      <c r="R76">
        <v>0</v>
      </c>
      <c r="S76">
        <v>2</v>
      </c>
      <c r="T76" t="s">
        <v>59</v>
      </c>
      <c r="U76" t="s">
        <v>38</v>
      </c>
      <c r="V76" t="s">
        <v>86</v>
      </c>
      <c r="W76" s="2">
        <v>45409</v>
      </c>
      <c r="X76" s="4">
        <f ca="1">TODAY()-DATASET[[#This Row],[Time_of_Purchase]]</f>
        <v>725</v>
      </c>
      <c r="Y76" t="b">
        <v>0</v>
      </c>
      <c r="Z76" t="b">
        <v>1</v>
      </c>
      <c r="AA76" t="s">
        <v>40</v>
      </c>
      <c r="AB76" t="s">
        <v>53</v>
      </c>
      <c r="AC76">
        <v>3</v>
      </c>
    </row>
    <row r="77" spans="1:29" x14ac:dyDescent="0.25">
      <c r="A77" t="s">
        <v>240</v>
      </c>
      <c r="B77">
        <v>36</v>
      </c>
      <c r="C77" t="s">
        <v>43</v>
      </c>
      <c r="D77" t="s">
        <v>44</v>
      </c>
      <c r="E77" t="s">
        <v>76</v>
      </c>
      <c r="F77" t="s">
        <v>45</v>
      </c>
      <c r="G77" t="s">
        <v>44</v>
      </c>
      <c r="H77" t="s">
        <v>241</v>
      </c>
      <c r="I77" t="s">
        <v>183</v>
      </c>
      <c r="J77" s="1">
        <v>111.7</v>
      </c>
      <c r="K77">
        <v>6</v>
      </c>
      <c r="L77" t="s">
        <v>78</v>
      </c>
      <c r="M77">
        <v>4</v>
      </c>
      <c r="N77">
        <v>5</v>
      </c>
      <c r="O77">
        <v>0</v>
      </c>
      <c r="P77" t="s">
        <v>49</v>
      </c>
      <c r="Q77" t="s">
        <v>37</v>
      </c>
      <c r="R77">
        <v>2</v>
      </c>
      <c r="S77">
        <v>5</v>
      </c>
      <c r="T77" t="s">
        <v>44</v>
      </c>
      <c r="U77" t="s">
        <v>38</v>
      </c>
      <c r="V77" t="s">
        <v>39</v>
      </c>
      <c r="W77" s="2">
        <v>45603</v>
      </c>
      <c r="X77" s="4">
        <f ca="1">TODAY()-DATASET[[#This Row],[Time_of_Purchase]]</f>
        <v>531</v>
      </c>
      <c r="Y77" t="b">
        <v>0</v>
      </c>
      <c r="Z77" t="b">
        <v>0</v>
      </c>
      <c r="AA77" t="s">
        <v>74</v>
      </c>
      <c r="AB77" t="s">
        <v>53</v>
      </c>
      <c r="AC77">
        <v>7</v>
      </c>
    </row>
    <row r="78" spans="1:29" x14ac:dyDescent="0.25">
      <c r="A78" t="s">
        <v>242</v>
      </c>
      <c r="B78">
        <v>34</v>
      </c>
      <c r="C78" t="s">
        <v>43</v>
      </c>
      <c r="D78" t="s">
        <v>30</v>
      </c>
      <c r="E78" t="s">
        <v>31</v>
      </c>
      <c r="F78" t="s">
        <v>32</v>
      </c>
      <c r="G78" t="s">
        <v>30</v>
      </c>
      <c r="H78" t="s">
        <v>243</v>
      </c>
      <c r="I78" t="s">
        <v>183</v>
      </c>
      <c r="J78" s="1">
        <v>373.69</v>
      </c>
      <c r="K78">
        <v>10</v>
      </c>
      <c r="L78" t="s">
        <v>78</v>
      </c>
      <c r="M78">
        <v>3</v>
      </c>
      <c r="N78">
        <v>2</v>
      </c>
      <c r="O78">
        <v>2</v>
      </c>
      <c r="P78" t="s">
        <v>49</v>
      </c>
      <c r="Q78" t="s">
        <v>50</v>
      </c>
      <c r="R78">
        <v>1</v>
      </c>
      <c r="S78">
        <v>8</v>
      </c>
      <c r="T78" t="s">
        <v>36</v>
      </c>
      <c r="U78" t="s">
        <v>38</v>
      </c>
      <c r="V78" t="s">
        <v>39</v>
      </c>
      <c r="W78" s="2">
        <v>45630</v>
      </c>
      <c r="X78" s="4">
        <f ca="1">TODAY()-DATASET[[#This Row],[Time_of_Purchase]]</f>
        <v>504</v>
      </c>
      <c r="Y78" t="b">
        <v>0</v>
      </c>
      <c r="Z78" t="b">
        <v>1</v>
      </c>
      <c r="AA78" t="s">
        <v>62</v>
      </c>
      <c r="AB78" t="s">
        <v>67</v>
      </c>
      <c r="AC78">
        <v>14</v>
      </c>
    </row>
    <row r="79" spans="1:29" x14ac:dyDescent="0.25">
      <c r="A79" t="s">
        <v>244</v>
      </c>
      <c r="B79">
        <v>37</v>
      </c>
      <c r="C79" t="s">
        <v>43</v>
      </c>
      <c r="D79" t="s">
        <v>44</v>
      </c>
      <c r="E79" t="s">
        <v>69</v>
      </c>
      <c r="F79" t="s">
        <v>56</v>
      </c>
      <c r="G79" t="s">
        <v>30</v>
      </c>
      <c r="H79" t="s">
        <v>245</v>
      </c>
      <c r="I79" t="s">
        <v>246</v>
      </c>
      <c r="J79" s="1">
        <v>354.87</v>
      </c>
      <c r="K79">
        <v>5</v>
      </c>
      <c r="L79" t="s">
        <v>48</v>
      </c>
      <c r="M79">
        <v>1</v>
      </c>
      <c r="N79">
        <v>1</v>
      </c>
      <c r="O79">
        <v>0</v>
      </c>
      <c r="P79" t="s">
        <v>36</v>
      </c>
      <c r="Q79" t="s">
        <v>50</v>
      </c>
      <c r="R79">
        <v>2</v>
      </c>
      <c r="S79">
        <v>4</v>
      </c>
      <c r="T79" t="s">
        <v>36</v>
      </c>
      <c r="U79" t="s">
        <v>79</v>
      </c>
      <c r="V79" t="s">
        <v>86</v>
      </c>
      <c r="W79" s="2">
        <v>45400</v>
      </c>
      <c r="X79" s="4">
        <f ca="1">TODAY()-DATASET[[#This Row],[Time_of_Purchase]]</f>
        <v>734</v>
      </c>
      <c r="Y79" t="b">
        <v>0</v>
      </c>
      <c r="Z79" t="b">
        <v>1</v>
      </c>
      <c r="AA79" t="s">
        <v>74</v>
      </c>
      <c r="AB79" t="s">
        <v>67</v>
      </c>
      <c r="AC79">
        <v>12</v>
      </c>
    </row>
    <row r="80" spans="1:29" x14ac:dyDescent="0.25">
      <c r="A80" t="s">
        <v>247</v>
      </c>
      <c r="B80">
        <v>18</v>
      </c>
      <c r="C80" t="s">
        <v>29</v>
      </c>
      <c r="D80" t="s">
        <v>30</v>
      </c>
      <c r="E80" t="s">
        <v>69</v>
      </c>
      <c r="F80" t="s">
        <v>32</v>
      </c>
      <c r="G80" t="s">
        <v>44</v>
      </c>
      <c r="H80" t="s">
        <v>248</v>
      </c>
      <c r="I80" t="s">
        <v>93</v>
      </c>
      <c r="J80" s="1">
        <v>214.48</v>
      </c>
      <c r="K80">
        <v>2</v>
      </c>
      <c r="L80" t="s">
        <v>78</v>
      </c>
      <c r="M80">
        <v>4</v>
      </c>
      <c r="N80">
        <v>2</v>
      </c>
      <c r="O80">
        <v>2</v>
      </c>
      <c r="P80" t="s">
        <v>36</v>
      </c>
      <c r="Q80" t="s">
        <v>85</v>
      </c>
      <c r="R80">
        <v>1</v>
      </c>
      <c r="S80">
        <v>3</v>
      </c>
      <c r="T80" t="s">
        <v>36</v>
      </c>
      <c r="U80" t="s">
        <v>38</v>
      </c>
      <c r="V80" t="s">
        <v>86</v>
      </c>
      <c r="W80" s="2">
        <v>45403</v>
      </c>
      <c r="X80" s="4">
        <f ca="1">TODAY()-DATASET[[#This Row],[Time_of_Purchase]]</f>
        <v>731</v>
      </c>
      <c r="Y80" t="b">
        <v>1</v>
      </c>
      <c r="Z80" t="b">
        <v>1</v>
      </c>
      <c r="AA80" t="s">
        <v>52</v>
      </c>
      <c r="AB80" t="s">
        <v>67</v>
      </c>
      <c r="AC80">
        <v>2</v>
      </c>
    </row>
    <row r="81" spans="1:29" x14ac:dyDescent="0.25">
      <c r="A81" t="s">
        <v>249</v>
      </c>
      <c r="B81">
        <v>20</v>
      </c>
      <c r="C81" t="s">
        <v>43</v>
      </c>
      <c r="D81" t="s">
        <v>44</v>
      </c>
      <c r="E81" t="s">
        <v>76</v>
      </c>
      <c r="F81" t="s">
        <v>32</v>
      </c>
      <c r="G81" t="s">
        <v>30</v>
      </c>
      <c r="H81" t="s">
        <v>250</v>
      </c>
      <c r="I81" t="s">
        <v>120</v>
      </c>
      <c r="J81" s="1">
        <v>399.58</v>
      </c>
      <c r="K81">
        <v>6</v>
      </c>
      <c r="L81" t="s">
        <v>48</v>
      </c>
      <c r="M81">
        <v>3</v>
      </c>
      <c r="N81">
        <v>4</v>
      </c>
      <c r="O81">
        <v>0</v>
      </c>
      <c r="P81" t="s">
        <v>36</v>
      </c>
      <c r="Q81" t="s">
        <v>85</v>
      </c>
      <c r="R81">
        <v>1</v>
      </c>
      <c r="S81">
        <v>8</v>
      </c>
      <c r="T81" t="s">
        <v>59</v>
      </c>
      <c r="U81" t="s">
        <v>38</v>
      </c>
      <c r="V81" t="s">
        <v>66</v>
      </c>
      <c r="W81" s="2">
        <v>45560</v>
      </c>
      <c r="X81" s="4">
        <f ca="1">TODAY()-DATASET[[#This Row],[Time_of_Purchase]]</f>
        <v>574</v>
      </c>
      <c r="Y81" t="b">
        <v>1</v>
      </c>
      <c r="Z81" t="b">
        <v>0</v>
      </c>
      <c r="AA81" t="s">
        <v>40</v>
      </c>
      <c r="AB81" t="s">
        <v>53</v>
      </c>
      <c r="AC81">
        <v>7</v>
      </c>
    </row>
    <row r="82" spans="1:29" x14ac:dyDescent="0.25">
      <c r="A82" t="s">
        <v>251</v>
      </c>
      <c r="B82">
        <v>27</v>
      </c>
      <c r="C82" t="s">
        <v>29</v>
      </c>
      <c r="D82" t="s">
        <v>44</v>
      </c>
      <c r="E82" t="s">
        <v>69</v>
      </c>
      <c r="F82" t="s">
        <v>45</v>
      </c>
      <c r="G82" t="s">
        <v>30</v>
      </c>
      <c r="H82" t="s">
        <v>252</v>
      </c>
      <c r="I82" t="s">
        <v>98</v>
      </c>
      <c r="J82" s="1">
        <v>380.99</v>
      </c>
      <c r="K82">
        <v>7</v>
      </c>
      <c r="L82" t="s">
        <v>35</v>
      </c>
      <c r="M82">
        <v>1</v>
      </c>
      <c r="N82">
        <v>2</v>
      </c>
      <c r="O82">
        <v>1</v>
      </c>
      <c r="P82" t="s">
        <v>59</v>
      </c>
      <c r="Q82" t="s">
        <v>37</v>
      </c>
      <c r="R82">
        <v>0</v>
      </c>
      <c r="S82">
        <v>1</v>
      </c>
      <c r="T82" t="s">
        <v>49</v>
      </c>
      <c r="U82" t="s">
        <v>79</v>
      </c>
      <c r="V82" t="s">
        <v>86</v>
      </c>
      <c r="W82" s="2">
        <v>45635</v>
      </c>
      <c r="X82" s="4">
        <f ca="1">TODAY()-DATASET[[#This Row],[Time_of_Purchase]]</f>
        <v>499</v>
      </c>
      <c r="Y82" t="b">
        <v>1</v>
      </c>
      <c r="Z82" t="b">
        <v>1</v>
      </c>
      <c r="AA82" t="s">
        <v>40</v>
      </c>
      <c r="AB82" t="s">
        <v>41</v>
      </c>
      <c r="AC82">
        <v>8</v>
      </c>
    </row>
    <row r="83" spans="1:29" x14ac:dyDescent="0.25">
      <c r="A83" t="s">
        <v>253</v>
      </c>
      <c r="B83">
        <v>36</v>
      </c>
      <c r="C83" t="s">
        <v>43</v>
      </c>
      <c r="D83" t="s">
        <v>30</v>
      </c>
      <c r="E83" t="s">
        <v>31</v>
      </c>
      <c r="F83" t="s">
        <v>45</v>
      </c>
      <c r="G83" t="s">
        <v>44</v>
      </c>
      <c r="H83" t="s">
        <v>254</v>
      </c>
      <c r="I83" t="s">
        <v>47</v>
      </c>
      <c r="J83" s="1">
        <v>79</v>
      </c>
      <c r="K83">
        <v>10</v>
      </c>
      <c r="L83" t="s">
        <v>78</v>
      </c>
      <c r="M83">
        <v>1</v>
      </c>
      <c r="N83">
        <v>2</v>
      </c>
      <c r="O83">
        <v>1</v>
      </c>
      <c r="P83" t="s">
        <v>49</v>
      </c>
      <c r="Q83" t="s">
        <v>85</v>
      </c>
      <c r="R83">
        <v>2</v>
      </c>
      <c r="S83">
        <v>6</v>
      </c>
      <c r="T83" t="s">
        <v>59</v>
      </c>
      <c r="U83" t="s">
        <v>60</v>
      </c>
      <c r="V83" t="s">
        <v>86</v>
      </c>
      <c r="W83" s="2">
        <v>45549</v>
      </c>
      <c r="X83" s="4">
        <f ca="1">TODAY()-DATASET[[#This Row],[Time_of_Purchase]]</f>
        <v>585</v>
      </c>
      <c r="Y83" t="b">
        <v>0</v>
      </c>
      <c r="Z83" t="b">
        <v>1</v>
      </c>
      <c r="AA83" t="s">
        <v>74</v>
      </c>
      <c r="AB83" t="s">
        <v>53</v>
      </c>
      <c r="AC83">
        <v>7</v>
      </c>
    </row>
    <row r="84" spans="1:29" x14ac:dyDescent="0.25">
      <c r="A84" t="s">
        <v>255</v>
      </c>
      <c r="B84">
        <v>46</v>
      </c>
      <c r="C84" t="s">
        <v>29</v>
      </c>
      <c r="D84" t="s">
        <v>30</v>
      </c>
      <c r="E84" t="s">
        <v>31</v>
      </c>
      <c r="F84" t="s">
        <v>32</v>
      </c>
      <c r="G84" t="s">
        <v>30</v>
      </c>
      <c r="H84" t="s">
        <v>256</v>
      </c>
      <c r="I84" t="s">
        <v>158</v>
      </c>
      <c r="J84" s="1">
        <v>113.88</v>
      </c>
      <c r="K84">
        <v>2</v>
      </c>
      <c r="L84" t="s">
        <v>78</v>
      </c>
      <c r="M84">
        <v>5</v>
      </c>
      <c r="N84">
        <v>2</v>
      </c>
      <c r="O84">
        <v>2</v>
      </c>
      <c r="P84" t="s">
        <v>49</v>
      </c>
      <c r="Q84" t="s">
        <v>50</v>
      </c>
      <c r="R84">
        <v>2</v>
      </c>
      <c r="S84">
        <v>4</v>
      </c>
      <c r="T84" t="s">
        <v>44</v>
      </c>
      <c r="U84" t="s">
        <v>38</v>
      </c>
      <c r="V84" t="s">
        <v>51</v>
      </c>
      <c r="W84" s="2">
        <v>45380</v>
      </c>
      <c r="X84" s="4">
        <f ca="1">TODAY()-DATASET[[#This Row],[Time_of_Purchase]]</f>
        <v>754</v>
      </c>
      <c r="Y84" t="b">
        <v>0</v>
      </c>
      <c r="Z84" t="b">
        <v>0</v>
      </c>
      <c r="AA84" t="s">
        <v>52</v>
      </c>
      <c r="AB84" t="s">
        <v>67</v>
      </c>
      <c r="AC84">
        <v>9</v>
      </c>
    </row>
    <row r="85" spans="1:29" x14ac:dyDescent="0.25">
      <c r="A85" t="s">
        <v>257</v>
      </c>
      <c r="B85">
        <v>26</v>
      </c>
      <c r="C85" t="s">
        <v>43</v>
      </c>
      <c r="D85" t="s">
        <v>30</v>
      </c>
      <c r="E85" t="s">
        <v>31</v>
      </c>
      <c r="F85" t="s">
        <v>45</v>
      </c>
      <c r="G85" t="s">
        <v>30</v>
      </c>
      <c r="H85" t="s">
        <v>258</v>
      </c>
      <c r="I85" t="s">
        <v>194</v>
      </c>
      <c r="J85" s="1">
        <v>121.57</v>
      </c>
      <c r="K85">
        <v>4</v>
      </c>
      <c r="L85" t="s">
        <v>35</v>
      </c>
      <c r="M85">
        <v>1</v>
      </c>
      <c r="N85">
        <v>5</v>
      </c>
      <c r="O85">
        <v>0</v>
      </c>
      <c r="P85" t="s">
        <v>44</v>
      </c>
      <c r="Q85" t="s">
        <v>50</v>
      </c>
      <c r="R85">
        <v>0</v>
      </c>
      <c r="S85">
        <v>4</v>
      </c>
      <c r="T85" t="s">
        <v>44</v>
      </c>
      <c r="U85" t="s">
        <v>79</v>
      </c>
      <c r="V85" t="s">
        <v>66</v>
      </c>
      <c r="W85" s="2">
        <v>45449</v>
      </c>
      <c r="X85" s="4">
        <f ca="1">TODAY()-DATASET[[#This Row],[Time_of_Purchase]]</f>
        <v>685</v>
      </c>
      <c r="Y85" t="b">
        <v>0</v>
      </c>
      <c r="Z85" t="b">
        <v>1</v>
      </c>
      <c r="AA85" t="s">
        <v>62</v>
      </c>
      <c r="AB85" t="s">
        <v>41</v>
      </c>
      <c r="AC85">
        <v>13</v>
      </c>
    </row>
    <row r="86" spans="1:29" x14ac:dyDescent="0.25">
      <c r="A86" t="s">
        <v>259</v>
      </c>
      <c r="B86">
        <v>21</v>
      </c>
      <c r="C86" t="s">
        <v>29</v>
      </c>
      <c r="D86" t="s">
        <v>44</v>
      </c>
      <c r="E86" t="s">
        <v>76</v>
      </c>
      <c r="F86" t="s">
        <v>45</v>
      </c>
      <c r="G86" t="s">
        <v>30</v>
      </c>
      <c r="H86" t="s">
        <v>260</v>
      </c>
      <c r="I86" t="s">
        <v>142</v>
      </c>
      <c r="J86" s="1">
        <v>215.54</v>
      </c>
      <c r="K86">
        <v>11</v>
      </c>
      <c r="L86" t="s">
        <v>78</v>
      </c>
      <c r="M86">
        <v>3</v>
      </c>
      <c r="N86">
        <v>1</v>
      </c>
      <c r="O86">
        <v>2</v>
      </c>
      <c r="P86" t="s">
        <v>59</v>
      </c>
      <c r="Q86" t="s">
        <v>37</v>
      </c>
      <c r="R86">
        <v>2</v>
      </c>
      <c r="S86">
        <v>6</v>
      </c>
      <c r="T86" t="s">
        <v>44</v>
      </c>
      <c r="U86" t="s">
        <v>79</v>
      </c>
      <c r="V86" t="s">
        <v>39</v>
      </c>
      <c r="W86" s="2">
        <v>45390</v>
      </c>
      <c r="X86" s="4">
        <f ca="1">TODAY()-DATASET[[#This Row],[Time_of_Purchase]]</f>
        <v>744</v>
      </c>
      <c r="Y86" t="b">
        <v>1</v>
      </c>
      <c r="Z86" t="b">
        <v>1</v>
      </c>
      <c r="AA86" t="s">
        <v>74</v>
      </c>
      <c r="AB86" t="s">
        <v>41</v>
      </c>
      <c r="AC86">
        <v>10</v>
      </c>
    </row>
    <row r="87" spans="1:29" x14ac:dyDescent="0.25">
      <c r="A87" t="s">
        <v>261</v>
      </c>
      <c r="B87">
        <v>43</v>
      </c>
      <c r="C87" t="s">
        <v>43</v>
      </c>
      <c r="D87" t="s">
        <v>44</v>
      </c>
      <c r="E87" t="s">
        <v>31</v>
      </c>
      <c r="F87" t="s">
        <v>32</v>
      </c>
      <c r="G87" t="s">
        <v>44</v>
      </c>
      <c r="H87" t="s">
        <v>262</v>
      </c>
      <c r="I87" t="s">
        <v>71</v>
      </c>
      <c r="J87" s="1">
        <v>87.03</v>
      </c>
      <c r="K87">
        <v>10</v>
      </c>
      <c r="L87" t="s">
        <v>35</v>
      </c>
      <c r="M87">
        <v>1</v>
      </c>
      <c r="N87">
        <v>1</v>
      </c>
      <c r="O87">
        <v>0</v>
      </c>
      <c r="P87" t="s">
        <v>59</v>
      </c>
      <c r="Q87" t="s">
        <v>85</v>
      </c>
      <c r="R87">
        <v>1</v>
      </c>
      <c r="S87">
        <v>5</v>
      </c>
      <c r="T87" t="s">
        <v>44</v>
      </c>
      <c r="U87" t="s">
        <v>79</v>
      </c>
      <c r="V87" t="s">
        <v>51</v>
      </c>
      <c r="W87" s="2">
        <v>45515</v>
      </c>
      <c r="X87" s="4">
        <f ca="1">TODAY()-DATASET[[#This Row],[Time_of_Purchase]]</f>
        <v>619</v>
      </c>
      <c r="Y87" t="b">
        <v>0</v>
      </c>
      <c r="Z87" t="b">
        <v>1</v>
      </c>
      <c r="AA87" t="s">
        <v>40</v>
      </c>
      <c r="AB87" t="s">
        <v>41</v>
      </c>
      <c r="AC87">
        <v>7</v>
      </c>
    </row>
    <row r="88" spans="1:29" x14ac:dyDescent="0.25">
      <c r="A88" t="s">
        <v>263</v>
      </c>
      <c r="B88">
        <v>19</v>
      </c>
      <c r="C88" t="s">
        <v>43</v>
      </c>
      <c r="D88" t="s">
        <v>44</v>
      </c>
      <c r="E88" t="s">
        <v>76</v>
      </c>
      <c r="F88" t="s">
        <v>45</v>
      </c>
      <c r="G88" t="s">
        <v>44</v>
      </c>
      <c r="H88" t="s">
        <v>264</v>
      </c>
      <c r="I88" t="s">
        <v>194</v>
      </c>
      <c r="J88" s="1">
        <v>111.75</v>
      </c>
      <c r="K88">
        <v>4</v>
      </c>
      <c r="L88" t="s">
        <v>48</v>
      </c>
      <c r="M88">
        <v>1</v>
      </c>
      <c r="N88">
        <v>4</v>
      </c>
      <c r="O88">
        <v>0</v>
      </c>
      <c r="P88" t="s">
        <v>44</v>
      </c>
      <c r="Q88" t="s">
        <v>50</v>
      </c>
      <c r="R88">
        <v>1</v>
      </c>
      <c r="S88">
        <v>6</v>
      </c>
      <c r="T88" t="s">
        <v>44</v>
      </c>
      <c r="U88" t="s">
        <v>38</v>
      </c>
      <c r="V88" t="s">
        <v>61</v>
      </c>
      <c r="W88" s="2">
        <v>45575</v>
      </c>
      <c r="X88" s="4">
        <f ca="1">TODAY()-DATASET[[#This Row],[Time_of_Purchase]]</f>
        <v>559</v>
      </c>
      <c r="Y88" t="b">
        <v>0</v>
      </c>
      <c r="Z88" t="b">
        <v>1</v>
      </c>
      <c r="AA88" t="s">
        <v>62</v>
      </c>
      <c r="AB88" t="s">
        <v>53</v>
      </c>
      <c r="AC88">
        <v>8</v>
      </c>
    </row>
    <row r="89" spans="1:29" x14ac:dyDescent="0.25">
      <c r="A89" t="s">
        <v>265</v>
      </c>
      <c r="B89">
        <v>41</v>
      </c>
      <c r="C89" t="s">
        <v>29</v>
      </c>
      <c r="D89" t="s">
        <v>44</v>
      </c>
      <c r="E89" t="s">
        <v>69</v>
      </c>
      <c r="F89" t="s">
        <v>56</v>
      </c>
      <c r="G89" t="s">
        <v>44</v>
      </c>
      <c r="H89" t="s">
        <v>266</v>
      </c>
      <c r="I89" t="s">
        <v>58</v>
      </c>
      <c r="J89" s="1">
        <v>136.19999999999999</v>
      </c>
      <c r="K89">
        <v>2</v>
      </c>
      <c r="L89" t="s">
        <v>35</v>
      </c>
      <c r="M89">
        <v>3</v>
      </c>
      <c r="N89">
        <v>2</v>
      </c>
      <c r="O89">
        <v>2</v>
      </c>
      <c r="P89" t="s">
        <v>59</v>
      </c>
      <c r="Q89" t="s">
        <v>50</v>
      </c>
      <c r="R89">
        <v>0</v>
      </c>
      <c r="S89">
        <v>1</v>
      </c>
      <c r="T89" t="s">
        <v>44</v>
      </c>
      <c r="U89" t="s">
        <v>38</v>
      </c>
      <c r="V89" t="s">
        <v>51</v>
      </c>
      <c r="W89" s="2">
        <v>45458</v>
      </c>
      <c r="X89" s="4">
        <f ca="1">TODAY()-DATASET[[#This Row],[Time_of_Purchase]]</f>
        <v>676</v>
      </c>
      <c r="Y89" t="b">
        <v>1</v>
      </c>
      <c r="Z89" t="b">
        <v>1</v>
      </c>
      <c r="AA89" t="s">
        <v>40</v>
      </c>
      <c r="AB89" t="s">
        <v>67</v>
      </c>
      <c r="AC89">
        <v>9</v>
      </c>
    </row>
    <row r="90" spans="1:29" x14ac:dyDescent="0.25">
      <c r="A90" t="s">
        <v>267</v>
      </c>
      <c r="B90">
        <v>48</v>
      </c>
      <c r="C90" t="s">
        <v>43</v>
      </c>
      <c r="D90" t="s">
        <v>30</v>
      </c>
      <c r="E90" t="s">
        <v>31</v>
      </c>
      <c r="F90" t="s">
        <v>45</v>
      </c>
      <c r="G90" t="s">
        <v>30</v>
      </c>
      <c r="H90" t="s">
        <v>268</v>
      </c>
      <c r="I90" t="s">
        <v>47</v>
      </c>
      <c r="J90" s="1">
        <v>439.31</v>
      </c>
      <c r="K90">
        <v>4</v>
      </c>
      <c r="L90" t="s">
        <v>48</v>
      </c>
      <c r="M90">
        <v>3</v>
      </c>
      <c r="N90">
        <v>2</v>
      </c>
      <c r="O90">
        <v>1</v>
      </c>
      <c r="P90" t="s">
        <v>49</v>
      </c>
      <c r="Q90" t="s">
        <v>85</v>
      </c>
      <c r="R90">
        <v>0</v>
      </c>
      <c r="S90">
        <v>6</v>
      </c>
      <c r="T90" t="s">
        <v>49</v>
      </c>
      <c r="U90" t="s">
        <v>60</v>
      </c>
      <c r="V90" t="s">
        <v>61</v>
      </c>
      <c r="W90" s="2">
        <v>45515</v>
      </c>
      <c r="X90" s="4">
        <f ca="1">TODAY()-DATASET[[#This Row],[Time_of_Purchase]]</f>
        <v>619</v>
      </c>
      <c r="Y90" t="b">
        <v>0</v>
      </c>
      <c r="Z90" t="b">
        <v>1</v>
      </c>
      <c r="AA90" t="s">
        <v>52</v>
      </c>
      <c r="AB90" t="s">
        <v>41</v>
      </c>
      <c r="AC90">
        <v>7</v>
      </c>
    </row>
    <row r="91" spans="1:29" x14ac:dyDescent="0.25">
      <c r="A91" t="s">
        <v>269</v>
      </c>
      <c r="B91">
        <v>19</v>
      </c>
      <c r="C91" t="s">
        <v>29</v>
      </c>
      <c r="D91" t="s">
        <v>30</v>
      </c>
      <c r="E91" t="s">
        <v>31</v>
      </c>
      <c r="F91" t="s">
        <v>32</v>
      </c>
      <c r="G91" t="s">
        <v>30</v>
      </c>
      <c r="H91" t="s">
        <v>270</v>
      </c>
      <c r="I91" t="s">
        <v>104</v>
      </c>
      <c r="J91" s="1">
        <v>194.93</v>
      </c>
      <c r="K91">
        <v>9</v>
      </c>
      <c r="L91" t="s">
        <v>78</v>
      </c>
      <c r="M91">
        <v>4</v>
      </c>
      <c r="N91">
        <v>4</v>
      </c>
      <c r="O91">
        <v>1</v>
      </c>
      <c r="P91" t="s">
        <v>44</v>
      </c>
      <c r="Q91" t="s">
        <v>37</v>
      </c>
      <c r="R91">
        <v>0</v>
      </c>
      <c r="S91">
        <v>4</v>
      </c>
      <c r="T91" t="s">
        <v>36</v>
      </c>
      <c r="U91" t="s">
        <v>38</v>
      </c>
      <c r="V91" t="s">
        <v>66</v>
      </c>
      <c r="W91" s="2">
        <v>45379</v>
      </c>
      <c r="X91" s="4">
        <f ca="1">TODAY()-DATASET[[#This Row],[Time_of_Purchase]]</f>
        <v>755</v>
      </c>
      <c r="Y91" t="b">
        <v>1</v>
      </c>
      <c r="Z91" t="b">
        <v>1</v>
      </c>
      <c r="AA91" t="s">
        <v>62</v>
      </c>
      <c r="AB91" t="s">
        <v>41</v>
      </c>
      <c r="AC91">
        <v>5</v>
      </c>
    </row>
    <row r="92" spans="1:29" x14ac:dyDescent="0.25">
      <c r="A92" t="s">
        <v>271</v>
      </c>
      <c r="B92">
        <v>29</v>
      </c>
      <c r="C92" t="s">
        <v>43</v>
      </c>
      <c r="D92" t="s">
        <v>30</v>
      </c>
      <c r="E92" t="s">
        <v>69</v>
      </c>
      <c r="F92" t="s">
        <v>56</v>
      </c>
      <c r="G92" t="s">
        <v>44</v>
      </c>
      <c r="H92" t="s">
        <v>272</v>
      </c>
      <c r="I92" t="s">
        <v>47</v>
      </c>
      <c r="J92" s="1">
        <v>377.67</v>
      </c>
      <c r="K92">
        <v>8</v>
      </c>
      <c r="L92" t="s">
        <v>78</v>
      </c>
      <c r="M92">
        <v>5</v>
      </c>
      <c r="N92">
        <v>3</v>
      </c>
      <c r="O92">
        <v>0</v>
      </c>
      <c r="P92" t="s">
        <v>36</v>
      </c>
      <c r="Q92" t="s">
        <v>85</v>
      </c>
      <c r="R92">
        <v>2</v>
      </c>
      <c r="S92">
        <v>1</v>
      </c>
      <c r="T92" t="s">
        <v>44</v>
      </c>
      <c r="U92" t="s">
        <v>79</v>
      </c>
      <c r="V92" t="s">
        <v>51</v>
      </c>
      <c r="W92" s="2">
        <v>45425</v>
      </c>
      <c r="X92" s="4">
        <f ca="1">TODAY()-DATASET[[#This Row],[Time_of_Purchase]]</f>
        <v>709</v>
      </c>
      <c r="Y92" t="b">
        <v>1</v>
      </c>
      <c r="Z92" t="b">
        <v>0</v>
      </c>
      <c r="AA92" t="s">
        <v>40</v>
      </c>
      <c r="AB92" t="s">
        <v>41</v>
      </c>
      <c r="AC92">
        <v>14</v>
      </c>
    </row>
    <row r="93" spans="1:29" x14ac:dyDescent="0.25">
      <c r="A93" t="s">
        <v>273</v>
      </c>
      <c r="B93">
        <v>26</v>
      </c>
      <c r="C93" t="s">
        <v>274</v>
      </c>
      <c r="D93" t="s">
        <v>44</v>
      </c>
      <c r="E93" t="s">
        <v>55</v>
      </c>
      <c r="F93" t="s">
        <v>56</v>
      </c>
      <c r="G93" t="s">
        <v>44</v>
      </c>
      <c r="H93" t="s">
        <v>275</v>
      </c>
      <c r="I93" t="s">
        <v>188</v>
      </c>
      <c r="J93" s="1">
        <v>108.61</v>
      </c>
      <c r="K93">
        <v>10</v>
      </c>
      <c r="L93" t="s">
        <v>48</v>
      </c>
      <c r="M93">
        <v>3</v>
      </c>
      <c r="N93">
        <v>2</v>
      </c>
      <c r="O93">
        <v>0</v>
      </c>
      <c r="P93" t="s">
        <v>36</v>
      </c>
      <c r="Q93" t="s">
        <v>85</v>
      </c>
      <c r="R93">
        <v>0</v>
      </c>
      <c r="S93">
        <v>3</v>
      </c>
      <c r="T93" t="s">
        <v>59</v>
      </c>
      <c r="U93" t="s">
        <v>60</v>
      </c>
      <c r="V93" t="s">
        <v>86</v>
      </c>
      <c r="W93" s="2">
        <v>45619</v>
      </c>
      <c r="X93" s="4">
        <f ca="1">TODAY()-DATASET[[#This Row],[Time_of_Purchase]]</f>
        <v>515</v>
      </c>
      <c r="Y93" t="b">
        <v>1</v>
      </c>
      <c r="Z93" t="b">
        <v>1</v>
      </c>
      <c r="AA93" t="s">
        <v>40</v>
      </c>
      <c r="AB93" t="s">
        <v>41</v>
      </c>
      <c r="AC93">
        <v>14</v>
      </c>
    </row>
    <row r="94" spans="1:29" x14ac:dyDescent="0.25">
      <c r="A94" t="s">
        <v>276</v>
      </c>
      <c r="B94">
        <v>20</v>
      </c>
      <c r="C94" t="s">
        <v>29</v>
      </c>
      <c r="D94" t="s">
        <v>30</v>
      </c>
      <c r="E94" t="s">
        <v>31</v>
      </c>
      <c r="F94" t="s">
        <v>32</v>
      </c>
      <c r="G94" t="s">
        <v>30</v>
      </c>
      <c r="H94" t="s">
        <v>277</v>
      </c>
      <c r="I94" t="s">
        <v>104</v>
      </c>
      <c r="J94" s="1">
        <v>366.77</v>
      </c>
      <c r="K94">
        <v>7</v>
      </c>
      <c r="L94" t="s">
        <v>35</v>
      </c>
      <c r="M94">
        <v>4</v>
      </c>
      <c r="N94">
        <v>3</v>
      </c>
      <c r="O94">
        <v>2</v>
      </c>
      <c r="P94" t="s">
        <v>59</v>
      </c>
      <c r="Q94" t="s">
        <v>50</v>
      </c>
      <c r="R94">
        <v>0</v>
      </c>
      <c r="S94">
        <v>9</v>
      </c>
      <c r="T94" t="s">
        <v>36</v>
      </c>
      <c r="U94" t="s">
        <v>60</v>
      </c>
      <c r="V94" t="s">
        <v>61</v>
      </c>
      <c r="W94" s="2">
        <v>45553</v>
      </c>
      <c r="X94" s="4">
        <f ca="1">TODAY()-DATASET[[#This Row],[Time_of_Purchase]]</f>
        <v>581</v>
      </c>
      <c r="Y94" t="b">
        <v>0</v>
      </c>
      <c r="Z94" t="b">
        <v>0</v>
      </c>
      <c r="AA94" t="s">
        <v>62</v>
      </c>
      <c r="AB94" t="s">
        <v>53</v>
      </c>
      <c r="AC94">
        <v>1</v>
      </c>
    </row>
    <row r="95" spans="1:29" x14ac:dyDescent="0.25">
      <c r="A95" t="s">
        <v>278</v>
      </c>
      <c r="B95">
        <v>31</v>
      </c>
      <c r="C95" t="s">
        <v>29</v>
      </c>
      <c r="D95" t="s">
        <v>44</v>
      </c>
      <c r="E95" t="s">
        <v>76</v>
      </c>
      <c r="F95" t="s">
        <v>56</v>
      </c>
      <c r="G95" t="s">
        <v>30</v>
      </c>
      <c r="H95" t="s">
        <v>279</v>
      </c>
      <c r="I95" t="s">
        <v>246</v>
      </c>
      <c r="J95" s="1">
        <v>178.04</v>
      </c>
      <c r="K95">
        <v>5</v>
      </c>
      <c r="L95" t="s">
        <v>48</v>
      </c>
      <c r="M95">
        <v>5</v>
      </c>
      <c r="N95">
        <v>1</v>
      </c>
      <c r="O95">
        <v>2</v>
      </c>
      <c r="P95" t="s">
        <v>49</v>
      </c>
      <c r="Q95" t="s">
        <v>37</v>
      </c>
      <c r="R95">
        <v>0</v>
      </c>
      <c r="S95">
        <v>5</v>
      </c>
      <c r="T95" t="s">
        <v>44</v>
      </c>
      <c r="U95" t="s">
        <v>38</v>
      </c>
      <c r="V95" t="s">
        <v>39</v>
      </c>
      <c r="W95" s="2">
        <v>45489</v>
      </c>
      <c r="X95" s="4">
        <f ca="1">TODAY()-DATASET[[#This Row],[Time_of_Purchase]]</f>
        <v>645</v>
      </c>
      <c r="Y95" t="b">
        <v>0</v>
      </c>
      <c r="Z95" t="b">
        <v>0</v>
      </c>
      <c r="AA95" t="s">
        <v>40</v>
      </c>
      <c r="AB95" t="s">
        <v>41</v>
      </c>
      <c r="AC95">
        <v>12</v>
      </c>
    </row>
    <row r="96" spans="1:29" x14ac:dyDescent="0.25">
      <c r="A96" t="s">
        <v>280</v>
      </c>
      <c r="B96">
        <v>23</v>
      </c>
      <c r="C96" t="s">
        <v>29</v>
      </c>
      <c r="D96" t="s">
        <v>44</v>
      </c>
      <c r="E96" t="s">
        <v>76</v>
      </c>
      <c r="F96" t="s">
        <v>45</v>
      </c>
      <c r="G96" t="s">
        <v>44</v>
      </c>
      <c r="H96" t="s">
        <v>281</v>
      </c>
      <c r="I96" t="s">
        <v>126</v>
      </c>
      <c r="J96" s="1">
        <v>461.09</v>
      </c>
      <c r="K96">
        <v>8</v>
      </c>
      <c r="L96" t="s">
        <v>78</v>
      </c>
      <c r="M96">
        <v>4</v>
      </c>
      <c r="N96">
        <v>1</v>
      </c>
      <c r="O96">
        <v>0</v>
      </c>
      <c r="P96" t="s">
        <v>49</v>
      </c>
      <c r="Q96" t="s">
        <v>37</v>
      </c>
      <c r="R96">
        <v>0</v>
      </c>
      <c r="S96">
        <v>4</v>
      </c>
      <c r="T96" t="s">
        <v>49</v>
      </c>
      <c r="U96" t="s">
        <v>60</v>
      </c>
      <c r="V96" t="s">
        <v>61</v>
      </c>
      <c r="W96" s="2">
        <v>45507</v>
      </c>
      <c r="X96" s="4">
        <f ca="1">TODAY()-DATASET[[#This Row],[Time_of_Purchase]]</f>
        <v>627</v>
      </c>
      <c r="Y96" t="b">
        <v>1</v>
      </c>
      <c r="Z96" t="b">
        <v>0</v>
      </c>
      <c r="AA96" t="s">
        <v>40</v>
      </c>
      <c r="AB96" t="s">
        <v>41</v>
      </c>
      <c r="AC96">
        <v>8</v>
      </c>
    </row>
    <row r="97" spans="1:29" x14ac:dyDescent="0.25">
      <c r="A97" t="s">
        <v>282</v>
      </c>
      <c r="B97">
        <v>19</v>
      </c>
      <c r="C97" t="s">
        <v>29</v>
      </c>
      <c r="D97" t="s">
        <v>44</v>
      </c>
      <c r="E97" t="s">
        <v>55</v>
      </c>
      <c r="F97" t="s">
        <v>45</v>
      </c>
      <c r="G97" t="s">
        <v>30</v>
      </c>
      <c r="H97" t="s">
        <v>283</v>
      </c>
      <c r="I97" t="s">
        <v>107</v>
      </c>
      <c r="J97" s="1">
        <v>211.16</v>
      </c>
      <c r="K97">
        <v>5</v>
      </c>
      <c r="L97" t="s">
        <v>48</v>
      </c>
      <c r="M97">
        <v>2</v>
      </c>
      <c r="N97">
        <v>3</v>
      </c>
      <c r="O97">
        <v>1</v>
      </c>
      <c r="P97" t="s">
        <v>44</v>
      </c>
      <c r="Q97" t="s">
        <v>85</v>
      </c>
      <c r="R97">
        <v>0</v>
      </c>
      <c r="S97">
        <v>3</v>
      </c>
      <c r="T97" t="s">
        <v>36</v>
      </c>
      <c r="U97" t="s">
        <v>60</v>
      </c>
      <c r="V97" t="s">
        <v>51</v>
      </c>
      <c r="W97" s="2">
        <v>45471</v>
      </c>
      <c r="X97" s="4">
        <f ca="1">TODAY()-DATASET[[#This Row],[Time_of_Purchase]]</f>
        <v>663</v>
      </c>
      <c r="Y97" t="b">
        <v>0</v>
      </c>
      <c r="Z97" t="b">
        <v>0</v>
      </c>
      <c r="AA97" t="s">
        <v>74</v>
      </c>
      <c r="AB97" t="s">
        <v>53</v>
      </c>
      <c r="AC97">
        <v>2</v>
      </c>
    </row>
    <row r="98" spans="1:29" x14ac:dyDescent="0.25">
      <c r="A98" t="s">
        <v>284</v>
      </c>
      <c r="B98">
        <v>23</v>
      </c>
      <c r="C98" t="s">
        <v>29</v>
      </c>
      <c r="D98" t="s">
        <v>30</v>
      </c>
      <c r="E98" t="s">
        <v>69</v>
      </c>
      <c r="F98" t="s">
        <v>32</v>
      </c>
      <c r="G98" t="s">
        <v>44</v>
      </c>
      <c r="H98" t="s">
        <v>285</v>
      </c>
      <c r="I98" t="s">
        <v>101</v>
      </c>
      <c r="J98" s="1">
        <v>421.95</v>
      </c>
      <c r="K98">
        <v>8</v>
      </c>
      <c r="L98" t="s">
        <v>35</v>
      </c>
      <c r="M98">
        <v>3</v>
      </c>
      <c r="N98">
        <v>5</v>
      </c>
      <c r="O98">
        <v>0</v>
      </c>
      <c r="P98" t="s">
        <v>49</v>
      </c>
      <c r="Q98" t="s">
        <v>50</v>
      </c>
      <c r="R98">
        <v>1</v>
      </c>
      <c r="S98">
        <v>1</v>
      </c>
      <c r="T98" t="s">
        <v>36</v>
      </c>
      <c r="U98" t="s">
        <v>60</v>
      </c>
      <c r="V98" t="s">
        <v>66</v>
      </c>
      <c r="W98" s="2">
        <v>45369</v>
      </c>
      <c r="X98" s="4">
        <f ca="1">TODAY()-DATASET[[#This Row],[Time_of_Purchase]]</f>
        <v>765</v>
      </c>
      <c r="Y98" t="b">
        <v>0</v>
      </c>
      <c r="Z98" t="b">
        <v>1</v>
      </c>
      <c r="AA98" t="s">
        <v>40</v>
      </c>
      <c r="AB98" t="s">
        <v>41</v>
      </c>
      <c r="AC98">
        <v>7</v>
      </c>
    </row>
    <row r="99" spans="1:29" x14ac:dyDescent="0.25">
      <c r="A99" t="s">
        <v>286</v>
      </c>
      <c r="B99">
        <v>49</v>
      </c>
      <c r="C99" t="s">
        <v>29</v>
      </c>
      <c r="D99" t="s">
        <v>30</v>
      </c>
      <c r="E99" t="s">
        <v>76</v>
      </c>
      <c r="F99" t="s">
        <v>32</v>
      </c>
      <c r="G99" t="s">
        <v>44</v>
      </c>
      <c r="H99" t="s">
        <v>287</v>
      </c>
      <c r="I99" t="s">
        <v>71</v>
      </c>
      <c r="J99" s="1">
        <v>378.59</v>
      </c>
      <c r="K99">
        <v>5</v>
      </c>
      <c r="L99" t="s">
        <v>78</v>
      </c>
      <c r="M99">
        <v>2</v>
      </c>
      <c r="N99">
        <v>1</v>
      </c>
      <c r="O99">
        <v>0</v>
      </c>
      <c r="P99" t="s">
        <v>36</v>
      </c>
      <c r="Q99" t="s">
        <v>37</v>
      </c>
      <c r="R99">
        <v>0</v>
      </c>
      <c r="S99">
        <v>4</v>
      </c>
      <c r="T99" t="s">
        <v>44</v>
      </c>
      <c r="U99" t="s">
        <v>79</v>
      </c>
      <c r="V99" t="s">
        <v>66</v>
      </c>
      <c r="W99" s="2">
        <v>45580</v>
      </c>
      <c r="X99" s="4">
        <f ca="1">TODAY()-DATASET[[#This Row],[Time_of_Purchase]]</f>
        <v>554</v>
      </c>
      <c r="Y99" t="b">
        <v>0</v>
      </c>
      <c r="Z99" t="b">
        <v>0</v>
      </c>
      <c r="AA99" t="s">
        <v>52</v>
      </c>
      <c r="AB99" t="s">
        <v>41</v>
      </c>
      <c r="AC99">
        <v>14</v>
      </c>
    </row>
    <row r="100" spans="1:29" x14ac:dyDescent="0.25">
      <c r="A100" t="s">
        <v>288</v>
      </c>
      <c r="B100">
        <v>23</v>
      </c>
      <c r="C100" t="s">
        <v>190</v>
      </c>
      <c r="D100" t="s">
        <v>44</v>
      </c>
      <c r="E100" t="s">
        <v>76</v>
      </c>
      <c r="F100" t="s">
        <v>45</v>
      </c>
      <c r="G100" t="s">
        <v>44</v>
      </c>
      <c r="H100" t="s">
        <v>289</v>
      </c>
      <c r="I100" t="s">
        <v>58</v>
      </c>
      <c r="J100" s="1">
        <v>268.93</v>
      </c>
      <c r="K100">
        <v>2</v>
      </c>
      <c r="L100" t="s">
        <v>35</v>
      </c>
      <c r="M100">
        <v>5</v>
      </c>
      <c r="N100">
        <v>5</v>
      </c>
      <c r="O100">
        <v>1</v>
      </c>
      <c r="P100" t="s">
        <v>49</v>
      </c>
      <c r="Q100" t="s">
        <v>85</v>
      </c>
      <c r="R100">
        <v>1</v>
      </c>
      <c r="S100">
        <v>3</v>
      </c>
      <c r="T100" t="s">
        <v>36</v>
      </c>
      <c r="U100" t="s">
        <v>38</v>
      </c>
      <c r="V100" t="s">
        <v>61</v>
      </c>
      <c r="W100" s="2">
        <v>45619</v>
      </c>
      <c r="X100" s="4">
        <f ca="1">TODAY()-DATASET[[#This Row],[Time_of_Purchase]]</f>
        <v>515</v>
      </c>
      <c r="Y100" t="b">
        <v>0</v>
      </c>
      <c r="Z100" t="b">
        <v>0</v>
      </c>
      <c r="AA100" t="s">
        <v>62</v>
      </c>
      <c r="AB100" t="s">
        <v>67</v>
      </c>
      <c r="AC100">
        <v>8</v>
      </c>
    </row>
    <row r="101" spans="1:29" x14ac:dyDescent="0.25">
      <c r="A101" t="s">
        <v>290</v>
      </c>
      <c r="B101">
        <v>42</v>
      </c>
      <c r="C101" t="s">
        <v>43</v>
      </c>
      <c r="D101" t="s">
        <v>30</v>
      </c>
      <c r="E101" t="s">
        <v>76</v>
      </c>
      <c r="F101" t="s">
        <v>32</v>
      </c>
      <c r="G101" t="s">
        <v>44</v>
      </c>
      <c r="H101" t="s">
        <v>291</v>
      </c>
      <c r="I101" t="s">
        <v>104</v>
      </c>
      <c r="J101" s="1">
        <v>444.87</v>
      </c>
      <c r="K101">
        <v>11</v>
      </c>
      <c r="L101" t="s">
        <v>78</v>
      </c>
      <c r="M101">
        <v>5</v>
      </c>
      <c r="N101">
        <v>4</v>
      </c>
      <c r="O101">
        <v>0</v>
      </c>
      <c r="P101" t="s">
        <v>49</v>
      </c>
      <c r="Q101" t="s">
        <v>50</v>
      </c>
      <c r="R101">
        <v>1</v>
      </c>
      <c r="S101">
        <v>8</v>
      </c>
      <c r="T101" t="s">
        <v>59</v>
      </c>
      <c r="U101" t="s">
        <v>79</v>
      </c>
      <c r="V101" t="s">
        <v>66</v>
      </c>
      <c r="W101" s="2">
        <v>45625</v>
      </c>
      <c r="X101" s="4">
        <f ca="1">TODAY()-DATASET[[#This Row],[Time_of_Purchase]]</f>
        <v>509</v>
      </c>
      <c r="Y101" t="b">
        <v>0</v>
      </c>
      <c r="Z101" t="b">
        <v>0</v>
      </c>
      <c r="AA101" t="s">
        <v>52</v>
      </c>
      <c r="AB101" t="s">
        <v>41</v>
      </c>
      <c r="AC101">
        <v>7</v>
      </c>
    </row>
    <row r="102" spans="1:29" x14ac:dyDescent="0.25">
      <c r="A102" t="s">
        <v>292</v>
      </c>
      <c r="B102">
        <v>18</v>
      </c>
      <c r="C102" t="s">
        <v>29</v>
      </c>
      <c r="D102" t="s">
        <v>44</v>
      </c>
      <c r="E102" t="s">
        <v>69</v>
      </c>
      <c r="F102" t="s">
        <v>32</v>
      </c>
      <c r="G102" t="s">
        <v>44</v>
      </c>
      <c r="H102" t="s">
        <v>293</v>
      </c>
      <c r="I102" t="s">
        <v>188</v>
      </c>
      <c r="J102" s="1">
        <v>160.82</v>
      </c>
      <c r="K102">
        <v>7</v>
      </c>
      <c r="L102" t="s">
        <v>48</v>
      </c>
      <c r="M102">
        <v>3</v>
      </c>
      <c r="N102">
        <v>1</v>
      </c>
      <c r="O102">
        <v>1</v>
      </c>
      <c r="P102" t="s">
        <v>44</v>
      </c>
      <c r="Q102" t="s">
        <v>37</v>
      </c>
      <c r="R102">
        <v>0</v>
      </c>
      <c r="S102">
        <v>1</v>
      </c>
      <c r="T102" t="s">
        <v>44</v>
      </c>
      <c r="U102" t="s">
        <v>60</v>
      </c>
      <c r="V102" t="s">
        <v>86</v>
      </c>
      <c r="W102" s="2">
        <v>45482</v>
      </c>
      <c r="X102" s="4">
        <f ca="1">TODAY()-DATASET[[#This Row],[Time_of_Purchase]]</f>
        <v>652</v>
      </c>
      <c r="Y102" t="b">
        <v>1</v>
      </c>
      <c r="Z102" t="b">
        <v>1</v>
      </c>
      <c r="AA102" t="s">
        <v>52</v>
      </c>
      <c r="AB102" t="s">
        <v>41</v>
      </c>
      <c r="AC102">
        <v>3</v>
      </c>
    </row>
    <row r="103" spans="1:29" x14ac:dyDescent="0.25">
      <c r="A103" t="s">
        <v>294</v>
      </c>
      <c r="B103">
        <v>35</v>
      </c>
      <c r="C103" t="s">
        <v>43</v>
      </c>
      <c r="D103" t="s">
        <v>44</v>
      </c>
      <c r="E103" t="s">
        <v>55</v>
      </c>
      <c r="F103" t="s">
        <v>56</v>
      </c>
      <c r="G103" t="s">
        <v>30</v>
      </c>
      <c r="H103" t="s">
        <v>295</v>
      </c>
      <c r="I103" t="s">
        <v>107</v>
      </c>
      <c r="J103" s="1">
        <v>494.18</v>
      </c>
      <c r="K103">
        <v>6</v>
      </c>
      <c r="L103" t="s">
        <v>35</v>
      </c>
      <c r="M103">
        <v>4</v>
      </c>
      <c r="N103">
        <v>5</v>
      </c>
      <c r="O103">
        <v>1</v>
      </c>
      <c r="P103" t="s">
        <v>49</v>
      </c>
      <c r="Q103" t="s">
        <v>50</v>
      </c>
      <c r="R103">
        <v>1</v>
      </c>
      <c r="S103">
        <v>2</v>
      </c>
      <c r="T103" t="s">
        <v>36</v>
      </c>
      <c r="U103" t="s">
        <v>79</v>
      </c>
      <c r="V103" t="s">
        <v>86</v>
      </c>
      <c r="W103" s="2">
        <v>45507</v>
      </c>
      <c r="X103" s="4">
        <f ca="1">TODAY()-DATASET[[#This Row],[Time_of_Purchase]]</f>
        <v>627</v>
      </c>
      <c r="Y103" t="b">
        <v>0</v>
      </c>
      <c r="Z103" t="b">
        <v>0</v>
      </c>
      <c r="AA103" t="s">
        <v>40</v>
      </c>
      <c r="AB103" t="s">
        <v>53</v>
      </c>
      <c r="AC103">
        <v>14</v>
      </c>
    </row>
    <row r="104" spans="1:29" x14ac:dyDescent="0.25">
      <c r="A104" t="s">
        <v>296</v>
      </c>
      <c r="B104">
        <v>22</v>
      </c>
      <c r="C104" t="s">
        <v>43</v>
      </c>
      <c r="D104" t="s">
        <v>30</v>
      </c>
      <c r="E104" t="s">
        <v>55</v>
      </c>
      <c r="F104" t="s">
        <v>32</v>
      </c>
      <c r="G104" t="s">
        <v>30</v>
      </c>
      <c r="H104" t="s">
        <v>297</v>
      </c>
      <c r="I104" t="s">
        <v>65</v>
      </c>
      <c r="J104" s="1">
        <v>177.05</v>
      </c>
      <c r="K104">
        <v>5</v>
      </c>
      <c r="L104" t="s">
        <v>78</v>
      </c>
      <c r="M104">
        <v>3</v>
      </c>
      <c r="N104">
        <v>1</v>
      </c>
      <c r="O104">
        <v>1</v>
      </c>
      <c r="P104" t="s">
        <v>36</v>
      </c>
      <c r="Q104" t="s">
        <v>37</v>
      </c>
      <c r="R104">
        <v>2</v>
      </c>
      <c r="S104">
        <v>1</v>
      </c>
      <c r="T104" t="s">
        <v>59</v>
      </c>
      <c r="U104" t="s">
        <v>38</v>
      </c>
      <c r="V104" t="s">
        <v>86</v>
      </c>
      <c r="W104" s="2">
        <v>45630</v>
      </c>
      <c r="X104" s="4">
        <f ca="1">TODAY()-DATASET[[#This Row],[Time_of_Purchase]]</f>
        <v>504</v>
      </c>
      <c r="Y104" t="b">
        <v>1</v>
      </c>
      <c r="Z104" t="b">
        <v>1</v>
      </c>
      <c r="AA104" t="s">
        <v>62</v>
      </c>
      <c r="AB104" t="s">
        <v>53</v>
      </c>
      <c r="AC104">
        <v>1</v>
      </c>
    </row>
    <row r="105" spans="1:29" x14ac:dyDescent="0.25">
      <c r="A105" t="s">
        <v>298</v>
      </c>
      <c r="B105">
        <v>28</v>
      </c>
      <c r="C105" t="s">
        <v>29</v>
      </c>
      <c r="D105" t="s">
        <v>30</v>
      </c>
      <c r="E105" t="s">
        <v>31</v>
      </c>
      <c r="F105" t="s">
        <v>56</v>
      </c>
      <c r="G105" t="s">
        <v>44</v>
      </c>
      <c r="H105" t="s">
        <v>299</v>
      </c>
      <c r="I105" t="s">
        <v>47</v>
      </c>
      <c r="J105" s="1">
        <v>450.66</v>
      </c>
      <c r="K105">
        <v>7</v>
      </c>
      <c r="L105" t="s">
        <v>48</v>
      </c>
      <c r="M105">
        <v>2</v>
      </c>
      <c r="N105">
        <v>5</v>
      </c>
      <c r="O105">
        <v>0</v>
      </c>
      <c r="P105" t="s">
        <v>44</v>
      </c>
      <c r="Q105" t="s">
        <v>37</v>
      </c>
      <c r="R105">
        <v>2</v>
      </c>
      <c r="S105">
        <v>4</v>
      </c>
      <c r="T105" t="s">
        <v>49</v>
      </c>
      <c r="U105" t="s">
        <v>38</v>
      </c>
      <c r="V105" t="s">
        <v>39</v>
      </c>
      <c r="W105" s="2">
        <v>45456</v>
      </c>
      <c r="X105" s="4">
        <f ca="1">TODAY()-DATASET[[#This Row],[Time_of_Purchase]]</f>
        <v>678</v>
      </c>
      <c r="Y105" t="b">
        <v>0</v>
      </c>
      <c r="Z105" t="b">
        <v>1</v>
      </c>
      <c r="AA105" t="s">
        <v>40</v>
      </c>
      <c r="AB105" t="s">
        <v>41</v>
      </c>
      <c r="AC105">
        <v>9</v>
      </c>
    </row>
    <row r="106" spans="1:29" x14ac:dyDescent="0.25">
      <c r="A106" t="s">
        <v>300</v>
      </c>
      <c r="B106">
        <v>42</v>
      </c>
      <c r="C106" t="s">
        <v>29</v>
      </c>
      <c r="D106" t="s">
        <v>44</v>
      </c>
      <c r="E106" t="s">
        <v>31</v>
      </c>
      <c r="F106" t="s">
        <v>32</v>
      </c>
      <c r="G106" t="s">
        <v>30</v>
      </c>
      <c r="H106" t="s">
        <v>301</v>
      </c>
      <c r="I106" t="s">
        <v>135</v>
      </c>
      <c r="J106" s="1">
        <v>164.27</v>
      </c>
      <c r="K106">
        <v>6</v>
      </c>
      <c r="L106" t="s">
        <v>78</v>
      </c>
      <c r="M106">
        <v>5</v>
      </c>
      <c r="N106">
        <v>3</v>
      </c>
      <c r="O106">
        <v>2</v>
      </c>
      <c r="P106" t="s">
        <v>44</v>
      </c>
      <c r="Q106" t="s">
        <v>50</v>
      </c>
      <c r="R106">
        <v>2</v>
      </c>
      <c r="S106">
        <v>7</v>
      </c>
      <c r="T106" t="s">
        <v>59</v>
      </c>
      <c r="U106" t="s">
        <v>79</v>
      </c>
      <c r="V106" t="s">
        <v>51</v>
      </c>
      <c r="W106" s="2">
        <v>45486</v>
      </c>
      <c r="X106" s="4">
        <f ca="1">TODAY()-DATASET[[#This Row],[Time_of_Purchase]]</f>
        <v>648</v>
      </c>
      <c r="Y106" t="b">
        <v>1</v>
      </c>
      <c r="Z106" t="b">
        <v>0</v>
      </c>
      <c r="AA106" t="s">
        <v>52</v>
      </c>
      <c r="AB106" t="s">
        <v>41</v>
      </c>
      <c r="AC106">
        <v>14</v>
      </c>
    </row>
    <row r="107" spans="1:29" x14ac:dyDescent="0.25">
      <c r="A107" t="s">
        <v>302</v>
      </c>
      <c r="B107">
        <v>37</v>
      </c>
      <c r="C107" t="s">
        <v>29</v>
      </c>
      <c r="D107" t="s">
        <v>30</v>
      </c>
      <c r="E107" t="s">
        <v>69</v>
      </c>
      <c r="F107" t="s">
        <v>56</v>
      </c>
      <c r="G107" t="s">
        <v>44</v>
      </c>
      <c r="H107" t="s">
        <v>303</v>
      </c>
      <c r="I107" t="s">
        <v>47</v>
      </c>
      <c r="J107" s="1">
        <v>346.36</v>
      </c>
      <c r="K107">
        <v>12</v>
      </c>
      <c r="L107" t="s">
        <v>35</v>
      </c>
      <c r="M107">
        <v>4</v>
      </c>
      <c r="N107">
        <v>5</v>
      </c>
      <c r="O107">
        <v>0</v>
      </c>
      <c r="P107" t="s">
        <v>49</v>
      </c>
      <c r="Q107" t="s">
        <v>37</v>
      </c>
      <c r="R107">
        <v>0</v>
      </c>
      <c r="S107">
        <v>7</v>
      </c>
      <c r="T107" t="s">
        <v>49</v>
      </c>
      <c r="U107" t="s">
        <v>60</v>
      </c>
      <c r="V107" t="s">
        <v>39</v>
      </c>
      <c r="W107" s="2">
        <v>45539</v>
      </c>
      <c r="X107" s="4">
        <f ca="1">TODAY()-DATASET[[#This Row],[Time_of_Purchase]]</f>
        <v>595</v>
      </c>
      <c r="Y107" t="b">
        <v>0</v>
      </c>
      <c r="Z107" t="b">
        <v>0</v>
      </c>
      <c r="AA107" t="s">
        <v>40</v>
      </c>
      <c r="AB107" t="s">
        <v>53</v>
      </c>
      <c r="AC107">
        <v>14</v>
      </c>
    </row>
    <row r="108" spans="1:29" x14ac:dyDescent="0.25">
      <c r="A108" t="s">
        <v>304</v>
      </c>
      <c r="B108">
        <v>33</v>
      </c>
      <c r="C108" t="s">
        <v>29</v>
      </c>
      <c r="D108" t="s">
        <v>30</v>
      </c>
      <c r="E108" t="s">
        <v>69</v>
      </c>
      <c r="F108" t="s">
        <v>45</v>
      </c>
      <c r="G108" t="s">
        <v>44</v>
      </c>
      <c r="H108" t="s">
        <v>305</v>
      </c>
      <c r="I108" t="s">
        <v>101</v>
      </c>
      <c r="J108" s="1">
        <v>377.77</v>
      </c>
      <c r="K108">
        <v>9</v>
      </c>
      <c r="L108" t="s">
        <v>35</v>
      </c>
      <c r="M108">
        <v>4</v>
      </c>
      <c r="N108">
        <v>2</v>
      </c>
      <c r="O108">
        <v>1</v>
      </c>
      <c r="P108" t="s">
        <v>49</v>
      </c>
      <c r="Q108" t="s">
        <v>50</v>
      </c>
      <c r="R108">
        <v>1</v>
      </c>
      <c r="S108">
        <v>5</v>
      </c>
      <c r="T108" t="s">
        <v>49</v>
      </c>
      <c r="U108" t="s">
        <v>38</v>
      </c>
      <c r="V108" t="s">
        <v>39</v>
      </c>
      <c r="W108" s="2">
        <v>45530</v>
      </c>
      <c r="X108" s="4">
        <f ca="1">TODAY()-DATASET[[#This Row],[Time_of_Purchase]]</f>
        <v>604</v>
      </c>
      <c r="Y108" t="b">
        <v>1</v>
      </c>
      <c r="Z108" t="b">
        <v>1</v>
      </c>
      <c r="AA108" t="s">
        <v>62</v>
      </c>
      <c r="AB108" t="s">
        <v>53</v>
      </c>
      <c r="AC108">
        <v>3</v>
      </c>
    </row>
    <row r="109" spans="1:29" x14ac:dyDescent="0.25">
      <c r="A109" t="s">
        <v>306</v>
      </c>
      <c r="B109">
        <v>46</v>
      </c>
      <c r="C109" t="s">
        <v>29</v>
      </c>
      <c r="D109" t="s">
        <v>30</v>
      </c>
      <c r="E109" t="s">
        <v>69</v>
      </c>
      <c r="F109" t="s">
        <v>45</v>
      </c>
      <c r="G109" t="s">
        <v>30</v>
      </c>
      <c r="H109" t="s">
        <v>307</v>
      </c>
      <c r="I109" t="s">
        <v>194</v>
      </c>
      <c r="J109" s="1">
        <v>163.41</v>
      </c>
      <c r="K109">
        <v>2</v>
      </c>
      <c r="L109" t="s">
        <v>48</v>
      </c>
      <c r="M109">
        <v>5</v>
      </c>
      <c r="N109">
        <v>5</v>
      </c>
      <c r="O109">
        <v>2</v>
      </c>
      <c r="P109" t="s">
        <v>59</v>
      </c>
      <c r="Q109" t="s">
        <v>50</v>
      </c>
      <c r="R109">
        <v>1</v>
      </c>
      <c r="S109">
        <v>8</v>
      </c>
      <c r="T109" t="s">
        <v>44</v>
      </c>
      <c r="U109" t="s">
        <v>79</v>
      </c>
      <c r="V109" t="s">
        <v>66</v>
      </c>
      <c r="W109" s="2">
        <v>45347</v>
      </c>
      <c r="X109" s="4">
        <f ca="1">TODAY()-DATASET[[#This Row],[Time_of_Purchase]]</f>
        <v>787</v>
      </c>
      <c r="Y109" t="b">
        <v>1</v>
      </c>
      <c r="Z109" t="b">
        <v>1</v>
      </c>
      <c r="AA109" t="s">
        <v>40</v>
      </c>
      <c r="AB109" t="s">
        <v>67</v>
      </c>
      <c r="AC109">
        <v>4</v>
      </c>
    </row>
    <row r="110" spans="1:29" x14ac:dyDescent="0.25">
      <c r="A110" t="s">
        <v>308</v>
      </c>
      <c r="B110">
        <v>30</v>
      </c>
      <c r="C110" t="s">
        <v>29</v>
      </c>
      <c r="D110" t="s">
        <v>30</v>
      </c>
      <c r="E110" t="s">
        <v>76</v>
      </c>
      <c r="F110" t="s">
        <v>56</v>
      </c>
      <c r="G110" t="s">
        <v>30</v>
      </c>
      <c r="H110" t="s">
        <v>309</v>
      </c>
      <c r="I110" t="s">
        <v>107</v>
      </c>
      <c r="J110" s="1">
        <v>467.58</v>
      </c>
      <c r="K110">
        <v>10</v>
      </c>
      <c r="L110" t="s">
        <v>35</v>
      </c>
      <c r="M110">
        <v>1</v>
      </c>
      <c r="N110">
        <v>2</v>
      </c>
      <c r="O110">
        <v>0</v>
      </c>
      <c r="P110" t="s">
        <v>36</v>
      </c>
      <c r="Q110" t="s">
        <v>37</v>
      </c>
      <c r="R110">
        <v>1</v>
      </c>
      <c r="S110">
        <v>6</v>
      </c>
      <c r="T110" t="s">
        <v>59</v>
      </c>
      <c r="U110" t="s">
        <v>79</v>
      </c>
      <c r="V110" t="s">
        <v>51</v>
      </c>
      <c r="W110" s="2">
        <v>45397</v>
      </c>
      <c r="X110" s="4">
        <f ca="1">TODAY()-DATASET[[#This Row],[Time_of_Purchase]]</f>
        <v>737</v>
      </c>
      <c r="Y110" t="b">
        <v>1</v>
      </c>
      <c r="Z110" t="b">
        <v>1</v>
      </c>
      <c r="AA110" t="s">
        <v>52</v>
      </c>
      <c r="AB110" t="s">
        <v>53</v>
      </c>
      <c r="AC110">
        <v>7</v>
      </c>
    </row>
    <row r="111" spans="1:29" x14ac:dyDescent="0.25">
      <c r="A111" t="s">
        <v>310</v>
      </c>
      <c r="B111">
        <v>39</v>
      </c>
      <c r="C111" t="s">
        <v>29</v>
      </c>
      <c r="D111" t="s">
        <v>30</v>
      </c>
      <c r="E111" t="s">
        <v>69</v>
      </c>
      <c r="F111" t="s">
        <v>32</v>
      </c>
      <c r="G111" t="s">
        <v>44</v>
      </c>
      <c r="H111" t="s">
        <v>311</v>
      </c>
      <c r="I111" t="s">
        <v>82</v>
      </c>
      <c r="J111" s="1">
        <v>247.51</v>
      </c>
      <c r="K111">
        <v>10</v>
      </c>
      <c r="L111" t="s">
        <v>35</v>
      </c>
      <c r="M111">
        <v>2</v>
      </c>
      <c r="N111">
        <v>1</v>
      </c>
      <c r="O111">
        <v>2</v>
      </c>
      <c r="P111" t="s">
        <v>59</v>
      </c>
      <c r="Q111" t="s">
        <v>37</v>
      </c>
      <c r="R111">
        <v>1</v>
      </c>
      <c r="S111">
        <v>8</v>
      </c>
      <c r="T111" t="s">
        <v>59</v>
      </c>
      <c r="U111" t="s">
        <v>38</v>
      </c>
      <c r="V111" t="s">
        <v>39</v>
      </c>
      <c r="W111" s="2">
        <v>45474</v>
      </c>
      <c r="X111" s="4">
        <f ca="1">TODAY()-DATASET[[#This Row],[Time_of_Purchase]]</f>
        <v>660</v>
      </c>
      <c r="Y111" t="b">
        <v>1</v>
      </c>
      <c r="Z111" t="b">
        <v>0</v>
      </c>
      <c r="AA111" t="s">
        <v>62</v>
      </c>
      <c r="AB111" t="s">
        <v>53</v>
      </c>
      <c r="AC111">
        <v>2</v>
      </c>
    </row>
    <row r="112" spans="1:29" x14ac:dyDescent="0.25">
      <c r="A112" t="s">
        <v>312</v>
      </c>
      <c r="B112">
        <v>25</v>
      </c>
      <c r="C112" t="s">
        <v>29</v>
      </c>
      <c r="D112" t="s">
        <v>30</v>
      </c>
      <c r="E112" t="s">
        <v>55</v>
      </c>
      <c r="F112" t="s">
        <v>45</v>
      </c>
      <c r="G112" t="s">
        <v>44</v>
      </c>
      <c r="H112" t="s">
        <v>313</v>
      </c>
      <c r="I112" t="s">
        <v>58</v>
      </c>
      <c r="J112" s="1">
        <v>365.1</v>
      </c>
      <c r="K112">
        <v>3</v>
      </c>
      <c r="L112" t="s">
        <v>48</v>
      </c>
      <c r="M112">
        <v>2</v>
      </c>
      <c r="N112">
        <v>3</v>
      </c>
      <c r="O112">
        <v>0</v>
      </c>
      <c r="P112" t="s">
        <v>36</v>
      </c>
      <c r="Q112" t="s">
        <v>50</v>
      </c>
      <c r="R112">
        <v>1</v>
      </c>
      <c r="S112">
        <v>3</v>
      </c>
      <c r="T112" t="s">
        <v>44</v>
      </c>
      <c r="U112" t="s">
        <v>79</v>
      </c>
      <c r="V112" t="s">
        <v>61</v>
      </c>
      <c r="W112" s="2">
        <v>45534</v>
      </c>
      <c r="X112" s="4">
        <f ca="1">TODAY()-DATASET[[#This Row],[Time_of_Purchase]]</f>
        <v>600</v>
      </c>
      <c r="Y112" t="b">
        <v>0</v>
      </c>
      <c r="Z112" t="b">
        <v>1</v>
      </c>
      <c r="AA112" t="s">
        <v>52</v>
      </c>
      <c r="AB112" t="s">
        <v>41</v>
      </c>
      <c r="AC112">
        <v>1</v>
      </c>
    </row>
    <row r="113" spans="1:29" x14ac:dyDescent="0.25">
      <c r="A113" t="s">
        <v>314</v>
      </c>
      <c r="B113">
        <v>38</v>
      </c>
      <c r="C113" t="s">
        <v>29</v>
      </c>
      <c r="D113" t="s">
        <v>44</v>
      </c>
      <c r="E113" t="s">
        <v>55</v>
      </c>
      <c r="F113" t="s">
        <v>56</v>
      </c>
      <c r="G113" t="s">
        <v>30</v>
      </c>
      <c r="H113" t="s">
        <v>315</v>
      </c>
      <c r="I113" t="s">
        <v>104</v>
      </c>
      <c r="J113" s="1">
        <v>485.42</v>
      </c>
      <c r="K113">
        <v>5</v>
      </c>
      <c r="L113" t="s">
        <v>78</v>
      </c>
      <c r="M113">
        <v>1</v>
      </c>
      <c r="N113">
        <v>2</v>
      </c>
      <c r="O113">
        <v>2</v>
      </c>
      <c r="P113" t="s">
        <v>44</v>
      </c>
      <c r="Q113" t="s">
        <v>37</v>
      </c>
      <c r="R113">
        <v>1</v>
      </c>
      <c r="S113">
        <v>6</v>
      </c>
      <c r="T113" t="s">
        <v>44</v>
      </c>
      <c r="U113" t="s">
        <v>79</v>
      </c>
      <c r="V113" t="s">
        <v>66</v>
      </c>
      <c r="W113" s="2">
        <v>45609</v>
      </c>
      <c r="X113" s="4">
        <f ca="1">TODAY()-DATASET[[#This Row],[Time_of_Purchase]]</f>
        <v>525</v>
      </c>
      <c r="Y113" t="b">
        <v>1</v>
      </c>
      <c r="Z113" t="b">
        <v>0</v>
      </c>
      <c r="AA113" t="s">
        <v>52</v>
      </c>
      <c r="AB113" t="s">
        <v>41</v>
      </c>
      <c r="AC113">
        <v>4</v>
      </c>
    </row>
    <row r="114" spans="1:29" x14ac:dyDescent="0.25">
      <c r="A114" t="s">
        <v>316</v>
      </c>
      <c r="B114">
        <v>41</v>
      </c>
      <c r="C114" t="s">
        <v>29</v>
      </c>
      <c r="D114" t="s">
        <v>30</v>
      </c>
      <c r="E114" t="s">
        <v>69</v>
      </c>
      <c r="F114" t="s">
        <v>32</v>
      </c>
      <c r="G114" t="s">
        <v>44</v>
      </c>
      <c r="H114" t="s">
        <v>317</v>
      </c>
      <c r="I114" t="s">
        <v>104</v>
      </c>
      <c r="J114" s="1">
        <v>250.54</v>
      </c>
      <c r="K114">
        <v>4</v>
      </c>
      <c r="L114" t="s">
        <v>48</v>
      </c>
      <c r="M114">
        <v>3</v>
      </c>
      <c r="N114">
        <v>3</v>
      </c>
      <c r="O114">
        <v>1</v>
      </c>
      <c r="P114" t="s">
        <v>44</v>
      </c>
      <c r="Q114" t="s">
        <v>50</v>
      </c>
      <c r="R114">
        <v>2</v>
      </c>
      <c r="S114">
        <v>10</v>
      </c>
      <c r="T114" t="s">
        <v>36</v>
      </c>
      <c r="U114" t="s">
        <v>79</v>
      </c>
      <c r="V114" t="s">
        <v>39</v>
      </c>
      <c r="W114" s="2">
        <v>45653</v>
      </c>
      <c r="X114" s="4">
        <f ca="1">TODAY()-DATASET[[#This Row],[Time_of_Purchase]]</f>
        <v>481</v>
      </c>
      <c r="Y114" t="b">
        <v>0</v>
      </c>
      <c r="Z114" t="b">
        <v>0</v>
      </c>
      <c r="AA114" t="s">
        <v>52</v>
      </c>
      <c r="AB114" t="s">
        <v>41</v>
      </c>
      <c r="AC114">
        <v>3</v>
      </c>
    </row>
    <row r="115" spans="1:29" x14ac:dyDescent="0.25">
      <c r="A115" t="s">
        <v>318</v>
      </c>
      <c r="B115">
        <v>49</v>
      </c>
      <c r="C115" t="s">
        <v>29</v>
      </c>
      <c r="D115" t="s">
        <v>30</v>
      </c>
      <c r="E115" t="s">
        <v>76</v>
      </c>
      <c r="F115" t="s">
        <v>45</v>
      </c>
      <c r="G115" t="s">
        <v>44</v>
      </c>
      <c r="H115" t="s">
        <v>144</v>
      </c>
      <c r="I115" t="s">
        <v>246</v>
      </c>
      <c r="J115" s="1">
        <v>163.13999999999999</v>
      </c>
      <c r="K115">
        <v>5</v>
      </c>
      <c r="L115" t="s">
        <v>35</v>
      </c>
      <c r="M115">
        <v>5</v>
      </c>
      <c r="N115">
        <v>4</v>
      </c>
      <c r="O115">
        <v>0</v>
      </c>
      <c r="P115" t="s">
        <v>59</v>
      </c>
      <c r="Q115" t="s">
        <v>37</v>
      </c>
      <c r="R115">
        <v>1</v>
      </c>
      <c r="S115">
        <v>2</v>
      </c>
      <c r="T115" t="s">
        <v>36</v>
      </c>
      <c r="U115" t="s">
        <v>79</v>
      </c>
      <c r="V115" t="s">
        <v>61</v>
      </c>
      <c r="W115" s="2">
        <v>45511</v>
      </c>
      <c r="X115" s="4">
        <f ca="1">TODAY()-DATASET[[#This Row],[Time_of_Purchase]]</f>
        <v>623</v>
      </c>
      <c r="Y115" t="b">
        <v>1</v>
      </c>
      <c r="Z115" t="b">
        <v>1</v>
      </c>
      <c r="AA115" t="s">
        <v>74</v>
      </c>
      <c r="AB115" t="s">
        <v>41</v>
      </c>
      <c r="AC115">
        <v>1</v>
      </c>
    </row>
    <row r="116" spans="1:29" x14ac:dyDescent="0.25">
      <c r="A116" t="s">
        <v>319</v>
      </c>
      <c r="B116">
        <v>21</v>
      </c>
      <c r="C116" t="s">
        <v>43</v>
      </c>
      <c r="D116" t="s">
        <v>44</v>
      </c>
      <c r="E116" t="s">
        <v>76</v>
      </c>
      <c r="F116" t="s">
        <v>32</v>
      </c>
      <c r="G116" t="s">
        <v>30</v>
      </c>
      <c r="H116" t="s">
        <v>320</v>
      </c>
      <c r="I116" t="s">
        <v>34</v>
      </c>
      <c r="J116" s="1">
        <v>162.31</v>
      </c>
      <c r="K116">
        <v>8</v>
      </c>
      <c r="L116" t="s">
        <v>48</v>
      </c>
      <c r="M116">
        <v>5</v>
      </c>
      <c r="N116">
        <v>1</v>
      </c>
      <c r="O116">
        <v>1</v>
      </c>
      <c r="P116" t="s">
        <v>44</v>
      </c>
      <c r="Q116" t="s">
        <v>85</v>
      </c>
      <c r="R116">
        <v>1</v>
      </c>
      <c r="S116">
        <v>2</v>
      </c>
      <c r="T116" t="s">
        <v>49</v>
      </c>
      <c r="U116" t="s">
        <v>38</v>
      </c>
      <c r="V116" t="s">
        <v>39</v>
      </c>
      <c r="W116" s="2">
        <v>45570</v>
      </c>
      <c r="X116" s="4">
        <f ca="1">TODAY()-DATASET[[#This Row],[Time_of_Purchase]]</f>
        <v>564</v>
      </c>
      <c r="Y116" t="b">
        <v>0</v>
      </c>
      <c r="Z116" t="b">
        <v>0</v>
      </c>
      <c r="AA116" t="s">
        <v>40</v>
      </c>
      <c r="AB116" t="s">
        <v>41</v>
      </c>
      <c r="AC116">
        <v>11</v>
      </c>
    </row>
    <row r="117" spans="1:29" x14ac:dyDescent="0.25">
      <c r="A117" t="s">
        <v>321</v>
      </c>
      <c r="B117">
        <v>37</v>
      </c>
      <c r="C117" t="s">
        <v>43</v>
      </c>
      <c r="D117" t="s">
        <v>30</v>
      </c>
      <c r="E117" t="s">
        <v>69</v>
      </c>
      <c r="F117" t="s">
        <v>56</v>
      </c>
      <c r="G117" t="s">
        <v>44</v>
      </c>
      <c r="H117" t="s">
        <v>322</v>
      </c>
      <c r="I117" t="s">
        <v>58</v>
      </c>
      <c r="J117" s="1">
        <v>328.21</v>
      </c>
      <c r="K117">
        <v>7</v>
      </c>
      <c r="L117" t="s">
        <v>35</v>
      </c>
      <c r="M117">
        <v>5</v>
      </c>
      <c r="N117">
        <v>5</v>
      </c>
      <c r="O117">
        <v>2</v>
      </c>
      <c r="P117" t="s">
        <v>59</v>
      </c>
      <c r="Q117" t="s">
        <v>50</v>
      </c>
      <c r="R117">
        <v>2</v>
      </c>
      <c r="S117">
        <v>2</v>
      </c>
      <c r="T117" t="s">
        <v>59</v>
      </c>
      <c r="U117" t="s">
        <v>60</v>
      </c>
      <c r="V117" t="s">
        <v>39</v>
      </c>
      <c r="W117" s="2">
        <v>45336</v>
      </c>
      <c r="X117" s="4">
        <f ca="1">TODAY()-DATASET[[#This Row],[Time_of_Purchase]]</f>
        <v>798</v>
      </c>
      <c r="Y117" t="b">
        <v>0</v>
      </c>
      <c r="Z117" t="b">
        <v>0</v>
      </c>
      <c r="AA117" t="s">
        <v>40</v>
      </c>
      <c r="AB117" t="s">
        <v>41</v>
      </c>
      <c r="AC117">
        <v>12</v>
      </c>
    </row>
    <row r="118" spans="1:29" x14ac:dyDescent="0.25">
      <c r="A118" t="s">
        <v>323</v>
      </c>
      <c r="B118">
        <v>30</v>
      </c>
      <c r="C118" t="s">
        <v>29</v>
      </c>
      <c r="D118" t="s">
        <v>44</v>
      </c>
      <c r="E118" t="s">
        <v>31</v>
      </c>
      <c r="F118" t="s">
        <v>56</v>
      </c>
      <c r="G118" t="s">
        <v>44</v>
      </c>
      <c r="H118" t="s">
        <v>324</v>
      </c>
      <c r="I118" t="s">
        <v>90</v>
      </c>
      <c r="J118" s="1">
        <v>268.58999999999997</v>
      </c>
      <c r="K118">
        <v>4</v>
      </c>
      <c r="L118" t="s">
        <v>78</v>
      </c>
      <c r="M118">
        <v>3</v>
      </c>
      <c r="N118">
        <v>3</v>
      </c>
      <c r="O118">
        <v>1</v>
      </c>
      <c r="P118" t="s">
        <v>44</v>
      </c>
      <c r="Q118" t="s">
        <v>85</v>
      </c>
      <c r="R118">
        <v>1</v>
      </c>
      <c r="S118">
        <v>1</v>
      </c>
      <c r="T118" t="s">
        <v>49</v>
      </c>
      <c r="U118" t="s">
        <v>79</v>
      </c>
      <c r="V118" t="s">
        <v>61</v>
      </c>
      <c r="W118" s="2">
        <v>45387</v>
      </c>
      <c r="X118" s="4">
        <f ca="1">TODAY()-DATASET[[#This Row],[Time_of_Purchase]]</f>
        <v>747</v>
      </c>
      <c r="Y118" t="b">
        <v>1</v>
      </c>
      <c r="Z118" t="b">
        <v>1</v>
      </c>
      <c r="AA118" t="s">
        <v>40</v>
      </c>
      <c r="AB118" t="s">
        <v>53</v>
      </c>
      <c r="AC118">
        <v>3</v>
      </c>
    </row>
    <row r="119" spans="1:29" x14ac:dyDescent="0.25">
      <c r="A119" t="s">
        <v>325</v>
      </c>
      <c r="B119">
        <v>18</v>
      </c>
      <c r="C119" t="s">
        <v>29</v>
      </c>
      <c r="D119" t="s">
        <v>44</v>
      </c>
      <c r="E119" t="s">
        <v>76</v>
      </c>
      <c r="F119" t="s">
        <v>45</v>
      </c>
      <c r="G119" t="s">
        <v>44</v>
      </c>
      <c r="H119" t="s">
        <v>326</v>
      </c>
      <c r="I119" t="s">
        <v>117</v>
      </c>
      <c r="J119" s="1">
        <v>257.37</v>
      </c>
      <c r="K119">
        <v>7</v>
      </c>
      <c r="L119" t="s">
        <v>78</v>
      </c>
      <c r="M119">
        <v>3</v>
      </c>
      <c r="N119">
        <v>3</v>
      </c>
      <c r="O119">
        <v>0</v>
      </c>
      <c r="P119" t="s">
        <v>49</v>
      </c>
      <c r="Q119" t="s">
        <v>85</v>
      </c>
      <c r="R119">
        <v>2</v>
      </c>
      <c r="S119">
        <v>5</v>
      </c>
      <c r="T119" t="s">
        <v>49</v>
      </c>
      <c r="U119" t="s">
        <v>60</v>
      </c>
      <c r="V119" t="s">
        <v>51</v>
      </c>
      <c r="W119" s="2">
        <v>45323</v>
      </c>
      <c r="X119" s="4">
        <f ca="1">TODAY()-DATASET[[#This Row],[Time_of_Purchase]]</f>
        <v>811</v>
      </c>
      <c r="Y119" t="b">
        <v>1</v>
      </c>
      <c r="Z119" t="b">
        <v>0</v>
      </c>
      <c r="AA119" t="s">
        <v>52</v>
      </c>
      <c r="AB119" t="s">
        <v>67</v>
      </c>
      <c r="AC119">
        <v>13</v>
      </c>
    </row>
    <row r="120" spans="1:29" x14ac:dyDescent="0.25">
      <c r="A120" t="s">
        <v>327</v>
      </c>
      <c r="B120">
        <v>41</v>
      </c>
      <c r="C120" t="s">
        <v>29</v>
      </c>
      <c r="D120" t="s">
        <v>30</v>
      </c>
      <c r="E120" t="s">
        <v>55</v>
      </c>
      <c r="F120" t="s">
        <v>45</v>
      </c>
      <c r="G120" t="s">
        <v>44</v>
      </c>
      <c r="H120" t="s">
        <v>328</v>
      </c>
      <c r="I120" t="s">
        <v>58</v>
      </c>
      <c r="J120" s="1">
        <v>205.49</v>
      </c>
      <c r="K120">
        <v>4</v>
      </c>
      <c r="L120" t="s">
        <v>48</v>
      </c>
      <c r="M120">
        <v>5</v>
      </c>
      <c r="N120">
        <v>3</v>
      </c>
      <c r="O120">
        <v>2</v>
      </c>
      <c r="P120" t="s">
        <v>59</v>
      </c>
      <c r="Q120" t="s">
        <v>37</v>
      </c>
      <c r="R120">
        <v>2</v>
      </c>
      <c r="S120">
        <v>2</v>
      </c>
      <c r="T120" t="s">
        <v>44</v>
      </c>
      <c r="U120" t="s">
        <v>38</v>
      </c>
      <c r="V120" t="s">
        <v>86</v>
      </c>
      <c r="W120" s="2">
        <v>45605</v>
      </c>
      <c r="X120" s="4">
        <f ca="1">TODAY()-DATASET[[#This Row],[Time_of_Purchase]]</f>
        <v>529</v>
      </c>
      <c r="Y120" t="b">
        <v>1</v>
      </c>
      <c r="Z120" t="b">
        <v>0</v>
      </c>
      <c r="AA120" t="s">
        <v>40</v>
      </c>
      <c r="AB120" t="s">
        <v>67</v>
      </c>
      <c r="AC120">
        <v>11</v>
      </c>
    </row>
    <row r="121" spans="1:29" x14ac:dyDescent="0.25">
      <c r="A121" t="s">
        <v>329</v>
      </c>
      <c r="B121">
        <v>40</v>
      </c>
      <c r="C121" t="s">
        <v>43</v>
      </c>
      <c r="D121" t="s">
        <v>44</v>
      </c>
      <c r="E121" t="s">
        <v>76</v>
      </c>
      <c r="F121" t="s">
        <v>56</v>
      </c>
      <c r="G121" t="s">
        <v>44</v>
      </c>
      <c r="H121" t="s">
        <v>330</v>
      </c>
      <c r="I121" t="s">
        <v>93</v>
      </c>
      <c r="J121" s="1">
        <v>407.91</v>
      </c>
      <c r="K121">
        <v>7</v>
      </c>
      <c r="L121" t="s">
        <v>48</v>
      </c>
      <c r="M121">
        <v>2</v>
      </c>
      <c r="N121">
        <v>5</v>
      </c>
      <c r="O121">
        <v>0</v>
      </c>
      <c r="P121" t="s">
        <v>59</v>
      </c>
      <c r="Q121" t="s">
        <v>50</v>
      </c>
      <c r="R121">
        <v>0</v>
      </c>
      <c r="S121">
        <v>5</v>
      </c>
      <c r="T121" t="s">
        <v>59</v>
      </c>
      <c r="U121" t="s">
        <v>38</v>
      </c>
      <c r="V121" t="s">
        <v>66</v>
      </c>
      <c r="W121" s="2">
        <v>45460</v>
      </c>
      <c r="X121" s="4">
        <f ca="1">TODAY()-DATASET[[#This Row],[Time_of_Purchase]]</f>
        <v>674</v>
      </c>
      <c r="Y121" t="b">
        <v>1</v>
      </c>
      <c r="Z121" t="b">
        <v>1</v>
      </c>
      <c r="AA121" t="s">
        <v>40</v>
      </c>
      <c r="AB121" t="s">
        <v>53</v>
      </c>
      <c r="AC121">
        <v>14</v>
      </c>
    </row>
    <row r="122" spans="1:29" x14ac:dyDescent="0.25">
      <c r="A122" t="s">
        <v>331</v>
      </c>
      <c r="B122">
        <v>33</v>
      </c>
      <c r="C122" t="s">
        <v>29</v>
      </c>
      <c r="D122" t="s">
        <v>44</v>
      </c>
      <c r="E122" t="s">
        <v>76</v>
      </c>
      <c r="F122" t="s">
        <v>32</v>
      </c>
      <c r="G122" t="s">
        <v>44</v>
      </c>
      <c r="H122" t="s">
        <v>332</v>
      </c>
      <c r="I122" t="s">
        <v>47</v>
      </c>
      <c r="J122" s="1">
        <v>254.73</v>
      </c>
      <c r="K122">
        <v>6</v>
      </c>
      <c r="L122" t="s">
        <v>78</v>
      </c>
      <c r="M122">
        <v>4</v>
      </c>
      <c r="N122">
        <v>3</v>
      </c>
      <c r="O122">
        <v>0</v>
      </c>
      <c r="P122" t="s">
        <v>49</v>
      </c>
      <c r="Q122" t="s">
        <v>85</v>
      </c>
      <c r="R122">
        <v>0</v>
      </c>
      <c r="S122">
        <v>3</v>
      </c>
      <c r="T122" t="s">
        <v>59</v>
      </c>
      <c r="U122" t="s">
        <v>60</v>
      </c>
      <c r="V122" t="s">
        <v>66</v>
      </c>
      <c r="W122" s="2">
        <v>45444</v>
      </c>
      <c r="X122" s="4">
        <f ca="1">TODAY()-DATASET[[#This Row],[Time_of_Purchase]]</f>
        <v>690</v>
      </c>
      <c r="Y122" t="b">
        <v>1</v>
      </c>
      <c r="Z122" t="b">
        <v>1</v>
      </c>
      <c r="AA122" t="s">
        <v>62</v>
      </c>
      <c r="AB122" t="s">
        <v>67</v>
      </c>
      <c r="AC122">
        <v>3</v>
      </c>
    </row>
    <row r="123" spans="1:29" x14ac:dyDescent="0.25">
      <c r="A123" t="s">
        <v>333</v>
      </c>
      <c r="B123">
        <v>30</v>
      </c>
      <c r="C123" t="s">
        <v>29</v>
      </c>
      <c r="D123" t="s">
        <v>30</v>
      </c>
      <c r="E123" t="s">
        <v>76</v>
      </c>
      <c r="F123" t="s">
        <v>32</v>
      </c>
      <c r="G123" t="s">
        <v>44</v>
      </c>
      <c r="H123" t="s">
        <v>334</v>
      </c>
      <c r="I123" t="s">
        <v>183</v>
      </c>
      <c r="J123" s="1">
        <v>397.78</v>
      </c>
      <c r="K123">
        <v>12</v>
      </c>
      <c r="L123" t="s">
        <v>78</v>
      </c>
      <c r="M123">
        <v>3</v>
      </c>
      <c r="N123">
        <v>3</v>
      </c>
      <c r="O123">
        <v>1</v>
      </c>
      <c r="P123" t="s">
        <v>49</v>
      </c>
      <c r="Q123" t="s">
        <v>50</v>
      </c>
      <c r="R123">
        <v>2</v>
      </c>
      <c r="S123">
        <v>7</v>
      </c>
      <c r="T123" t="s">
        <v>49</v>
      </c>
      <c r="U123" t="s">
        <v>60</v>
      </c>
      <c r="V123" t="s">
        <v>51</v>
      </c>
      <c r="W123" s="2">
        <v>45559</v>
      </c>
      <c r="X123" s="4">
        <f ca="1">TODAY()-DATASET[[#This Row],[Time_of_Purchase]]</f>
        <v>575</v>
      </c>
      <c r="Y123" t="b">
        <v>0</v>
      </c>
      <c r="Z123" t="b">
        <v>1</v>
      </c>
      <c r="AA123" t="s">
        <v>62</v>
      </c>
      <c r="AB123" t="s">
        <v>41</v>
      </c>
      <c r="AC123">
        <v>11</v>
      </c>
    </row>
    <row r="124" spans="1:29" x14ac:dyDescent="0.25">
      <c r="A124" t="s">
        <v>335</v>
      </c>
      <c r="B124">
        <v>33</v>
      </c>
      <c r="C124" t="s">
        <v>29</v>
      </c>
      <c r="D124" t="s">
        <v>44</v>
      </c>
      <c r="E124" t="s">
        <v>31</v>
      </c>
      <c r="F124" t="s">
        <v>32</v>
      </c>
      <c r="G124" t="s">
        <v>44</v>
      </c>
      <c r="H124" t="s">
        <v>336</v>
      </c>
      <c r="I124" t="s">
        <v>117</v>
      </c>
      <c r="J124" s="1">
        <v>305.29000000000002</v>
      </c>
      <c r="K124">
        <v>3</v>
      </c>
      <c r="L124" t="s">
        <v>78</v>
      </c>
      <c r="M124">
        <v>2</v>
      </c>
      <c r="N124">
        <v>3</v>
      </c>
      <c r="O124">
        <v>1</v>
      </c>
      <c r="P124" t="s">
        <v>49</v>
      </c>
      <c r="Q124" t="s">
        <v>85</v>
      </c>
      <c r="R124">
        <v>1</v>
      </c>
      <c r="S124">
        <v>8</v>
      </c>
      <c r="T124" t="s">
        <v>49</v>
      </c>
      <c r="U124" t="s">
        <v>79</v>
      </c>
      <c r="V124" t="s">
        <v>61</v>
      </c>
      <c r="W124" s="2">
        <v>45540</v>
      </c>
      <c r="X124" s="4">
        <f ca="1">TODAY()-DATASET[[#This Row],[Time_of_Purchase]]</f>
        <v>594</v>
      </c>
      <c r="Y124" t="b">
        <v>1</v>
      </c>
      <c r="Z124" t="b">
        <v>1</v>
      </c>
      <c r="AA124" t="s">
        <v>62</v>
      </c>
      <c r="AB124" t="s">
        <v>53</v>
      </c>
      <c r="AC124">
        <v>10</v>
      </c>
    </row>
    <row r="125" spans="1:29" x14ac:dyDescent="0.25">
      <c r="A125" t="s">
        <v>337</v>
      </c>
      <c r="B125">
        <v>45</v>
      </c>
      <c r="C125" t="s">
        <v>43</v>
      </c>
      <c r="D125" t="s">
        <v>30</v>
      </c>
      <c r="E125" t="s">
        <v>76</v>
      </c>
      <c r="F125" t="s">
        <v>45</v>
      </c>
      <c r="G125" t="s">
        <v>44</v>
      </c>
      <c r="H125" t="s">
        <v>338</v>
      </c>
      <c r="I125" t="s">
        <v>47</v>
      </c>
      <c r="J125" s="1">
        <v>257.86</v>
      </c>
      <c r="K125">
        <v>6</v>
      </c>
      <c r="L125" t="s">
        <v>78</v>
      </c>
      <c r="M125">
        <v>2</v>
      </c>
      <c r="N125">
        <v>2</v>
      </c>
      <c r="O125">
        <v>0</v>
      </c>
      <c r="P125" t="s">
        <v>36</v>
      </c>
      <c r="Q125" t="s">
        <v>37</v>
      </c>
      <c r="R125">
        <v>0</v>
      </c>
      <c r="S125">
        <v>4</v>
      </c>
      <c r="T125" t="s">
        <v>44</v>
      </c>
      <c r="U125" t="s">
        <v>38</v>
      </c>
      <c r="V125" t="s">
        <v>51</v>
      </c>
      <c r="W125" s="2">
        <v>45455</v>
      </c>
      <c r="X125" s="4">
        <f ca="1">TODAY()-DATASET[[#This Row],[Time_of_Purchase]]</f>
        <v>679</v>
      </c>
      <c r="Y125" t="b">
        <v>1</v>
      </c>
      <c r="Z125" t="b">
        <v>1</v>
      </c>
      <c r="AA125" t="s">
        <v>40</v>
      </c>
      <c r="AB125" t="s">
        <v>67</v>
      </c>
      <c r="AC125">
        <v>1</v>
      </c>
    </row>
    <row r="126" spans="1:29" x14ac:dyDescent="0.25">
      <c r="A126" t="s">
        <v>339</v>
      </c>
      <c r="B126">
        <v>42</v>
      </c>
      <c r="C126" t="s">
        <v>29</v>
      </c>
      <c r="D126" t="s">
        <v>44</v>
      </c>
      <c r="E126" t="s">
        <v>55</v>
      </c>
      <c r="F126" t="s">
        <v>45</v>
      </c>
      <c r="G126" t="s">
        <v>30</v>
      </c>
      <c r="H126" t="s">
        <v>340</v>
      </c>
      <c r="I126" t="s">
        <v>246</v>
      </c>
      <c r="J126" s="1">
        <v>393.45</v>
      </c>
      <c r="K126">
        <v>12</v>
      </c>
      <c r="L126" t="s">
        <v>48</v>
      </c>
      <c r="M126">
        <v>3</v>
      </c>
      <c r="N126">
        <v>1</v>
      </c>
      <c r="O126">
        <v>0</v>
      </c>
      <c r="P126" t="s">
        <v>59</v>
      </c>
      <c r="Q126" t="s">
        <v>37</v>
      </c>
      <c r="R126">
        <v>2</v>
      </c>
      <c r="S126">
        <v>10</v>
      </c>
      <c r="T126" t="s">
        <v>49</v>
      </c>
      <c r="U126" t="s">
        <v>79</v>
      </c>
      <c r="V126" t="s">
        <v>39</v>
      </c>
      <c r="W126" s="2">
        <v>45571</v>
      </c>
      <c r="X126" s="4">
        <f ca="1">TODAY()-DATASET[[#This Row],[Time_of_Purchase]]</f>
        <v>563</v>
      </c>
      <c r="Y126" t="b">
        <v>0</v>
      </c>
      <c r="Z126" t="b">
        <v>0</v>
      </c>
      <c r="AA126" t="s">
        <v>40</v>
      </c>
      <c r="AB126" t="s">
        <v>67</v>
      </c>
      <c r="AC126">
        <v>12</v>
      </c>
    </row>
    <row r="127" spans="1:29" x14ac:dyDescent="0.25">
      <c r="A127" t="s">
        <v>341</v>
      </c>
      <c r="B127">
        <v>30</v>
      </c>
      <c r="C127" t="s">
        <v>43</v>
      </c>
      <c r="D127" t="s">
        <v>44</v>
      </c>
      <c r="E127" t="s">
        <v>31</v>
      </c>
      <c r="F127" t="s">
        <v>32</v>
      </c>
      <c r="G127" t="s">
        <v>30</v>
      </c>
      <c r="H127" t="s">
        <v>342</v>
      </c>
      <c r="I127" t="s">
        <v>142</v>
      </c>
      <c r="J127" s="1">
        <v>58.49</v>
      </c>
      <c r="K127">
        <v>6</v>
      </c>
      <c r="L127" t="s">
        <v>78</v>
      </c>
      <c r="M127">
        <v>2</v>
      </c>
      <c r="N127">
        <v>2</v>
      </c>
      <c r="O127">
        <v>0</v>
      </c>
      <c r="P127" t="s">
        <v>49</v>
      </c>
      <c r="Q127" t="s">
        <v>85</v>
      </c>
      <c r="R127">
        <v>0</v>
      </c>
      <c r="S127">
        <v>8</v>
      </c>
      <c r="T127" t="s">
        <v>44</v>
      </c>
      <c r="U127" t="s">
        <v>38</v>
      </c>
      <c r="V127" t="s">
        <v>66</v>
      </c>
      <c r="W127" s="2">
        <v>45502</v>
      </c>
      <c r="X127" s="4">
        <f ca="1">TODAY()-DATASET[[#This Row],[Time_of_Purchase]]</f>
        <v>632</v>
      </c>
      <c r="Y127" t="b">
        <v>1</v>
      </c>
      <c r="Z127" t="b">
        <v>1</v>
      </c>
      <c r="AA127" t="s">
        <v>74</v>
      </c>
      <c r="AB127" t="s">
        <v>67</v>
      </c>
      <c r="AC127">
        <v>7</v>
      </c>
    </row>
    <row r="128" spans="1:29" x14ac:dyDescent="0.25">
      <c r="A128" t="s">
        <v>343</v>
      </c>
      <c r="B128">
        <v>42</v>
      </c>
      <c r="C128" t="s">
        <v>43</v>
      </c>
      <c r="D128" t="s">
        <v>30</v>
      </c>
      <c r="E128" t="s">
        <v>55</v>
      </c>
      <c r="F128" t="s">
        <v>45</v>
      </c>
      <c r="G128" t="s">
        <v>30</v>
      </c>
      <c r="H128" t="s">
        <v>344</v>
      </c>
      <c r="I128" t="s">
        <v>188</v>
      </c>
      <c r="J128" s="1">
        <v>226.48</v>
      </c>
      <c r="K128">
        <v>11</v>
      </c>
      <c r="L128" t="s">
        <v>48</v>
      </c>
      <c r="M128">
        <v>5</v>
      </c>
      <c r="N128">
        <v>3</v>
      </c>
      <c r="O128">
        <v>2</v>
      </c>
      <c r="P128" t="s">
        <v>36</v>
      </c>
      <c r="Q128" t="s">
        <v>50</v>
      </c>
      <c r="R128">
        <v>2</v>
      </c>
      <c r="S128">
        <v>7</v>
      </c>
      <c r="T128" t="s">
        <v>44</v>
      </c>
      <c r="U128" t="s">
        <v>38</v>
      </c>
      <c r="V128" t="s">
        <v>61</v>
      </c>
      <c r="W128" s="2">
        <v>45583</v>
      </c>
      <c r="X128" s="4">
        <f ca="1">TODAY()-DATASET[[#This Row],[Time_of_Purchase]]</f>
        <v>551</v>
      </c>
      <c r="Y128" t="b">
        <v>1</v>
      </c>
      <c r="Z128" t="b">
        <v>0</v>
      </c>
      <c r="AA128" t="s">
        <v>40</v>
      </c>
      <c r="AB128" t="s">
        <v>67</v>
      </c>
      <c r="AC128">
        <v>11</v>
      </c>
    </row>
    <row r="129" spans="1:29" x14ac:dyDescent="0.25">
      <c r="A129" t="s">
        <v>345</v>
      </c>
      <c r="B129">
        <v>26</v>
      </c>
      <c r="C129" t="s">
        <v>29</v>
      </c>
      <c r="D129" t="s">
        <v>44</v>
      </c>
      <c r="E129" t="s">
        <v>55</v>
      </c>
      <c r="F129" t="s">
        <v>56</v>
      </c>
      <c r="G129" t="s">
        <v>30</v>
      </c>
      <c r="H129" t="s">
        <v>346</v>
      </c>
      <c r="I129" t="s">
        <v>104</v>
      </c>
      <c r="J129" s="1">
        <v>469.22</v>
      </c>
      <c r="K129">
        <v>6</v>
      </c>
      <c r="L129" t="s">
        <v>48</v>
      </c>
      <c r="M129">
        <v>1</v>
      </c>
      <c r="N129">
        <v>1</v>
      </c>
      <c r="O129">
        <v>1</v>
      </c>
      <c r="P129" t="s">
        <v>44</v>
      </c>
      <c r="Q129" t="s">
        <v>50</v>
      </c>
      <c r="R129">
        <v>0</v>
      </c>
      <c r="S129">
        <v>1</v>
      </c>
      <c r="T129" t="s">
        <v>59</v>
      </c>
      <c r="U129" t="s">
        <v>38</v>
      </c>
      <c r="V129" t="s">
        <v>39</v>
      </c>
      <c r="W129" s="2">
        <v>45511</v>
      </c>
      <c r="X129" s="4">
        <f ca="1">TODAY()-DATASET[[#This Row],[Time_of_Purchase]]</f>
        <v>623</v>
      </c>
      <c r="Y129" t="b">
        <v>0</v>
      </c>
      <c r="Z129" t="b">
        <v>0</v>
      </c>
      <c r="AA129" t="s">
        <v>52</v>
      </c>
      <c r="AB129" t="s">
        <v>41</v>
      </c>
      <c r="AC129">
        <v>7</v>
      </c>
    </row>
    <row r="130" spans="1:29" x14ac:dyDescent="0.25">
      <c r="A130" t="s">
        <v>347</v>
      </c>
      <c r="B130">
        <v>42</v>
      </c>
      <c r="C130" t="s">
        <v>29</v>
      </c>
      <c r="D130" t="s">
        <v>44</v>
      </c>
      <c r="E130" t="s">
        <v>76</v>
      </c>
      <c r="F130" t="s">
        <v>45</v>
      </c>
      <c r="G130" t="s">
        <v>44</v>
      </c>
      <c r="H130" t="s">
        <v>348</v>
      </c>
      <c r="I130" t="s">
        <v>246</v>
      </c>
      <c r="J130" s="1">
        <v>335.32</v>
      </c>
      <c r="K130">
        <v>6</v>
      </c>
      <c r="L130" t="s">
        <v>35</v>
      </c>
      <c r="M130">
        <v>3</v>
      </c>
      <c r="N130">
        <v>3</v>
      </c>
      <c r="O130">
        <v>1</v>
      </c>
      <c r="P130" t="s">
        <v>36</v>
      </c>
      <c r="Q130" t="s">
        <v>50</v>
      </c>
      <c r="R130">
        <v>0</v>
      </c>
      <c r="S130">
        <v>1</v>
      </c>
      <c r="T130" t="s">
        <v>59</v>
      </c>
      <c r="U130" t="s">
        <v>79</v>
      </c>
      <c r="V130" t="s">
        <v>66</v>
      </c>
      <c r="W130" s="2">
        <v>45516</v>
      </c>
      <c r="X130" s="4">
        <f ca="1">TODAY()-DATASET[[#This Row],[Time_of_Purchase]]</f>
        <v>618</v>
      </c>
      <c r="Y130" t="b">
        <v>1</v>
      </c>
      <c r="Z130" t="b">
        <v>0</v>
      </c>
      <c r="AA130" t="s">
        <v>74</v>
      </c>
      <c r="AB130" t="s">
        <v>41</v>
      </c>
      <c r="AC130">
        <v>10</v>
      </c>
    </row>
    <row r="131" spans="1:29" x14ac:dyDescent="0.25">
      <c r="A131" t="s">
        <v>349</v>
      </c>
      <c r="B131">
        <v>31</v>
      </c>
      <c r="C131" t="s">
        <v>43</v>
      </c>
      <c r="D131" t="s">
        <v>44</v>
      </c>
      <c r="E131" t="s">
        <v>76</v>
      </c>
      <c r="F131" t="s">
        <v>45</v>
      </c>
      <c r="G131" t="s">
        <v>30</v>
      </c>
      <c r="H131" t="s">
        <v>350</v>
      </c>
      <c r="I131" t="s">
        <v>101</v>
      </c>
      <c r="J131" s="1">
        <v>184.74</v>
      </c>
      <c r="K131">
        <v>5</v>
      </c>
      <c r="L131" t="s">
        <v>48</v>
      </c>
      <c r="M131">
        <v>4</v>
      </c>
      <c r="N131">
        <v>4</v>
      </c>
      <c r="O131">
        <v>0</v>
      </c>
      <c r="P131" t="s">
        <v>49</v>
      </c>
      <c r="Q131" t="s">
        <v>85</v>
      </c>
      <c r="R131">
        <v>1</v>
      </c>
      <c r="S131">
        <v>5</v>
      </c>
      <c r="T131" t="s">
        <v>44</v>
      </c>
      <c r="U131" t="s">
        <v>38</v>
      </c>
      <c r="V131" t="s">
        <v>61</v>
      </c>
      <c r="W131" s="2">
        <v>45623</v>
      </c>
      <c r="X131" s="4">
        <f ca="1">TODAY()-DATASET[[#This Row],[Time_of_Purchase]]</f>
        <v>511</v>
      </c>
      <c r="Y131" t="b">
        <v>0</v>
      </c>
      <c r="Z131" t="b">
        <v>1</v>
      </c>
      <c r="AA131" t="s">
        <v>62</v>
      </c>
      <c r="AB131" t="s">
        <v>41</v>
      </c>
      <c r="AC131">
        <v>10</v>
      </c>
    </row>
    <row r="132" spans="1:29" x14ac:dyDescent="0.25">
      <c r="A132" t="s">
        <v>351</v>
      </c>
      <c r="B132">
        <v>37</v>
      </c>
      <c r="C132" t="s">
        <v>352</v>
      </c>
      <c r="D132" t="s">
        <v>44</v>
      </c>
      <c r="E132" t="s">
        <v>76</v>
      </c>
      <c r="F132" t="s">
        <v>32</v>
      </c>
      <c r="G132" t="s">
        <v>30</v>
      </c>
      <c r="H132" t="s">
        <v>353</v>
      </c>
      <c r="I132" t="s">
        <v>194</v>
      </c>
      <c r="J132" s="1">
        <v>442.18</v>
      </c>
      <c r="K132">
        <v>5</v>
      </c>
      <c r="L132" t="s">
        <v>48</v>
      </c>
      <c r="M132">
        <v>4</v>
      </c>
      <c r="N132">
        <v>3</v>
      </c>
      <c r="O132">
        <v>1</v>
      </c>
      <c r="P132" t="s">
        <v>36</v>
      </c>
      <c r="Q132" t="s">
        <v>85</v>
      </c>
      <c r="R132">
        <v>2</v>
      </c>
      <c r="S132">
        <v>10</v>
      </c>
      <c r="T132" t="s">
        <v>44</v>
      </c>
      <c r="U132" t="s">
        <v>60</v>
      </c>
      <c r="V132" t="s">
        <v>51</v>
      </c>
      <c r="W132" s="2">
        <v>45316</v>
      </c>
      <c r="X132" s="4">
        <f ca="1">TODAY()-DATASET[[#This Row],[Time_of_Purchase]]</f>
        <v>818</v>
      </c>
      <c r="Y132" t="b">
        <v>0</v>
      </c>
      <c r="Z132" t="b">
        <v>0</v>
      </c>
      <c r="AA132" t="s">
        <v>62</v>
      </c>
      <c r="AB132" t="s">
        <v>67</v>
      </c>
      <c r="AC132">
        <v>12</v>
      </c>
    </row>
    <row r="133" spans="1:29" x14ac:dyDescent="0.25">
      <c r="A133" t="s">
        <v>354</v>
      </c>
      <c r="B133">
        <v>49</v>
      </c>
      <c r="C133" t="s">
        <v>43</v>
      </c>
      <c r="D133" t="s">
        <v>44</v>
      </c>
      <c r="E133" t="s">
        <v>31</v>
      </c>
      <c r="F133" t="s">
        <v>45</v>
      </c>
      <c r="G133" t="s">
        <v>30</v>
      </c>
      <c r="H133" t="s">
        <v>355</v>
      </c>
      <c r="I133" t="s">
        <v>142</v>
      </c>
      <c r="J133" s="1">
        <v>427.1</v>
      </c>
      <c r="K133">
        <v>8</v>
      </c>
      <c r="L133" t="s">
        <v>35</v>
      </c>
      <c r="M133">
        <v>1</v>
      </c>
      <c r="N133">
        <v>2</v>
      </c>
      <c r="O133">
        <v>1</v>
      </c>
      <c r="P133" t="s">
        <v>44</v>
      </c>
      <c r="Q133" t="s">
        <v>37</v>
      </c>
      <c r="R133">
        <v>0</v>
      </c>
      <c r="S133">
        <v>2</v>
      </c>
      <c r="T133" t="s">
        <v>49</v>
      </c>
      <c r="U133" t="s">
        <v>79</v>
      </c>
      <c r="V133" t="s">
        <v>51</v>
      </c>
      <c r="W133" s="2">
        <v>45422</v>
      </c>
      <c r="X133" s="4">
        <f ca="1">TODAY()-DATASET[[#This Row],[Time_of_Purchase]]</f>
        <v>712</v>
      </c>
      <c r="Y133" t="b">
        <v>0</v>
      </c>
      <c r="Z133" t="b">
        <v>1</v>
      </c>
      <c r="AA133" t="s">
        <v>74</v>
      </c>
      <c r="AB133" t="s">
        <v>41</v>
      </c>
      <c r="AC133">
        <v>5</v>
      </c>
    </row>
    <row r="134" spans="1:29" x14ac:dyDescent="0.25">
      <c r="A134" t="s">
        <v>356</v>
      </c>
      <c r="B134">
        <v>34</v>
      </c>
      <c r="C134" t="s">
        <v>43</v>
      </c>
      <c r="D134" t="s">
        <v>44</v>
      </c>
      <c r="E134" t="s">
        <v>69</v>
      </c>
      <c r="F134" t="s">
        <v>45</v>
      </c>
      <c r="G134" t="s">
        <v>44</v>
      </c>
      <c r="H134" t="s">
        <v>357</v>
      </c>
      <c r="I134" t="s">
        <v>65</v>
      </c>
      <c r="J134" s="1">
        <v>326.82</v>
      </c>
      <c r="K134">
        <v>4</v>
      </c>
      <c r="L134" t="s">
        <v>35</v>
      </c>
      <c r="M134">
        <v>3</v>
      </c>
      <c r="N134">
        <v>2</v>
      </c>
      <c r="O134">
        <v>1</v>
      </c>
      <c r="P134" t="s">
        <v>44</v>
      </c>
      <c r="Q134" t="s">
        <v>37</v>
      </c>
      <c r="R134">
        <v>2</v>
      </c>
      <c r="S134">
        <v>5</v>
      </c>
      <c r="T134" t="s">
        <v>49</v>
      </c>
      <c r="U134" t="s">
        <v>38</v>
      </c>
      <c r="V134" t="s">
        <v>39</v>
      </c>
      <c r="W134" s="2">
        <v>45404</v>
      </c>
      <c r="X134" s="4">
        <f ca="1">TODAY()-DATASET[[#This Row],[Time_of_Purchase]]</f>
        <v>730</v>
      </c>
      <c r="Y134" t="b">
        <v>1</v>
      </c>
      <c r="Z134" t="b">
        <v>0</v>
      </c>
      <c r="AA134" t="s">
        <v>74</v>
      </c>
      <c r="AB134" t="s">
        <v>53</v>
      </c>
      <c r="AC134">
        <v>4</v>
      </c>
    </row>
    <row r="135" spans="1:29" x14ac:dyDescent="0.25">
      <c r="A135" t="s">
        <v>358</v>
      </c>
      <c r="B135">
        <v>41</v>
      </c>
      <c r="C135" t="s">
        <v>43</v>
      </c>
      <c r="D135" t="s">
        <v>44</v>
      </c>
      <c r="E135" t="s">
        <v>69</v>
      </c>
      <c r="F135" t="s">
        <v>45</v>
      </c>
      <c r="G135" t="s">
        <v>30</v>
      </c>
      <c r="H135" t="s">
        <v>359</v>
      </c>
      <c r="I135" t="s">
        <v>107</v>
      </c>
      <c r="J135" s="1">
        <v>98.97</v>
      </c>
      <c r="K135">
        <v>12</v>
      </c>
      <c r="L135" t="s">
        <v>48</v>
      </c>
      <c r="M135">
        <v>2</v>
      </c>
      <c r="N135">
        <v>5</v>
      </c>
      <c r="O135">
        <v>2</v>
      </c>
      <c r="P135" t="s">
        <v>36</v>
      </c>
      <c r="Q135" t="s">
        <v>85</v>
      </c>
      <c r="R135">
        <v>1</v>
      </c>
      <c r="S135">
        <v>7</v>
      </c>
      <c r="T135" t="s">
        <v>44</v>
      </c>
      <c r="U135" t="s">
        <v>38</v>
      </c>
      <c r="V135" t="s">
        <v>66</v>
      </c>
      <c r="W135" s="2">
        <v>45370</v>
      </c>
      <c r="X135" s="4">
        <f ca="1">TODAY()-DATASET[[#This Row],[Time_of_Purchase]]</f>
        <v>764</v>
      </c>
      <c r="Y135" t="b">
        <v>1</v>
      </c>
      <c r="Z135" t="b">
        <v>1</v>
      </c>
      <c r="AA135" t="s">
        <v>62</v>
      </c>
      <c r="AB135" t="s">
        <v>41</v>
      </c>
      <c r="AC135">
        <v>11</v>
      </c>
    </row>
    <row r="136" spans="1:29" x14ac:dyDescent="0.25">
      <c r="A136" t="s">
        <v>360</v>
      </c>
      <c r="B136">
        <v>33</v>
      </c>
      <c r="C136" t="s">
        <v>43</v>
      </c>
      <c r="D136" t="s">
        <v>44</v>
      </c>
      <c r="E136" t="s">
        <v>55</v>
      </c>
      <c r="F136" t="s">
        <v>45</v>
      </c>
      <c r="G136" t="s">
        <v>44</v>
      </c>
      <c r="H136" t="s">
        <v>361</v>
      </c>
      <c r="I136" t="s">
        <v>104</v>
      </c>
      <c r="J136" s="1">
        <v>77.650000000000006</v>
      </c>
      <c r="K136">
        <v>6</v>
      </c>
      <c r="L136" t="s">
        <v>78</v>
      </c>
      <c r="M136">
        <v>1</v>
      </c>
      <c r="N136">
        <v>4</v>
      </c>
      <c r="O136">
        <v>1</v>
      </c>
      <c r="P136" t="s">
        <v>49</v>
      </c>
      <c r="Q136" t="s">
        <v>37</v>
      </c>
      <c r="R136">
        <v>2</v>
      </c>
      <c r="S136">
        <v>3</v>
      </c>
      <c r="T136" t="s">
        <v>36</v>
      </c>
      <c r="U136" t="s">
        <v>38</v>
      </c>
      <c r="V136" t="s">
        <v>86</v>
      </c>
      <c r="W136" s="2">
        <v>45315</v>
      </c>
      <c r="X136" s="4">
        <f ca="1">TODAY()-DATASET[[#This Row],[Time_of_Purchase]]</f>
        <v>819</v>
      </c>
      <c r="Y136" t="b">
        <v>1</v>
      </c>
      <c r="Z136" t="b">
        <v>1</v>
      </c>
      <c r="AA136" t="s">
        <v>74</v>
      </c>
      <c r="AB136" t="s">
        <v>41</v>
      </c>
      <c r="AC136">
        <v>1</v>
      </c>
    </row>
    <row r="137" spans="1:29" x14ac:dyDescent="0.25">
      <c r="A137" t="s">
        <v>362</v>
      </c>
      <c r="B137">
        <v>47</v>
      </c>
      <c r="C137" t="s">
        <v>29</v>
      </c>
      <c r="D137" t="s">
        <v>30</v>
      </c>
      <c r="E137" t="s">
        <v>69</v>
      </c>
      <c r="F137" t="s">
        <v>56</v>
      </c>
      <c r="G137" t="s">
        <v>44</v>
      </c>
      <c r="H137" t="s">
        <v>363</v>
      </c>
      <c r="I137" t="s">
        <v>117</v>
      </c>
      <c r="J137" s="1">
        <v>85.61</v>
      </c>
      <c r="K137">
        <v>2</v>
      </c>
      <c r="L137" t="s">
        <v>78</v>
      </c>
      <c r="M137">
        <v>4</v>
      </c>
      <c r="N137">
        <v>2</v>
      </c>
      <c r="O137">
        <v>1</v>
      </c>
      <c r="P137" t="s">
        <v>44</v>
      </c>
      <c r="Q137" t="s">
        <v>50</v>
      </c>
      <c r="R137">
        <v>1</v>
      </c>
      <c r="S137">
        <v>3</v>
      </c>
      <c r="T137" t="s">
        <v>59</v>
      </c>
      <c r="U137" t="s">
        <v>79</v>
      </c>
      <c r="V137" t="s">
        <v>66</v>
      </c>
      <c r="W137" s="2">
        <v>45569</v>
      </c>
      <c r="X137" s="4">
        <f ca="1">TODAY()-DATASET[[#This Row],[Time_of_Purchase]]</f>
        <v>565</v>
      </c>
      <c r="Y137" t="b">
        <v>1</v>
      </c>
      <c r="Z137" t="b">
        <v>1</v>
      </c>
      <c r="AA137" t="s">
        <v>40</v>
      </c>
      <c r="AB137" t="s">
        <v>53</v>
      </c>
      <c r="AC137">
        <v>5</v>
      </c>
    </row>
    <row r="138" spans="1:29" x14ac:dyDescent="0.25">
      <c r="A138" t="s">
        <v>364</v>
      </c>
      <c r="B138">
        <v>47</v>
      </c>
      <c r="C138" t="s">
        <v>43</v>
      </c>
      <c r="D138" t="s">
        <v>44</v>
      </c>
      <c r="E138" t="s">
        <v>69</v>
      </c>
      <c r="F138" t="s">
        <v>45</v>
      </c>
      <c r="G138" t="s">
        <v>44</v>
      </c>
      <c r="H138" t="s">
        <v>365</v>
      </c>
      <c r="I138" t="s">
        <v>47</v>
      </c>
      <c r="J138" s="1">
        <v>164.79</v>
      </c>
      <c r="K138">
        <v>4</v>
      </c>
      <c r="L138" t="s">
        <v>48</v>
      </c>
      <c r="M138">
        <v>3</v>
      </c>
      <c r="N138">
        <v>2</v>
      </c>
      <c r="O138">
        <v>0</v>
      </c>
      <c r="P138" t="s">
        <v>36</v>
      </c>
      <c r="Q138" t="s">
        <v>37</v>
      </c>
      <c r="R138">
        <v>2</v>
      </c>
      <c r="S138">
        <v>5</v>
      </c>
      <c r="T138" t="s">
        <v>44</v>
      </c>
      <c r="U138" t="s">
        <v>38</v>
      </c>
      <c r="V138" t="s">
        <v>39</v>
      </c>
      <c r="W138" s="2">
        <v>45435</v>
      </c>
      <c r="X138" s="4">
        <f ca="1">TODAY()-DATASET[[#This Row],[Time_of_Purchase]]</f>
        <v>699</v>
      </c>
      <c r="Y138" t="b">
        <v>1</v>
      </c>
      <c r="Z138" t="b">
        <v>1</v>
      </c>
      <c r="AA138" t="s">
        <v>62</v>
      </c>
      <c r="AB138" t="s">
        <v>41</v>
      </c>
      <c r="AC138">
        <v>1</v>
      </c>
    </row>
    <row r="139" spans="1:29" x14ac:dyDescent="0.25">
      <c r="A139" t="s">
        <v>366</v>
      </c>
      <c r="B139">
        <v>29</v>
      </c>
      <c r="C139" t="s">
        <v>29</v>
      </c>
      <c r="D139" t="s">
        <v>44</v>
      </c>
      <c r="E139" t="s">
        <v>69</v>
      </c>
      <c r="F139" t="s">
        <v>45</v>
      </c>
      <c r="G139" t="s">
        <v>44</v>
      </c>
      <c r="H139" t="s">
        <v>367</v>
      </c>
      <c r="I139" t="s">
        <v>142</v>
      </c>
      <c r="J139" s="1">
        <v>235.46</v>
      </c>
      <c r="K139">
        <v>10</v>
      </c>
      <c r="L139" t="s">
        <v>48</v>
      </c>
      <c r="M139">
        <v>3</v>
      </c>
      <c r="N139">
        <v>4</v>
      </c>
      <c r="O139">
        <v>2</v>
      </c>
      <c r="P139" t="s">
        <v>36</v>
      </c>
      <c r="Q139" t="s">
        <v>50</v>
      </c>
      <c r="R139">
        <v>0</v>
      </c>
      <c r="S139">
        <v>7</v>
      </c>
      <c r="T139" t="s">
        <v>36</v>
      </c>
      <c r="U139" t="s">
        <v>79</v>
      </c>
      <c r="V139" t="s">
        <v>39</v>
      </c>
      <c r="W139" s="2">
        <v>45609</v>
      </c>
      <c r="X139" s="4">
        <f ca="1">TODAY()-DATASET[[#This Row],[Time_of_Purchase]]</f>
        <v>525</v>
      </c>
      <c r="Y139" t="b">
        <v>0</v>
      </c>
      <c r="Z139" t="b">
        <v>1</v>
      </c>
      <c r="AA139" t="s">
        <v>62</v>
      </c>
      <c r="AB139" t="s">
        <v>41</v>
      </c>
      <c r="AC139">
        <v>2</v>
      </c>
    </row>
    <row r="140" spans="1:29" x14ac:dyDescent="0.25">
      <c r="A140" t="s">
        <v>368</v>
      </c>
      <c r="B140">
        <v>36</v>
      </c>
      <c r="C140" t="s">
        <v>29</v>
      </c>
      <c r="D140" t="s">
        <v>44</v>
      </c>
      <c r="E140" t="s">
        <v>69</v>
      </c>
      <c r="F140" t="s">
        <v>56</v>
      </c>
      <c r="G140" t="s">
        <v>30</v>
      </c>
      <c r="H140" t="s">
        <v>369</v>
      </c>
      <c r="I140" t="s">
        <v>82</v>
      </c>
      <c r="J140" s="1">
        <v>245.14</v>
      </c>
      <c r="K140">
        <v>4</v>
      </c>
      <c r="L140" t="s">
        <v>78</v>
      </c>
      <c r="M140">
        <v>4</v>
      </c>
      <c r="N140">
        <v>5</v>
      </c>
      <c r="O140">
        <v>1</v>
      </c>
      <c r="P140" t="s">
        <v>44</v>
      </c>
      <c r="Q140" t="s">
        <v>85</v>
      </c>
      <c r="R140">
        <v>1</v>
      </c>
      <c r="S140">
        <v>4</v>
      </c>
      <c r="T140" t="s">
        <v>49</v>
      </c>
      <c r="U140" t="s">
        <v>60</v>
      </c>
      <c r="V140" t="s">
        <v>51</v>
      </c>
      <c r="W140" s="2">
        <v>45354</v>
      </c>
      <c r="X140" s="4">
        <f ca="1">TODAY()-DATASET[[#This Row],[Time_of_Purchase]]</f>
        <v>780</v>
      </c>
      <c r="Y140" t="b">
        <v>1</v>
      </c>
      <c r="Z140" t="b">
        <v>0</v>
      </c>
      <c r="AA140" t="s">
        <v>62</v>
      </c>
      <c r="AB140" t="s">
        <v>53</v>
      </c>
      <c r="AC140">
        <v>3</v>
      </c>
    </row>
    <row r="141" spans="1:29" x14ac:dyDescent="0.25">
      <c r="A141" t="s">
        <v>370</v>
      </c>
      <c r="B141">
        <v>43</v>
      </c>
      <c r="C141" t="s">
        <v>43</v>
      </c>
      <c r="D141" t="s">
        <v>44</v>
      </c>
      <c r="E141" t="s">
        <v>76</v>
      </c>
      <c r="F141" t="s">
        <v>32</v>
      </c>
      <c r="G141" t="s">
        <v>30</v>
      </c>
      <c r="H141" t="s">
        <v>371</v>
      </c>
      <c r="I141" t="s">
        <v>126</v>
      </c>
      <c r="J141" s="1">
        <v>439.91</v>
      </c>
      <c r="K141">
        <v>5</v>
      </c>
      <c r="L141" t="s">
        <v>78</v>
      </c>
      <c r="M141">
        <v>1</v>
      </c>
      <c r="N141">
        <v>4</v>
      </c>
      <c r="O141">
        <v>2</v>
      </c>
      <c r="P141" t="s">
        <v>59</v>
      </c>
      <c r="Q141" t="s">
        <v>37</v>
      </c>
      <c r="R141">
        <v>0</v>
      </c>
      <c r="S141">
        <v>9</v>
      </c>
      <c r="T141" t="s">
        <v>49</v>
      </c>
      <c r="U141" t="s">
        <v>60</v>
      </c>
      <c r="V141" t="s">
        <v>66</v>
      </c>
      <c r="W141" s="2">
        <v>45354</v>
      </c>
      <c r="X141" s="4">
        <f ca="1">TODAY()-DATASET[[#This Row],[Time_of_Purchase]]</f>
        <v>780</v>
      </c>
      <c r="Y141" t="b">
        <v>0</v>
      </c>
      <c r="Z141" t="b">
        <v>0</v>
      </c>
      <c r="AA141" t="s">
        <v>40</v>
      </c>
      <c r="AB141" t="s">
        <v>67</v>
      </c>
      <c r="AC141">
        <v>10</v>
      </c>
    </row>
    <row r="142" spans="1:29" x14ac:dyDescent="0.25">
      <c r="A142" t="s">
        <v>372</v>
      </c>
      <c r="B142">
        <v>31</v>
      </c>
      <c r="C142" t="s">
        <v>43</v>
      </c>
      <c r="D142" t="s">
        <v>44</v>
      </c>
      <c r="E142" t="s">
        <v>69</v>
      </c>
      <c r="F142" t="s">
        <v>45</v>
      </c>
      <c r="G142" t="s">
        <v>44</v>
      </c>
      <c r="H142" t="s">
        <v>373</v>
      </c>
      <c r="I142" t="s">
        <v>65</v>
      </c>
      <c r="J142" s="1">
        <v>309.22000000000003</v>
      </c>
      <c r="K142">
        <v>5</v>
      </c>
      <c r="L142" t="s">
        <v>35</v>
      </c>
      <c r="M142">
        <v>3</v>
      </c>
      <c r="N142">
        <v>5</v>
      </c>
      <c r="O142">
        <v>2</v>
      </c>
      <c r="P142" t="s">
        <v>59</v>
      </c>
      <c r="Q142" t="s">
        <v>50</v>
      </c>
      <c r="R142">
        <v>2</v>
      </c>
      <c r="S142">
        <v>4</v>
      </c>
      <c r="T142" t="s">
        <v>36</v>
      </c>
      <c r="U142" t="s">
        <v>38</v>
      </c>
      <c r="V142" t="s">
        <v>86</v>
      </c>
      <c r="W142" s="2">
        <v>45375</v>
      </c>
      <c r="X142" s="4">
        <f ca="1">TODAY()-DATASET[[#This Row],[Time_of_Purchase]]</f>
        <v>759</v>
      </c>
      <c r="Y142" t="b">
        <v>0</v>
      </c>
      <c r="Z142" t="b">
        <v>0</v>
      </c>
      <c r="AA142" t="s">
        <v>74</v>
      </c>
      <c r="AB142" t="s">
        <v>53</v>
      </c>
      <c r="AC142">
        <v>10</v>
      </c>
    </row>
    <row r="143" spans="1:29" x14ac:dyDescent="0.25">
      <c r="A143" t="s">
        <v>374</v>
      </c>
      <c r="B143">
        <v>27</v>
      </c>
      <c r="C143" t="s">
        <v>43</v>
      </c>
      <c r="D143" t="s">
        <v>30</v>
      </c>
      <c r="E143" t="s">
        <v>69</v>
      </c>
      <c r="F143" t="s">
        <v>56</v>
      </c>
      <c r="G143" t="s">
        <v>30</v>
      </c>
      <c r="H143" t="s">
        <v>375</v>
      </c>
      <c r="I143" t="s">
        <v>158</v>
      </c>
      <c r="J143" s="1">
        <v>146.59</v>
      </c>
      <c r="K143">
        <v>10</v>
      </c>
      <c r="L143" t="s">
        <v>35</v>
      </c>
      <c r="M143">
        <v>5</v>
      </c>
      <c r="N143">
        <v>1</v>
      </c>
      <c r="O143">
        <v>2</v>
      </c>
      <c r="P143" t="s">
        <v>59</v>
      </c>
      <c r="Q143" t="s">
        <v>85</v>
      </c>
      <c r="R143">
        <v>0</v>
      </c>
      <c r="S143">
        <v>2</v>
      </c>
      <c r="T143" t="s">
        <v>36</v>
      </c>
      <c r="U143" t="s">
        <v>60</v>
      </c>
      <c r="V143" t="s">
        <v>86</v>
      </c>
      <c r="W143" s="2">
        <v>45313</v>
      </c>
      <c r="X143" s="4">
        <f ca="1">TODAY()-DATASET[[#This Row],[Time_of_Purchase]]</f>
        <v>821</v>
      </c>
      <c r="Y143" t="b">
        <v>0</v>
      </c>
      <c r="Z143" t="b">
        <v>1</v>
      </c>
      <c r="AA143" t="s">
        <v>62</v>
      </c>
      <c r="AB143" t="s">
        <v>41</v>
      </c>
      <c r="AC143">
        <v>3</v>
      </c>
    </row>
    <row r="144" spans="1:29" x14ac:dyDescent="0.25">
      <c r="A144" t="s">
        <v>376</v>
      </c>
      <c r="B144">
        <v>48</v>
      </c>
      <c r="C144" t="s">
        <v>43</v>
      </c>
      <c r="D144" t="s">
        <v>30</v>
      </c>
      <c r="E144" t="s">
        <v>55</v>
      </c>
      <c r="F144" t="s">
        <v>45</v>
      </c>
      <c r="G144" t="s">
        <v>30</v>
      </c>
      <c r="H144" t="s">
        <v>377</v>
      </c>
      <c r="I144" t="s">
        <v>107</v>
      </c>
      <c r="J144" s="1">
        <v>298.73</v>
      </c>
      <c r="K144">
        <v>4</v>
      </c>
      <c r="L144" t="s">
        <v>78</v>
      </c>
      <c r="M144">
        <v>1</v>
      </c>
      <c r="N144">
        <v>5</v>
      </c>
      <c r="O144">
        <v>1</v>
      </c>
      <c r="P144" t="s">
        <v>44</v>
      </c>
      <c r="Q144" t="s">
        <v>50</v>
      </c>
      <c r="R144">
        <v>0</v>
      </c>
      <c r="S144">
        <v>2</v>
      </c>
      <c r="T144" t="s">
        <v>59</v>
      </c>
      <c r="U144" t="s">
        <v>38</v>
      </c>
      <c r="V144" t="s">
        <v>61</v>
      </c>
      <c r="W144" s="2">
        <v>45598</v>
      </c>
      <c r="X144" s="4">
        <f ca="1">TODAY()-DATASET[[#This Row],[Time_of_Purchase]]</f>
        <v>536</v>
      </c>
      <c r="Y144" t="b">
        <v>0</v>
      </c>
      <c r="Z144" t="b">
        <v>1</v>
      </c>
      <c r="AA144" t="s">
        <v>40</v>
      </c>
      <c r="AB144" t="s">
        <v>41</v>
      </c>
      <c r="AC144">
        <v>4</v>
      </c>
    </row>
    <row r="145" spans="1:29" x14ac:dyDescent="0.25">
      <c r="A145" t="s">
        <v>378</v>
      </c>
      <c r="B145">
        <v>19</v>
      </c>
      <c r="C145" t="s">
        <v>352</v>
      </c>
      <c r="D145" t="s">
        <v>44</v>
      </c>
      <c r="E145" t="s">
        <v>55</v>
      </c>
      <c r="F145" t="s">
        <v>32</v>
      </c>
      <c r="G145" t="s">
        <v>44</v>
      </c>
      <c r="H145" t="s">
        <v>379</v>
      </c>
      <c r="I145" t="s">
        <v>47</v>
      </c>
      <c r="J145" s="1">
        <v>395.01</v>
      </c>
      <c r="K145">
        <v>2</v>
      </c>
      <c r="L145" t="s">
        <v>35</v>
      </c>
      <c r="M145">
        <v>1</v>
      </c>
      <c r="N145">
        <v>2</v>
      </c>
      <c r="O145">
        <v>2</v>
      </c>
      <c r="P145" t="s">
        <v>49</v>
      </c>
      <c r="Q145" t="s">
        <v>85</v>
      </c>
      <c r="R145">
        <v>0</v>
      </c>
      <c r="S145">
        <v>6</v>
      </c>
      <c r="T145" t="s">
        <v>49</v>
      </c>
      <c r="U145" t="s">
        <v>79</v>
      </c>
      <c r="V145" t="s">
        <v>39</v>
      </c>
      <c r="W145" s="2">
        <v>45400</v>
      </c>
      <c r="X145" s="4">
        <f ca="1">TODAY()-DATASET[[#This Row],[Time_of_Purchase]]</f>
        <v>734</v>
      </c>
      <c r="Y145" t="b">
        <v>1</v>
      </c>
      <c r="Z145" t="b">
        <v>0</v>
      </c>
      <c r="AA145" t="s">
        <v>52</v>
      </c>
      <c r="AB145" t="s">
        <v>53</v>
      </c>
      <c r="AC145">
        <v>3</v>
      </c>
    </row>
    <row r="146" spans="1:29" x14ac:dyDescent="0.25">
      <c r="A146" t="s">
        <v>380</v>
      </c>
      <c r="B146">
        <v>41</v>
      </c>
      <c r="C146" t="s">
        <v>43</v>
      </c>
      <c r="D146" t="s">
        <v>30</v>
      </c>
      <c r="E146" t="s">
        <v>31</v>
      </c>
      <c r="F146" t="s">
        <v>32</v>
      </c>
      <c r="G146" t="s">
        <v>44</v>
      </c>
      <c r="H146" t="s">
        <v>381</v>
      </c>
      <c r="I146" t="s">
        <v>117</v>
      </c>
      <c r="J146" s="1">
        <v>371.19</v>
      </c>
      <c r="K146">
        <v>10</v>
      </c>
      <c r="L146" t="s">
        <v>35</v>
      </c>
      <c r="M146">
        <v>1</v>
      </c>
      <c r="N146">
        <v>2</v>
      </c>
      <c r="O146">
        <v>2</v>
      </c>
      <c r="P146" t="s">
        <v>44</v>
      </c>
      <c r="Q146" t="s">
        <v>37</v>
      </c>
      <c r="R146">
        <v>1</v>
      </c>
      <c r="S146">
        <v>8</v>
      </c>
      <c r="T146" t="s">
        <v>49</v>
      </c>
      <c r="U146" t="s">
        <v>79</v>
      </c>
      <c r="V146" t="s">
        <v>39</v>
      </c>
      <c r="W146" s="2">
        <v>45531</v>
      </c>
      <c r="X146" s="4">
        <f ca="1">TODAY()-DATASET[[#This Row],[Time_of_Purchase]]</f>
        <v>603</v>
      </c>
      <c r="Y146" t="b">
        <v>0</v>
      </c>
      <c r="Z146" t="b">
        <v>0</v>
      </c>
      <c r="AA146" t="s">
        <v>74</v>
      </c>
      <c r="AB146" t="s">
        <v>67</v>
      </c>
      <c r="AC146">
        <v>1</v>
      </c>
    </row>
    <row r="147" spans="1:29" x14ac:dyDescent="0.25">
      <c r="A147" t="s">
        <v>382</v>
      </c>
      <c r="B147">
        <v>33</v>
      </c>
      <c r="C147" t="s">
        <v>29</v>
      </c>
      <c r="D147" t="s">
        <v>30</v>
      </c>
      <c r="E147" t="s">
        <v>31</v>
      </c>
      <c r="F147" t="s">
        <v>56</v>
      </c>
      <c r="G147" t="s">
        <v>44</v>
      </c>
      <c r="H147" t="s">
        <v>383</v>
      </c>
      <c r="I147" t="s">
        <v>117</v>
      </c>
      <c r="J147" s="1">
        <v>193.76</v>
      </c>
      <c r="K147">
        <v>10</v>
      </c>
      <c r="L147" t="s">
        <v>35</v>
      </c>
      <c r="M147">
        <v>4</v>
      </c>
      <c r="N147">
        <v>3</v>
      </c>
      <c r="O147">
        <v>1</v>
      </c>
      <c r="P147" t="s">
        <v>49</v>
      </c>
      <c r="Q147" t="s">
        <v>50</v>
      </c>
      <c r="R147">
        <v>0</v>
      </c>
      <c r="S147">
        <v>2</v>
      </c>
      <c r="T147" t="s">
        <v>59</v>
      </c>
      <c r="U147" t="s">
        <v>79</v>
      </c>
      <c r="V147" t="s">
        <v>61</v>
      </c>
      <c r="W147" s="2">
        <v>45325</v>
      </c>
      <c r="X147" s="4">
        <f ca="1">TODAY()-DATASET[[#This Row],[Time_of_Purchase]]</f>
        <v>809</v>
      </c>
      <c r="Y147" t="b">
        <v>0</v>
      </c>
      <c r="Z147" t="b">
        <v>0</v>
      </c>
      <c r="AA147" t="s">
        <v>52</v>
      </c>
      <c r="AB147" t="s">
        <v>41</v>
      </c>
      <c r="AC147">
        <v>12</v>
      </c>
    </row>
    <row r="148" spans="1:29" x14ac:dyDescent="0.25">
      <c r="A148" t="s">
        <v>384</v>
      </c>
      <c r="B148">
        <v>43</v>
      </c>
      <c r="C148" t="s">
        <v>43</v>
      </c>
      <c r="D148" t="s">
        <v>30</v>
      </c>
      <c r="E148" t="s">
        <v>76</v>
      </c>
      <c r="F148" t="s">
        <v>56</v>
      </c>
      <c r="G148" t="s">
        <v>44</v>
      </c>
      <c r="H148" t="s">
        <v>385</v>
      </c>
      <c r="I148" t="s">
        <v>123</v>
      </c>
      <c r="J148" s="1">
        <v>424.27</v>
      </c>
      <c r="K148">
        <v>6</v>
      </c>
      <c r="L148" t="s">
        <v>78</v>
      </c>
      <c r="M148">
        <v>1</v>
      </c>
      <c r="N148">
        <v>4</v>
      </c>
      <c r="O148">
        <v>2</v>
      </c>
      <c r="P148" t="s">
        <v>36</v>
      </c>
      <c r="Q148" t="s">
        <v>50</v>
      </c>
      <c r="R148">
        <v>2</v>
      </c>
      <c r="S148">
        <v>8</v>
      </c>
      <c r="T148" t="s">
        <v>59</v>
      </c>
      <c r="U148" t="s">
        <v>38</v>
      </c>
      <c r="V148" t="s">
        <v>86</v>
      </c>
      <c r="W148" s="2">
        <v>45550</v>
      </c>
      <c r="X148" s="4">
        <f ca="1">TODAY()-DATASET[[#This Row],[Time_of_Purchase]]</f>
        <v>584</v>
      </c>
      <c r="Y148" t="b">
        <v>1</v>
      </c>
      <c r="Z148" t="b">
        <v>1</v>
      </c>
      <c r="AA148" t="s">
        <v>74</v>
      </c>
      <c r="AB148" t="s">
        <v>53</v>
      </c>
      <c r="AC148">
        <v>12</v>
      </c>
    </row>
    <row r="149" spans="1:29" x14ac:dyDescent="0.25">
      <c r="A149" t="s">
        <v>386</v>
      </c>
      <c r="B149">
        <v>38</v>
      </c>
      <c r="C149" t="s">
        <v>43</v>
      </c>
      <c r="D149" t="s">
        <v>44</v>
      </c>
      <c r="E149" t="s">
        <v>55</v>
      </c>
      <c r="F149" t="s">
        <v>32</v>
      </c>
      <c r="G149" t="s">
        <v>44</v>
      </c>
      <c r="H149" t="s">
        <v>387</v>
      </c>
      <c r="I149" t="s">
        <v>246</v>
      </c>
      <c r="J149" s="1">
        <v>496.11</v>
      </c>
      <c r="K149">
        <v>2</v>
      </c>
      <c r="L149" t="s">
        <v>35</v>
      </c>
      <c r="M149">
        <v>2</v>
      </c>
      <c r="N149">
        <v>3</v>
      </c>
      <c r="O149">
        <v>1</v>
      </c>
      <c r="P149" t="s">
        <v>44</v>
      </c>
      <c r="Q149" t="s">
        <v>37</v>
      </c>
      <c r="R149">
        <v>2</v>
      </c>
      <c r="S149">
        <v>8</v>
      </c>
      <c r="T149" t="s">
        <v>44</v>
      </c>
      <c r="U149" t="s">
        <v>60</v>
      </c>
      <c r="V149" t="s">
        <v>51</v>
      </c>
      <c r="W149" s="2">
        <v>45451</v>
      </c>
      <c r="X149" s="4">
        <f ca="1">TODAY()-DATASET[[#This Row],[Time_of_Purchase]]</f>
        <v>683</v>
      </c>
      <c r="Y149" t="b">
        <v>1</v>
      </c>
      <c r="Z149" t="b">
        <v>0</v>
      </c>
      <c r="AA149" t="s">
        <v>62</v>
      </c>
      <c r="AB149" t="s">
        <v>53</v>
      </c>
      <c r="AC149">
        <v>12</v>
      </c>
    </row>
    <row r="150" spans="1:29" x14ac:dyDescent="0.25">
      <c r="A150" t="s">
        <v>388</v>
      </c>
      <c r="B150">
        <v>41</v>
      </c>
      <c r="C150" t="s">
        <v>43</v>
      </c>
      <c r="D150" t="s">
        <v>44</v>
      </c>
      <c r="E150" t="s">
        <v>69</v>
      </c>
      <c r="F150" t="s">
        <v>32</v>
      </c>
      <c r="G150" t="s">
        <v>30</v>
      </c>
      <c r="H150" t="s">
        <v>389</v>
      </c>
      <c r="I150" t="s">
        <v>123</v>
      </c>
      <c r="J150" s="1">
        <v>341.91</v>
      </c>
      <c r="K150">
        <v>3</v>
      </c>
      <c r="L150" t="s">
        <v>78</v>
      </c>
      <c r="M150">
        <v>4</v>
      </c>
      <c r="N150">
        <v>4</v>
      </c>
      <c r="O150">
        <v>0</v>
      </c>
      <c r="P150" t="s">
        <v>59</v>
      </c>
      <c r="Q150" t="s">
        <v>50</v>
      </c>
      <c r="R150">
        <v>1</v>
      </c>
      <c r="S150">
        <v>9</v>
      </c>
      <c r="T150" t="s">
        <v>36</v>
      </c>
      <c r="U150" t="s">
        <v>38</v>
      </c>
      <c r="V150" t="s">
        <v>86</v>
      </c>
      <c r="W150" s="2">
        <v>45443</v>
      </c>
      <c r="X150" s="4">
        <f ca="1">TODAY()-DATASET[[#This Row],[Time_of_Purchase]]</f>
        <v>691</v>
      </c>
      <c r="Y150" t="b">
        <v>0</v>
      </c>
      <c r="Z150" t="b">
        <v>0</v>
      </c>
      <c r="AA150" t="s">
        <v>62</v>
      </c>
      <c r="AB150" t="s">
        <v>67</v>
      </c>
      <c r="AC150">
        <v>7</v>
      </c>
    </row>
    <row r="151" spans="1:29" x14ac:dyDescent="0.25">
      <c r="A151" t="s">
        <v>390</v>
      </c>
      <c r="B151">
        <v>40</v>
      </c>
      <c r="C151" t="s">
        <v>43</v>
      </c>
      <c r="D151" t="s">
        <v>44</v>
      </c>
      <c r="E151" t="s">
        <v>31</v>
      </c>
      <c r="F151" t="s">
        <v>56</v>
      </c>
      <c r="G151" t="s">
        <v>44</v>
      </c>
      <c r="H151" t="s">
        <v>391</v>
      </c>
      <c r="I151" t="s">
        <v>34</v>
      </c>
      <c r="J151" s="1">
        <v>127.66</v>
      </c>
      <c r="K151">
        <v>11</v>
      </c>
      <c r="L151" t="s">
        <v>78</v>
      </c>
      <c r="M151">
        <v>1</v>
      </c>
      <c r="N151">
        <v>2</v>
      </c>
      <c r="O151">
        <v>2</v>
      </c>
      <c r="P151" t="s">
        <v>59</v>
      </c>
      <c r="Q151" t="s">
        <v>50</v>
      </c>
      <c r="R151">
        <v>2</v>
      </c>
      <c r="S151">
        <v>7</v>
      </c>
      <c r="T151" t="s">
        <v>36</v>
      </c>
      <c r="U151" t="s">
        <v>60</v>
      </c>
      <c r="V151" t="s">
        <v>39</v>
      </c>
      <c r="W151" s="2">
        <v>45345</v>
      </c>
      <c r="X151" s="4">
        <f ca="1">TODAY()-DATASET[[#This Row],[Time_of_Purchase]]</f>
        <v>789</v>
      </c>
      <c r="Y151" t="b">
        <v>0</v>
      </c>
      <c r="Z151" t="b">
        <v>1</v>
      </c>
      <c r="AA151" t="s">
        <v>74</v>
      </c>
      <c r="AB151" t="s">
        <v>53</v>
      </c>
      <c r="AC151">
        <v>7</v>
      </c>
    </row>
    <row r="152" spans="1:29" x14ac:dyDescent="0.25">
      <c r="A152" t="s">
        <v>392</v>
      </c>
      <c r="B152">
        <v>47</v>
      </c>
      <c r="C152" t="s">
        <v>148</v>
      </c>
      <c r="D152" t="s">
        <v>30</v>
      </c>
      <c r="E152" t="s">
        <v>55</v>
      </c>
      <c r="F152" t="s">
        <v>32</v>
      </c>
      <c r="G152" t="s">
        <v>30</v>
      </c>
      <c r="H152" t="s">
        <v>393</v>
      </c>
      <c r="I152" t="s">
        <v>120</v>
      </c>
      <c r="J152" s="1">
        <v>227.47</v>
      </c>
      <c r="K152">
        <v>2</v>
      </c>
      <c r="L152" t="s">
        <v>78</v>
      </c>
      <c r="M152">
        <v>2</v>
      </c>
      <c r="N152">
        <v>2</v>
      </c>
      <c r="O152">
        <v>2</v>
      </c>
      <c r="P152" t="s">
        <v>59</v>
      </c>
      <c r="Q152" t="s">
        <v>85</v>
      </c>
      <c r="R152">
        <v>1</v>
      </c>
      <c r="S152">
        <v>4</v>
      </c>
      <c r="T152" t="s">
        <v>44</v>
      </c>
      <c r="U152" t="s">
        <v>38</v>
      </c>
      <c r="V152" t="s">
        <v>66</v>
      </c>
      <c r="W152" s="2">
        <v>45595</v>
      </c>
      <c r="X152" s="4">
        <f ca="1">TODAY()-DATASET[[#This Row],[Time_of_Purchase]]</f>
        <v>539</v>
      </c>
      <c r="Y152" t="b">
        <v>1</v>
      </c>
      <c r="Z152" t="b">
        <v>0</v>
      </c>
      <c r="AA152" t="s">
        <v>40</v>
      </c>
      <c r="AB152" t="s">
        <v>67</v>
      </c>
      <c r="AC152">
        <v>9</v>
      </c>
    </row>
    <row r="153" spans="1:29" x14ac:dyDescent="0.25">
      <c r="A153" t="s">
        <v>394</v>
      </c>
      <c r="B153">
        <v>35</v>
      </c>
      <c r="C153" t="s">
        <v>43</v>
      </c>
      <c r="D153" t="s">
        <v>44</v>
      </c>
      <c r="E153" t="s">
        <v>69</v>
      </c>
      <c r="F153" t="s">
        <v>32</v>
      </c>
      <c r="G153" t="s">
        <v>44</v>
      </c>
      <c r="H153" t="s">
        <v>395</v>
      </c>
      <c r="I153" t="s">
        <v>142</v>
      </c>
      <c r="J153" s="1">
        <v>342.99</v>
      </c>
      <c r="K153">
        <v>3</v>
      </c>
      <c r="L153" t="s">
        <v>48</v>
      </c>
      <c r="M153">
        <v>4</v>
      </c>
      <c r="N153">
        <v>2</v>
      </c>
      <c r="O153">
        <v>2</v>
      </c>
      <c r="P153" t="s">
        <v>59</v>
      </c>
      <c r="Q153" t="s">
        <v>85</v>
      </c>
      <c r="R153">
        <v>0</v>
      </c>
      <c r="S153">
        <v>6</v>
      </c>
      <c r="T153" t="s">
        <v>49</v>
      </c>
      <c r="U153" t="s">
        <v>60</v>
      </c>
      <c r="V153" t="s">
        <v>66</v>
      </c>
      <c r="W153" s="2">
        <v>45618</v>
      </c>
      <c r="X153" s="4">
        <f ca="1">TODAY()-DATASET[[#This Row],[Time_of_Purchase]]</f>
        <v>516</v>
      </c>
      <c r="Y153" t="b">
        <v>0</v>
      </c>
      <c r="Z153" t="b">
        <v>1</v>
      </c>
      <c r="AA153" t="s">
        <v>62</v>
      </c>
      <c r="AB153" t="s">
        <v>67</v>
      </c>
      <c r="AC153">
        <v>6</v>
      </c>
    </row>
    <row r="154" spans="1:29" x14ac:dyDescent="0.25">
      <c r="A154" t="s">
        <v>396</v>
      </c>
      <c r="B154">
        <v>49</v>
      </c>
      <c r="C154" t="s">
        <v>190</v>
      </c>
      <c r="D154" t="s">
        <v>44</v>
      </c>
      <c r="E154" t="s">
        <v>31</v>
      </c>
      <c r="F154" t="s">
        <v>56</v>
      </c>
      <c r="G154" t="s">
        <v>30</v>
      </c>
      <c r="H154" t="s">
        <v>397</v>
      </c>
      <c r="I154" t="s">
        <v>114</v>
      </c>
      <c r="J154" s="1">
        <v>306.48</v>
      </c>
      <c r="K154">
        <v>5</v>
      </c>
      <c r="L154" t="s">
        <v>35</v>
      </c>
      <c r="M154">
        <v>1</v>
      </c>
      <c r="N154">
        <v>3</v>
      </c>
      <c r="O154">
        <v>0</v>
      </c>
      <c r="P154" t="s">
        <v>49</v>
      </c>
      <c r="Q154" t="s">
        <v>85</v>
      </c>
      <c r="R154">
        <v>0</v>
      </c>
      <c r="S154">
        <v>9</v>
      </c>
      <c r="T154" t="s">
        <v>59</v>
      </c>
      <c r="U154" t="s">
        <v>38</v>
      </c>
      <c r="V154" t="s">
        <v>39</v>
      </c>
      <c r="W154" s="2">
        <v>45550</v>
      </c>
      <c r="X154" s="4">
        <f ca="1">TODAY()-DATASET[[#This Row],[Time_of_Purchase]]</f>
        <v>584</v>
      </c>
      <c r="Y154" t="b">
        <v>0</v>
      </c>
      <c r="Z154" t="b">
        <v>1</v>
      </c>
      <c r="AA154" t="s">
        <v>40</v>
      </c>
      <c r="AB154" t="s">
        <v>53</v>
      </c>
      <c r="AC154">
        <v>14</v>
      </c>
    </row>
    <row r="155" spans="1:29" x14ac:dyDescent="0.25">
      <c r="A155" t="s">
        <v>398</v>
      </c>
      <c r="B155">
        <v>22</v>
      </c>
      <c r="C155" t="s">
        <v>43</v>
      </c>
      <c r="D155" t="s">
        <v>30</v>
      </c>
      <c r="E155" t="s">
        <v>76</v>
      </c>
      <c r="F155" t="s">
        <v>56</v>
      </c>
      <c r="G155" t="s">
        <v>44</v>
      </c>
      <c r="H155" t="s">
        <v>399</v>
      </c>
      <c r="I155" t="s">
        <v>65</v>
      </c>
      <c r="J155" s="1">
        <v>308.54000000000002</v>
      </c>
      <c r="K155">
        <v>3</v>
      </c>
      <c r="L155" t="s">
        <v>35</v>
      </c>
      <c r="M155">
        <v>1</v>
      </c>
      <c r="N155">
        <v>3</v>
      </c>
      <c r="O155">
        <v>0</v>
      </c>
      <c r="P155" t="s">
        <v>44</v>
      </c>
      <c r="Q155" t="s">
        <v>50</v>
      </c>
      <c r="R155">
        <v>1</v>
      </c>
      <c r="S155">
        <v>5</v>
      </c>
      <c r="T155" t="s">
        <v>44</v>
      </c>
      <c r="U155" t="s">
        <v>79</v>
      </c>
      <c r="V155" t="s">
        <v>39</v>
      </c>
      <c r="W155" s="2">
        <v>45564</v>
      </c>
      <c r="X155" s="4">
        <f ca="1">TODAY()-DATASET[[#This Row],[Time_of_Purchase]]</f>
        <v>570</v>
      </c>
      <c r="Y155" t="b">
        <v>0</v>
      </c>
      <c r="Z155" t="b">
        <v>1</v>
      </c>
      <c r="AA155" t="s">
        <v>52</v>
      </c>
      <c r="AB155" t="s">
        <v>53</v>
      </c>
      <c r="AC155">
        <v>7</v>
      </c>
    </row>
    <row r="156" spans="1:29" x14ac:dyDescent="0.25">
      <c r="A156" t="s">
        <v>400</v>
      </c>
      <c r="B156">
        <v>49</v>
      </c>
      <c r="C156" t="s">
        <v>43</v>
      </c>
      <c r="D156" t="s">
        <v>44</v>
      </c>
      <c r="E156" t="s">
        <v>55</v>
      </c>
      <c r="F156" t="s">
        <v>56</v>
      </c>
      <c r="G156" t="s">
        <v>30</v>
      </c>
      <c r="H156" t="s">
        <v>401</v>
      </c>
      <c r="I156" t="s">
        <v>194</v>
      </c>
      <c r="J156" s="1">
        <v>124.17</v>
      </c>
      <c r="K156">
        <v>12</v>
      </c>
      <c r="L156" t="s">
        <v>35</v>
      </c>
      <c r="M156">
        <v>5</v>
      </c>
      <c r="N156">
        <v>2</v>
      </c>
      <c r="O156">
        <v>2</v>
      </c>
      <c r="P156" t="s">
        <v>44</v>
      </c>
      <c r="Q156" t="s">
        <v>85</v>
      </c>
      <c r="R156">
        <v>2</v>
      </c>
      <c r="S156">
        <v>4</v>
      </c>
      <c r="T156" t="s">
        <v>44</v>
      </c>
      <c r="U156" t="s">
        <v>60</v>
      </c>
      <c r="V156" t="s">
        <v>61</v>
      </c>
      <c r="W156" s="2">
        <v>45612</v>
      </c>
      <c r="X156" s="4">
        <f ca="1">TODAY()-DATASET[[#This Row],[Time_of_Purchase]]</f>
        <v>522</v>
      </c>
      <c r="Y156" t="b">
        <v>1</v>
      </c>
      <c r="Z156" t="b">
        <v>1</v>
      </c>
      <c r="AA156" t="s">
        <v>74</v>
      </c>
      <c r="AB156" t="s">
        <v>53</v>
      </c>
      <c r="AC156">
        <v>6</v>
      </c>
    </row>
    <row r="157" spans="1:29" x14ac:dyDescent="0.25">
      <c r="A157" t="s">
        <v>402</v>
      </c>
      <c r="B157">
        <v>27</v>
      </c>
      <c r="C157" t="s">
        <v>29</v>
      </c>
      <c r="D157" t="s">
        <v>30</v>
      </c>
      <c r="E157" t="s">
        <v>31</v>
      </c>
      <c r="F157" t="s">
        <v>56</v>
      </c>
      <c r="G157" t="s">
        <v>30</v>
      </c>
      <c r="H157" t="s">
        <v>403</v>
      </c>
      <c r="I157" t="s">
        <v>194</v>
      </c>
      <c r="J157" s="1">
        <v>78</v>
      </c>
      <c r="K157">
        <v>5</v>
      </c>
      <c r="L157" t="s">
        <v>78</v>
      </c>
      <c r="M157">
        <v>1</v>
      </c>
      <c r="N157">
        <v>5</v>
      </c>
      <c r="O157">
        <v>0</v>
      </c>
      <c r="P157" t="s">
        <v>36</v>
      </c>
      <c r="Q157" t="s">
        <v>50</v>
      </c>
      <c r="R157">
        <v>1</v>
      </c>
      <c r="S157">
        <v>1</v>
      </c>
      <c r="T157" t="s">
        <v>59</v>
      </c>
      <c r="U157" t="s">
        <v>79</v>
      </c>
      <c r="V157" t="s">
        <v>61</v>
      </c>
      <c r="W157" s="2">
        <v>45605</v>
      </c>
      <c r="X157" s="4">
        <f ca="1">TODAY()-DATASET[[#This Row],[Time_of_Purchase]]</f>
        <v>529</v>
      </c>
      <c r="Y157" t="b">
        <v>1</v>
      </c>
      <c r="Z157" t="b">
        <v>0</v>
      </c>
      <c r="AA157" t="s">
        <v>52</v>
      </c>
      <c r="AB157" t="s">
        <v>41</v>
      </c>
      <c r="AC157">
        <v>11</v>
      </c>
    </row>
    <row r="158" spans="1:29" x14ac:dyDescent="0.25">
      <c r="A158" t="s">
        <v>404</v>
      </c>
      <c r="B158">
        <v>27</v>
      </c>
      <c r="C158" t="s">
        <v>29</v>
      </c>
      <c r="D158" t="s">
        <v>44</v>
      </c>
      <c r="E158" t="s">
        <v>31</v>
      </c>
      <c r="F158" t="s">
        <v>32</v>
      </c>
      <c r="G158" t="s">
        <v>30</v>
      </c>
      <c r="H158" t="s">
        <v>405</v>
      </c>
      <c r="I158" t="s">
        <v>104</v>
      </c>
      <c r="J158" s="1">
        <v>393.03</v>
      </c>
      <c r="K158">
        <v>4</v>
      </c>
      <c r="L158" t="s">
        <v>35</v>
      </c>
      <c r="M158">
        <v>4</v>
      </c>
      <c r="N158">
        <v>4</v>
      </c>
      <c r="O158">
        <v>0</v>
      </c>
      <c r="P158" t="s">
        <v>44</v>
      </c>
      <c r="Q158" t="s">
        <v>37</v>
      </c>
      <c r="R158">
        <v>1</v>
      </c>
      <c r="S158">
        <v>3</v>
      </c>
      <c r="T158" t="s">
        <v>49</v>
      </c>
      <c r="U158" t="s">
        <v>60</v>
      </c>
      <c r="V158" t="s">
        <v>86</v>
      </c>
      <c r="W158" s="2">
        <v>45538</v>
      </c>
      <c r="X158" s="4">
        <f ca="1">TODAY()-DATASET[[#This Row],[Time_of_Purchase]]</f>
        <v>596</v>
      </c>
      <c r="Y158" t="b">
        <v>1</v>
      </c>
      <c r="Z158" t="b">
        <v>1</v>
      </c>
      <c r="AA158" t="s">
        <v>74</v>
      </c>
      <c r="AB158" t="s">
        <v>53</v>
      </c>
      <c r="AC158">
        <v>7</v>
      </c>
    </row>
    <row r="159" spans="1:29" x14ac:dyDescent="0.25">
      <c r="A159" t="s">
        <v>406</v>
      </c>
      <c r="B159">
        <v>37</v>
      </c>
      <c r="C159" t="s">
        <v>29</v>
      </c>
      <c r="D159" t="s">
        <v>44</v>
      </c>
      <c r="E159" t="s">
        <v>55</v>
      </c>
      <c r="F159" t="s">
        <v>56</v>
      </c>
      <c r="G159" t="s">
        <v>30</v>
      </c>
      <c r="H159" t="s">
        <v>407</v>
      </c>
      <c r="I159" t="s">
        <v>107</v>
      </c>
      <c r="J159" s="1">
        <v>102.09</v>
      </c>
      <c r="K159">
        <v>3</v>
      </c>
      <c r="L159" t="s">
        <v>35</v>
      </c>
      <c r="M159">
        <v>1</v>
      </c>
      <c r="N159">
        <v>4</v>
      </c>
      <c r="O159">
        <v>0</v>
      </c>
      <c r="P159" t="s">
        <v>36</v>
      </c>
      <c r="Q159" t="s">
        <v>85</v>
      </c>
      <c r="R159">
        <v>1</v>
      </c>
      <c r="S159">
        <v>9</v>
      </c>
      <c r="T159" t="s">
        <v>49</v>
      </c>
      <c r="U159" t="s">
        <v>38</v>
      </c>
      <c r="V159" t="s">
        <v>51</v>
      </c>
      <c r="W159" s="2">
        <v>45364</v>
      </c>
      <c r="X159" s="4">
        <f ca="1">TODAY()-DATASET[[#This Row],[Time_of_Purchase]]</f>
        <v>770</v>
      </c>
      <c r="Y159" t="b">
        <v>0</v>
      </c>
      <c r="Z159" t="b">
        <v>1</v>
      </c>
      <c r="AA159" t="s">
        <v>40</v>
      </c>
      <c r="AB159" t="s">
        <v>67</v>
      </c>
      <c r="AC159">
        <v>1</v>
      </c>
    </row>
    <row r="160" spans="1:29" x14ac:dyDescent="0.25">
      <c r="A160" t="s">
        <v>408</v>
      </c>
      <c r="B160">
        <v>32</v>
      </c>
      <c r="C160" t="s">
        <v>43</v>
      </c>
      <c r="D160" t="s">
        <v>30</v>
      </c>
      <c r="E160" t="s">
        <v>31</v>
      </c>
      <c r="F160" t="s">
        <v>32</v>
      </c>
      <c r="G160" t="s">
        <v>44</v>
      </c>
      <c r="H160" t="s">
        <v>409</v>
      </c>
      <c r="I160" t="s">
        <v>104</v>
      </c>
      <c r="J160" s="1">
        <v>426.21</v>
      </c>
      <c r="K160">
        <v>3</v>
      </c>
      <c r="L160" t="s">
        <v>35</v>
      </c>
      <c r="M160">
        <v>1</v>
      </c>
      <c r="N160">
        <v>4</v>
      </c>
      <c r="O160">
        <v>2</v>
      </c>
      <c r="P160" t="s">
        <v>44</v>
      </c>
      <c r="Q160" t="s">
        <v>37</v>
      </c>
      <c r="R160">
        <v>2</v>
      </c>
      <c r="S160">
        <v>5</v>
      </c>
      <c r="T160" t="s">
        <v>44</v>
      </c>
      <c r="U160" t="s">
        <v>60</v>
      </c>
      <c r="V160" t="s">
        <v>66</v>
      </c>
      <c r="W160" s="2">
        <v>45400</v>
      </c>
      <c r="X160" s="4">
        <f ca="1">TODAY()-DATASET[[#This Row],[Time_of_Purchase]]</f>
        <v>734</v>
      </c>
      <c r="Y160" t="b">
        <v>0</v>
      </c>
      <c r="Z160" t="b">
        <v>1</v>
      </c>
      <c r="AA160" t="s">
        <v>52</v>
      </c>
      <c r="AB160" t="s">
        <v>53</v>
      </c>
      <c r="AC160">
        <v>2</v>
      </c>
    </row>
    <row r="161" spans="1:29" x14ac:dyDescent="0.25">
      <c r="A161" t="s">
        <v>410</v>
      </c>
      <c r="B161">
        <v>42</v>
      </c>
      <c r="C161" t="s">
        <v>43</v>
      </c>
      <c r="D161" t="s">
        <v>30</v>
      </c>
      <c r="E161" t="s">
        <v>69</v>
      </c>
      <c r="F161" t="s">
        <v>56</v>
      </c>
      <c r="G161" t="s">
        <v>44</v>
      </c>
      <c r="H161" t="s">
        <v>411</v>
      </c>
      <c r="I161" t="s">
        <v>135</v>
      </c>
      <c r="J161" s="1">
        <v>140.31</v>
      </c>
      <c r="K161">
        <v>2</v>
      </c>
      <c r="L161" t="s">
        <v>78</v>
      </c>
      <c r="M161">
        <v>2</v>
      </c>
      <c r="N161">
        <v>4</v>
      </c>
      <c r="O161">
        <v>1</v>
      </c>
      <c r="P161" t="s">
        <v>59</v>
      </c>
      <c r="Q161" t="s">
        <v>85</v>
      </c>
      <c r="R161">
        <v>2</v>
      </c>
      <c r="S161">
        <v>5</v>
      </c>
      <c r="T161" t="s">
        <v>36</v>
      </c>
      <c r="U161" t="s">
        <v>79</v>
      </c>
      <c r="V161" t="s">
        <v>86</v>
      </c>
      <c r="W161" s="2">
        <v>45433</v>
      </c>
      <c r="X161" s="4">
        <f ca="1">TODAY()-DATASET[[#This Row],[Time_of_Purchase]]</f>
        <v>701</v>
      </c>
      <c r="Y161" t="b">
        <v>1</v>
      </c>
      <c r="Z161" t="b">
        <v>1</v>
      </c>
      <c r="AA161" t="s">
        <v>62</v>
      </c>
      <c r="AB161" t="s">
        <v>67</v>
      </c>
      <c r="AC161">
        <v>8</v>
      </c>
    </row>
    <row r="162" spans="1:29" x14ac:dyDescent="0.25">
      <c r="A162" t="s">
        <v>412</v>
      </c>
      <c r="B162">
        <v>18</v>
      </c>
      <c r="C162" t="s">
        <v>29</v>
      </c>
      <c r="D162" t="s">
        <v>44</v>
      </c>
      <c r="E162" t="s">
        <v>69</v>
      </c>
      <c r="F162" t="s">
        <v>56</v>
      </c>
      <c r="G162" t="s">
        <v>30</v>
      </c>
      <c r="H162" t="s">
        <v>413</v>
      </c>
      <c r="I162" t="s">
        <v>120</v>
      </c>
      <c r="J162" s="1">
        <v>413.7</v>
      </c>
      <c r="K162">
        <v>8</v>
      </c>
      <c r="L162" t="s">
        <v>35</v>
      </c>
      <c r="M162">
        <v>3</v>
      </c>
      <c r="N162">
        <v>3</v>
      </c>
      <c r="O162">
        <v>0.3</v>
      </c>
      <c r="P162" t="s">
        <v>59</v>
      </c>
      <c r="Q162" t="s">
        <v>85</v>
      </c>
      <c r="R162">
        <v>0</v>
      </c>
      <c r="S162">
        <v>9</v>
      </c>
      <c r="T162" t="s">
        <v>44</v>
      </c>
      <c r="U162" t="s">
        <v>79</v>
      </c>
      <c r="V162" t="s">
        <v>66</v>
      </c>
      <c r="W162" s="2">
        <v>45460</v>
      </c>
      <c r="X162" s="4">
        <f ca="1">TODAY()-DATASET[[#This Row],[Time_of_Purchase]]</f>
        <v>674</v>
      </c>
      <c r="Y162" t="b">
        <v>0</v>
      </c>
      <c r="Z162" t="b">
        <v>1</v>
      </c>
      <c r="AA162" t="s">
        <v>40</v>
      </c>
      <c r="AB162" t="s">
        <v>41</v>
      </c>
      <c r="AC162">
        <v>6</v>
      </c>
    </row>
    <row r="163" spans="1:29" x14ac:dyDescent="0.25">
      <c r="A163" t="s">
        <v>414</v>
      </c>
      <c r="B163">
        <v>49</v>
      </c>
      <c r="C163" t="s">
        <v>43</v>
      </c>
      <c r="D163" t="s">
        <v>44</v>
      </c>
      <c r="E163" t="s">
        <v>69</v>
      </c>
      <c r="F163" t="s">
        <v>56</v>
      </c>
      <c r="G163" t="s">
        <v>30</v>
      </c>
      <c r="H163" t="s">
        <v>415</v>
      </c>
      <c r="I163" t="s">
        <v>135</v>
      </c>
      <c r="J163" s="1">
        <v>348.63</v>
      </c>
      <c r="K163">
        <v>4</v>
      </c>
      <c r="L163" t="s">
        <v>78</v>
      </c>
      <c r="M163">
        <v>5</v>
      </c>
      <c r="N163">
        <v>2</v>
      </c>
      <c r="O163">
        <v>0</v>
      </c>
      <c r="P163" t="s">
        <v>44</v>
      </c>
      <c r="Q163" t="s">
        <v>37</v>
      </c>
      <c r="R163">
        <v>0</v>
      </c>
      <c r="S163">
        <v>7</v>
      </c>
      <c r="T163" t="s">
        <v>36</v>
      </c>
      <c r="U163" t="s">
        <v>60</v>
      </c>
      <c r="V163" t="s">
        <v>61</v>
      </c>
      <c r="W163" s="2">
        <v>45383</v>
      </c>
      <c r="X163" s="4">
        <f ca="1">TODAY()-DATASET[[#This Row],[Time_of_Purchase]]</f>
        <v>751</v>
      </c>
      <c r="Y163" t="b">
        <v>0</v>
      </c>
      <c r="Z163" t="b">
        <v>0</v>
      </c>
      <c r="AA163" t="s">
        <v>74</v>
      </c>
      <c r="AB163" t="s">
        <v>41</v>
      </c>
      <c r="AC163">
        <v>6</v>
      </c>
    </row>
    <row r="164" spans="1:29" x14ac:dyDescent="0.25">
      <c r="A164" t="s">
        <v>416</v>
      </c>
      <c r="B164">
        <v>23</v>
      </c>
      <c r="C164" t="s">
        <v>29</v>
      </c>
      <c r="D164" t="s">
        <v>30</v>
      </c>
      <c r="E164" t="s">
        <v>69</v>
      </c>
      <c r="F164" t="s">
        <v>45</v>
      </c>
      <c r="G164" t="s">
        <v>30</v>
      </c>
      <c r="H164" t="s">
        <v>417</v>
      </c>
      <c r="I164" t="s">
        <v>101</v>
      </c>
      <c r="J164" s="1">
        <v>91.27</v>
      </c>
      <c r="K164">
        <v>7</v>
      </c>
      <c r="L164" t="s">
        <v>48</v>
      </c>
      <c r="M164">
        <v>5</v>
      </c>
      <c r="N164">
        <v>1</v>
      </c>
      <c r="O164">
        <v>0</v>
      </c>
      <c r="P164" t="s">
        <v>44</v>
      </c>
      <c r="Q164" t="s">
        <v>50</v>
      </c>
      <c r="R164">
        <v>2</v>
      </c>
      <c r="S164">
        <v>6</v>
      </c>
      <c r="T164" t="s">
        <v>36</v>
      </c>
      <c r="U164" t="s">
        <v>38</v>
      </c>
      <c r="V164" t="s">
        <v>86</v>
      </c>
      <c r="W164" s="2">
        <v>45464</v>
      </c>
      <c r="X164" s="4">
        <f ca="1">TODAY()-DATASET[[#This Row],[Time_of_Purchase]]</f>
        <v>670</v>
      </c>
      <c r="Y164" t="b">
        <v>1</v>
      </c>
      <c r="Z164" t="b">
        <v>1</v>
      </c>
      <c r="AA164" t="s">
        <v>74</v>
      </c>
      <c r="AB164" t="s">
        <v>67</v>
      </c>
      <c r="AC164">
        <v>13</v>
      </c>
    </row>
    <row r="165" spans="1:29" x14ac:dyDescent="0.25">
      <c r="A165" t="s">
        <v>418</v>
      </c>
      <c r="B165">
        <v>29</v>
      </c>
      <c r="C165" t="s">
        <v>29</v>
      </c>
      <c r="D165" t="s">
        <v>44</v>
      </c>
      <c r="E165" t="s">
        <v>76</v>
      </c>
      <c r="F165" t="s">
        <v>32</v>
      </c>
      <c r="G165" t="s">
        <v>44</v>
      </c>
      <c r="H165" t="s">
        <v>419</v>
      </c>
      <c r="I165" t="s">
        <v>98</v>
      </c>
      <c r="J165" s="1">
        <v>359.94</v>
      </c>
      <c r="K165">
        <v>11</v>
      </c>
      <c r="L165" t="s">
        <v>35</v>
      </c>
      <c r="M165">
        <v>2</v>
      </c>
      <c r="N165">
        <v>5</v>
      </c>
      <c r="O165">
        <v>2</v>
      </c>
      <c r="P165" t="s">
        <v>36</v>
      </c>
      <c r="Q165" t="s">
        <v>85</v>
      </c>
      <c r="R165">
        <v>1</v>
      </c>
      <c r="S165">
        <v>8</v>
      </c>
      <c r="T165" t="s">
        <v>59</v>
      </c>
      <c r="U165" t="s">
        <v>60</v>
      </c>
      <c r="V165" t="s">
        <v>86</v>
      </c>
      <c r="W165" s="2">
        <v>45645</v>
      </c>
      <c r="X165" s="4">
        <f ca="1">TODAY()-DATASET[[#This Row],[Time_of_Purchase]]</f>
        <v>489</v>
      </c>
      <c r="Y165" t="b">
        <v>0</v>
      </c>
      <c r="Z165" t="b">
        <v>1</v>
      </c>
      <c r="AA165" t="s">
        <v>52</v>
      </c>
      <c r="AB165" t="s">
        <v>67</v>
      </c>
      <c r="AC165">
        <v>9</v>
      </c>
    </row>
    <row r="166" spans="1:29" x14ac:dyDescent="0.25">
      <c r="A166" t="s">
        <v>420</v>
      </c>
      <c r="B166">
        <v>25</v>
      </c>
      <c r="C166" t="s">
        <v>43</v>
      </c>
      <c r="D166" t="s">
        <v>30</v>
      </c>
      <c r="E166" t="s">
        <v>76</v>
      </c>
      <c r="F166" t="s">
        <v>45</v>
      </c>
      <c r="G166" t="s">
        <v>30</v>
      </c>
      <c r="H166" t="s">
        <v>421</v>
      </c>
      <c r="I166" t="s">
        <v>34</v>
      </c>
      <c r="J166" s="1">
        <v>138.19999999999999</v>
      </c>
      <c r="K166">
        <v>8</v>
      </c>
      <c r="L166" t="s">
        <v>48</v>
      </c>
      <c r="M166">
        <v>1</v>
      </c>
      <c r="N166">
        <v>2</v>
      </c>
      <c r="O166">
        <v>2</v>
      </c>
      <c r="P166" t="s">
        <v>44</v>
      </c>
      <c r="Q166" t="s">
        <v>50</v>
      </c>
      <c r="R166">
        <v>0</v>
      </c>
      <c r="S166">
        <v>6</v>
      </c>
      <c r="T166" t="s">
        <v>59</v>
      </c>
      <c r="U166" t="s">
        <v>79</v>
      </c>
      <c r="V166" t="s">
        <v>61</v>
      </c>
      <c r="W166" s="2">
        <v>45353</v>
      </c>
      <c r="X166" s="4">
        <f ca="1">TODAY()-DATASET[[#This Row],[Time_of_Purchase]]</f>
        <v>781</v>
      </c>
      <c r="Y166" t="b">
        <v>0</v>
      </c>
      <c r="Z166" t="b">
        <v>1</v>
      </c>
      <c r="AA166" t="s">
        <v>40</v>
      </c>
      <c r="AB166" t="s">
        <v>41</v>
      </c>
      <c r="AC166">
        <v>12</v>
      </c>
    </row>
    <row r="167" spans="1:29" x14ac:dyDescent="0.25">
      <c r="A167" t="s">
        <v>422</v>
      </c>
      <c r="B167">
        <v>38</v>
      </c>
      <c r="C167" t="s">
        <v>274</v>
      </c>
      <c r="D167" t="s">
        <v>44</v>
      </c>
      <c r="E167" t="s">
        <v>76</v>
      </c>
      <c r="F167" t="s">
        <v>45</v>
      </c>
      <c r="G167" t="s">
        <v>44</v>
      </c>
      <c r="H167" t="s">
        <v>423</v>
      </c>
      <c r="I167" t="s">
        <v>65</v>
      </c>
      <c r="J167" s="1">
        <v>196.33</v>
      </c>
      <c r="K167">
        <v>11</v>
      </c>
      <c r="L167" t="s">
        <v>78</v>
      </c>
      <c r="M167">
        <v>4</v>
      </c>
      <c r="N167">
        <v>3</v>
      </c>
      <c r="O167">
        <v>1</v>
      </c>
      <c r="P167" t="s">
        <v>49</v>
      </c>
      <c r="Q167" t="s">
        <v>50</v>
      </c>
      <c r="R167">
        <v>0</v>
      </c>
      <c r="S167">
        <v>5</v>
      </c>
      <c r="T167" t="s">
        <v>36</v>
      </c>
      <c r="U167" t="s">
        <v>79</v>
      </c>
      <c r="V167" t="s">
        <v>61</v>
      </c>
      <c r="W167" s="2">
        <v>45472</v>
      </c>
      <c r="X167" s="4">
        <f ca="1">TODAY()-DATASET[[#This Row],[Time_of_Purchase]]</f>
        <v>662</v>
      </c>
      <c r="Y167" t="b">
        <v>1</v>
      </c>
      <c r="Z167" t="b">
        <v>1</v>
      </c>
      <c r="AA167" t="s">
        <v>74</v>
      </c>
      <c r="AB167" t="s">
        <v>53</v>
      </c>
      <c r="AC167">
        <v>11</v>
      </c>
    </row>
    <row r="168" spans="1:29" x14ac:dyDescent="0.25">
      <c r="A168" t="s">
        <v>424</v>
      </c>
      <c r="B168">
        <v>32</v>
      </c>
      <c r="C168" t="s">
        <v>29</v>
      </c>
      <c r="D168" t="s">
        <v>30</v>
      </c>
      <c r="E168" t="s">
        <v>69</v>
      </c>
      <c r="F168" t="s">
        <v>32</v>
      </c>
      <c r="G168" t="s">
        <v>30</v>
      </c>
      <c r="H168" t="s">
        <v>311</v>
      </c>
      <c r="I168" t="s">
        <v>114</v>
      </c>
      <c r="J168" s="1">
        <v>249.24</v>
      </c>
      <c r="K168">
        <v>8</v>
      </c>
      <c r="L168" t="s">
        <v>48</v>
      </c>
      <c r="M168">
        <v>4</v>
      </c>
      <c r="N168">
        <v>3</v>
      </c>
      <c r="O168">
        <v>1</v>
      </c>
      <c r="P168" t="s">
        <v>49</v>
      </c>
      <c r="Q168" t="s">
        <v>37</v>
      </c>
      <c r="R168">
        <v>2</v>
      </c>
      <c r="S168">
        <v>3</v>
      </c>
      <c r="T168" t="s">
        <v>44</v>
      </c>
      <c r="U168" t="s">
        <v>60</v>
      </c>
      <c r="V168" t="s">
        <v>86</v>
      </c>
      <c r="W168" s="2">
        <v>45533</v>
      </c>
      <c r="X168" s="4">
        <f ca="1">TODAY()-DATASET[[#This Row],[Time_of_Purchase]]</f>
        <v>601</v>
      </c>
      <c r="Y168" t="b">
        <v>0</v>
      </c>
      <c r="Z168" t="b">
        <v>1</v>
      </c>
      <c r="AA168" t="s">
        <v>40</v>
      </c>
      <c r="AB168" t="s">
        <v>53</v>
      </c>
      <c r="AC168">
        <v>7</v>
      </c>
    </row>
    <row r="169" spans="1:29" x14ac:dyDescent="0.25">
      <c r="A169" t="s">
        <v>425</v>
      </c>
      <c r="B169">
        <v>45</v>
      </c>
      <c r="C169" t="s">
        <v>43</v>
      </c>
      <c r="D169" t="s">
        <v>44</v>
      </c>
      <c r="E169" t="s">
        <v>76</v>
      </c>
      <c r="F169" t="s">
        <v>45</v>
      </c>
      <c r="G169" t="s">
        <v>44</v>
      </c>
      <c r="H169" t="s">
        <v>426</v>
      </c>
      <c r="I169" t="s">
        <v>71</v>
      </c>
      <c r="J169" s="1">
        <v>129.1</v>
      </c>
      <c r="K169">
        <v>12</v>
      </c>
      <c r="L169" t="s">
        <v>35</v>
      </c>
      <c r="M169">
        <v>5</v>
      </c>
      <c r="N169">
        <v>3</v>
      </c>
      <c r="O169">
        <v>2</v>
      </c>
      <c r="P169" t="s">
        <v>59</v>
      </c>
      <c r="Q169" t="s">
        <v>50</v>
      </c>
      <c r="R169">
        <v>0</v>
      </c>
      <c r="S169">
        <v>8</v>
      </c>
      <c r="T169" t="s">
        <v>44</v>
      </c>
      <c r="U169" t="s">
        <v>79</v>
      </c>
      <c r="V169" t="s">
        <v>39</v>
      </c>
      <c r="W169" s="2">
        <v>45397</v>
      </c>
      <c r="X169" s="4">
        <f ca="1">TODAY()-DATASET[[#This Row],[Time_of_Purchase]]</f>
        <v>737</v>
      </c>
      <c r="Y169" t="b">
        <v>1</v>
      </c>
      <c r="Z169" t="b">
        <v>0</v>
      </c>
      <c r="AA169" t="s">
        <v>74</v>
      </c>
      <c r="AB169" t="s">
        <v>41</v>
      </c>
      <c r="AC169">
        <v>7</v>
      </c>
    </row>
    <row r="170" spans="1:29" x14ac:dyDescent="0.25">
      <c r="A170" t="s">
        <v>427</v>
      </c>
      <c r="B170">
        <v>45</v>
      </c>
      <c r="C170" t="s">
        <v>29</v>
      </c>
      <c r="D170" t="s">
        <v>44</v>
      </c>
      <c r="E170" t="s">
        <v>31</v>
      </c>
      <c r="F170" t="s">
        <v>56</v>
      </c>
      <c r="G170" t="s">
        <v>44</v>
      </c>
      <c r="H170" t="s">
        <v>428</v>
      </c>
      <c r="I170" t="s">
        <v>123</v>
      </c>
      <c r="J170" s="1">
        <v>112.69</v>
      </c>
      <c r="K170">
        <v>10</v>
      </c>
      <c r="L170" t="s">
        <v>48</v>
      </c>
      <c r="M170">
        <v>1</v>
      </c>
      <c r="N170">
        <v>4</v>
      </c>
      <c r="O170">
        <v>0</v>
      </c>
      <c r="P170" t="s">
        <v>44</v>
      </c>
      <c r="Q170" t="s">
        <v>50</v>
      </c>
      <c r="R170">
        <v>0</v>
      </c>
      <c r="S170">
        <v>7</v>
      </c>
      <c r="T170" t="s">
        <v>49</v>
      </c>
      <c r="U170" t="s">
        <v>60</v>
      </c>
      <c r="V170" t="s">
        <v>61</v>
      </c>
      <c r="W170" s="2">
        <v>45531</v>
      </c>
      <c r="X170" s="4">
        <f ca="1">TODAY()-DATASET[[#This Row],[Time_of_Purchase]]</f>
        <v>603</v>
      </c>
      <c r="Y170" t="b">
        <v>0</v>
      </c>
      <c r="Z170" t="b">
        <v>1</v>
      </c>
      <c r="AA170" t="s">
        <v>40</v>
      </c>
      <c r="AB170" t="s">
        <v>53</v>
      </c>
      <c r="AC170">
        <v>1</v>
      </c>
    </row>
    <row r="171" spans="1:29" x14ac:dyDescent="0.25">
      <c r="A171" t="s">
        <v>429</v>
      </c>
      <c r="B171">
        <v>46</v>
      </c>
      <c r="C171" t="s">
        <v>43</v>
      </c>
      <c r="D171" t="s">
        <v>30</v>
      </c>
      <c r="E171" t="s">
        <v>69</v>
      </c>
      <c r="F171" t="s">
        <v>32</v>
      </c>
      <c r="G171" t="s">
        <v>44</v>
      </c>
      <c r="H171" t="s">
        <v>430</v>
      </c>
      <c r="I171" t="s">
        <v>188</v>
      </c>
      <c r="J171" s="1">
        <v>267.85000000000002</v>
      </c>
      <c r="K171">
        <v>5</v>
      </c>
      <c r="L171" t="s">
        <v>78</v>
      </c>
      <c r="M171">
        <v>5</v>
      </c>
      <c r="N171">
        <v>2</v>
      </c>
      <c r="O171">
        <v>2</v>
      </c>
      <c r="P171" t="s">
        <v>49</v>
      </c>
      <c r="Q171" t="s">
        <v>37</v>
      </c>
      <c r="R171">
        <v>1</v>
      </c>
      <c r="S171">
        <v>5</v>
      </c>
      <c r="T171" t="s">
        <v>44</v>
      </c>
      <c r="U171" t="s">
        <v>60</v>
      </c>
      <c r="V171" t="s">
        <v>39</v>
      </c>
      <c r="W171" s="2">
        <v>45371</v>
      </c>
      <c r="X171" s="4">
        <f ca="1">TODAY()-DATASET[[#This Row],[Time_of_Purchase]]</f>
        <v>763</v>
      </c>
      <c r="Y171" t="b">
        <v>0</v>
      </c>
      <c r="Z171" t="b">
        <v>1</v>
      </c>
      <c r="AA171" t="s">
        <v>40</v>
      </c>
      <c r="AB171" t="s">
        <v>53</v>
      </c>
      <c r="AC171">
        <v>7</v>
      </c>
    </row>
    <row r="172" spans="1:29" x14ac:dyDescent="0.25">
      <c r="A172" t="s">
        <v>431</v>
      </c>
      <c r="B172">
        <v>24</v>
      </c>
      <c r="C172" t="s">
        <v>43</v>
      </c>
      <c r="D172" t="s">
        <v>30</v>
      </c>
      <c r="E172" t="s">
        <v>76</v>
      </c>
      <c r="F172" t="s">
        <v>45</v>
      </c>
      <c r="G172" t="s">
        <v>30</v>
      </c>
      <c r="H172" t="s">
        <v>432</v>
      </c>
      <c r="I172" t="s">
        <v>65</v>
      </c>
      <c r="J172" s="1">
        <v>205.36</v>
      </c>
      <c r="K172">
        <v>12</v>
      </c>
      <c r="L172" t="s">
        <v>78</v>
      </c>
      <c r="M172">
        <v>1</v>
      </c>
      <c r="N172">
        <v>5</v>
      </c>
      <c r="O172">
        <v>2</v>
      </c>
      <c r="P172" t="s">
        <v>44</v>
      </c>
      <c r="Q172" t="s">
        <v>85</v>
      </c>
      <c r="R172">
        <v>0</v>
      </c>
      <c r="S172">
        <v>1</v>
      </c>
      <c r="T172" t="s">
        <v>59</v>
      </c>
      <c r="U172" t="s">
        <v>38</v>
      </c>
      <c r="V172" t="s">
        <v>39</v>
      </c>
      <c r="W172" s="2">
        <v>45409</v>
      </c>
      <c r="X172" s="4">
        <f ca="1">TODAY()-DATASET[[#This Row],[Time_of_Purchase]]</f>
        <v>725</v>
      </c>
      <c r="Y172" t="b">
        <v>0</v>
      </c>
      <c r="Z172" t="b">
        <v>0</v>
      </c>
      <c r="AA172" t="s">
        <v>62</v>
      </c>
      <c r="AB172" t="s">
        <v>67</v>
      </c>
      <c r="AC172">
        <v>5</v>
      </c>
    </row>
    <row r="173" spans="1:29" x14ac:dyDescent="0.25">
      <c r="A173" t="s">
        <v>433</v>
      </c>
      <c r="B173">
        <v>48</v>
      </c>
      <c r="C173" t="s">
        <v>212</v>
      </c>
      <c r="D173" t="s">
        <v>44</v>
      </c>
      <c r="E173" t="s">
        <v>76</v>
      </c>
      <c r="F173" t="s">
        <v>56</v>
      </c>
      <c r="G173" t="s">
        <v>44</v>
      </c>
      <c r="H173" t="s">
        <v>434</v>
      </c>
      <c r="I173" t="s">
        <v>142</v>
      </c>
      <c r="J173" s="1">
        <v>79.099999999999994</v>
      </c>
      <c r="K173">
        <v>10</v>
      </c>
      <c r="L173" t="s">
        <v>48</v>
      </c>
      <c r="M173">
        <v>5</v>
      </c>
      <c r="N173">
        <v>3</v>
      </c>
      <c r="O173">
        <v>1</v>
      </c>
      <c r="P173" t="s">
        <v>36</v>
      </c>
      <c r="Q173" t="s">
        <v>50</v>
      </c>
      <c r="R173">
        <v>0</v>
      </c>
      <c r="S173">
        <v>9</v>
      </c>
      <c r="T173" t="s">
        <v>49</v>
      </c>
      <c r="U173" t="s">
        <v>38</v>
      </c>
      <c r="V173" t="s">
        <v>61</v>
      </c>
      <c r="W173" s="2">
        <v>45417</v>
      </c>
      <c r="X173" s="4">
        <f ca="1">TODAY()-DATASET[[#This Row],[Time_of_Purchase]]</f>
        <v>717</v>
      </c>
      <c r="Y173" t="b">
        <v>1</v>
      </c>
      <c r="Z173" t="b">
        <v>0</v>
      </c>
      <c r="AA173" t="s">
        <v>40</v>
      </c>
      <c r="AB173" t="s">
        <v>67</v>
      </c>
      <c r="AC173">
        <v>4</v>
      </c>
    </row>
    <row r="174" spans="1:29" x14ac:dyDescent="0.25">
      <c r="A174" t="s">
        <v>435</v>
      </c>
      <c r="B174">
        <v>35</v>
      </c>
      <c r="C174" t="s">
        <v>43</v>
      </c>
      <c r="D174" t="s">
        <v>44</v>
      </c>
      <c r="E174" t="s">
        <v>69</v>
      </c>
      <c r="F174" t="s">
        <v>45</v>
      </c>
      <c r="G174" t="s">
        <v>30</v>
      </c>
      <c r="H174" t="s">
        <v>436</v>
      </c>
      <c r="I174" t="s">
        <v>104</v>
      </c>
      <c r="J174" s="1">
        <v>256.63</v>
      </c>
      <c r="K174">
        <v>12</v>
      </c>
      <c r="L174" t="s">
        <v>48</v>
      </c>
      <c r="M174">
        <v>1</v>
      </c>
      <c r="N174">
        <v>4</v>
      </c>
      <c r="O174">
        <v>0</v>
      </c>
      <c r="P174" t="s">
        <v>44</v>
      </c>
      <c r="Q174" t="s">
        <v>37</v>
      </c>
      <c r="R174">
        <v>2</v>
      </c>
      <c r="S174">
        <v>2</v>
      </c>
      <c r="T174" t="s">
        <v>36</v>
      </c>
      <c r="U174" t="s">
        <v>60</v>
      </c>
      <c r="V174" t="s">
        <v>61</v>
      </c>
      <c r="W174" s="2">
        <v>45459</v>
      </c>
      <c r="X174" s="4">
        <f ca="1">TODAY()-DATASET[[#This Row],[Time_of_Purchase]]</f>
        <v>675</v>
      </c>
      <c r="Y174" t="b">
        <v>1</v>
      </c>
      <c r="Z174" t="b">
        <v>1</v>
      </c>
      <c r="AA174" t="s">
        <v>62</v>
      </c>
      <c r="AB174" t="s">
        <v>53</v>
      </c>
      <c r="AC174">
        <v>10</v>
      </c>
    </row>
    <row r="175" spans="1:29" x14ac:dyDescent="0.25">
      <c r="A175" t="s">
        <v>437</v>
      </c>
      <c r="B175">
        <v>50</v>
      </c>
      <c r="C175" t="s">
        <v>29</v>
      </c>
      <c r="D175" t="s">
        <v>44</v>
      </c>
      <c r="E175" t="s">
        <v>76</v>
      </c>
      <c r="F175" t="s">
        <v>45</v>
      </c>
      <c r="G175" t="s">
        <v>30</v>
      </c>
      <c r="H175" t="s">
        <v>438</v>
      </c>
      <c r="I175" t="s">
        <v>82</v>
      </c>
      <c r="J175" s="1">
        <v>409.98</v>
      </c>
      <c r="K175">
        <v>12</v>
      </c>
      <c r="L175" t="s">
        <v>35</v>
      </c>
      <c r="M175">
        <v>5</v>
      </c>
      <c r="N175">
        <v>4</v>
      </c>
      <c r="O175">
        <v>0</v>
      </c>
      <c r="P175" t="s">
        <v>36</v>
      </c>
      <c r="Q175" t="s">
        <v>50</v>
      </c>
      <c r="R175">
        <v>2</v>
      </c>
      <c r="S175">
        <v>1</v>
      </c>
      <c r="T175" t="s">
        <v>49</v>
      </c>
      <c r="U175" t="s">
        <v>79</v>
      </c>
      <c r="V175" t="s">
        <v>51</v>
      </c>
      <c r="W175" s="2">
        <v>45580</v>
      </c>
      <c r="X175" s="4">
        <f ca="1">TODAY()-DATASET[[#This Row],[Time_of_Purchase]]</f>
        <v>554</v>
      </c>
      <c r="Y175" t="b">
        <v>1</v>
      </c>
      <c r="Z175" t="b">
        <v>0</v>
      </c>
      <c r="AA175" t="s">
        <v>52</v>
      </c>
      <c r="AB175" t="s">
        <v>67</v>
      </c>
      <c r="AC175">
        <v>8</v>
      </c>
    </row>
    <row r="176" spans="1:29" x14ac:dyDescent="0.25">
      <c r="A176" t="s">
        <v>439</v>
      </c>
      <c r="B176">
        <v>34</v>
      </c>
      <c r="C176" t="s">
        <v>43</v>
      </c>
      <c r="D176" t="s">
        <v>30</v>
      </c>
      <c r="E176" t="s">
        <v>69</v>
      </c>
      <c r="F176" t="s">
        <v>45</v>
      </c>
      <c r="G176" t="s">
        <v>44</v>
      </c>
      <c r="H176" t="s">
        <v>440</v>
      </c>
      <c r="I176" t="s">
        <v>90</v>
      </c>
      <c r="J176" s="1">
        <v>291.60000000000002</v>
      </c>
      <c r="K176">
        <v>2</v>
      </c>
      <c r="L176" t="s">
        <v>48</v>
      </c>
      <c r="M176">
        <v>3</v>
      </c>
      <c r="N176">
        <v>3</v>
      </c>
      <c r="O176">
        <v>2</v>
      </c>
      <c r="P176" t="s">
        <v>44</v>
      </c>
      <c r="Q176" t="s">
        <v>37</v>
      </c>
      <c r="R176">
        <v>0</v>
      </c>
      <c r="S176">
        <v>7</v>
      </c>
      <c r="T176" t="s">
        <v>36</v>
      </c>
      <c r="U176" t="s">
        <v>79</v>
      </c>
      <c r="V176" t="s">
        <v>86</v>
      </c>
      <c r="W176" s="2">
        <v>45505</v>
      </c>
      <c r="X176" s="4">
        <f ca="1">TODAY()-DATASET[[#This Row],[Time_of_Purchase]]</f>
        <v>629</v>
      </c>
      <c r="Y176" t="b">
        <v>0</v>
      </c>
      <c r="Z176" t="b">
        <v>1</v>
      </c>
      <c r="AA176" t="s">
        <v>40</v>
      </c>
      <c r="AB176" t="s">
        <v>53</v>
      </c>
      <c r="AC176">
        <v>3</v>
      </c>
    </row>
    <row r="177" spans="1:29" x14ac:dyDescent="0.25">
      <c r="A177" t="s">
        <v>441</v>
      </c>
      <c r="B177">
        <v>50</v>
      </c>
      <c r="C177" t="s">
        <v>29</v>
      </c>
      <c r="D177" t="s">
        <v>30</v>
      </c>
      <c r="E177" t="s">
        <v>55</v>
      </c>
      <c r="F177" t="s">
        <v>32</v>
      </c>
      <c r="G177" t="s">
        <v>30</v>
      </c>
      <c r="H177" t="s">
        <v>442</v>
      </c>
      <c r="I177" t="s">
        <v>65</v>
      </c>
      <c r="J177" s="1">
        <v>101.7</v>
      </c>
      <c r="K177">
        <v>7</v>
      </c>
      <c r="L177" t="s">
        <v>78</v>
      </c>
      <c r="M177">
        <v>3</v>
      </c>
      <c r="N177">
        <v>4</v>
      </c>
      <c r="O177">
        <v>2</v>
      </c>
      <c r="P177" t="s">
        <v>49</v>
      </c>
      <c r="Q177" t="s">
        <v>50</v>
      </c>
      <c r="R177">
        <v>2</v>
      </c>
      <c r="S177">
        <v>2</v>
      </c>
      <c r="T177" t="s">
        <v>36</v>
      </c>
      <c r="U177" t="s">
        <v>38</v>
      </c>
      <c r="V177" t="s">
        <v>61</v>
      </c>
      <c r="W177" s="2">
        <v>45468</v>
      </c>
      <c r="X177" s="4">
        <f ca="1">TODAY()-DATASET[[#This Row],[Time_of_Purchase]]</f>
        <v>666</v>
      </c>
      <c r="Y177" t="b">
        <v>0</v>
      </c>
      <c r="Z177" t="b">
        <v>1</v>
      </c>
      <c r="AA177" t="s">
        <v>52</v>
      </c>
      <c r="AB177" t="s">
        <v>53</v>
      </c>
      <c r="AC177">
        <v>4</v>
      </c>
    </row>
    <row r="178" spans="1:29" x14ac:dyDescent="0.25">
      <c r="A178" t="s">
        <v>443</v>
      </c>
      <c r="B178">
        <v>50</v>
      </c>
      <c r="C178" t="s">
        <v>29</v>
      </c>
      <c r="D178" t="s">
        <v>30</v>
      </c>
      <c r="E178" t="s">
        <v>55</v>
      </c>
      <c r="F178" t="s">
        <v>45</v>
      </c>
      <c r="G178" t="s">
        <v>30</v>
      </c>
      <c r="H178" t="s">
        <v>444</v>
      </c>
      <c r="I178" t="s">
        <v>104</v>
      </c>
      <c r="J178" s="1">
        <v>369.73</v>
      </c>
      <c r="K178">
        <v>2</v>
      </c>
      <c r="L178" t="s">
        <v>78</v>
      </c>
      <c r="M178">
        <v>1</v>
      </c>
      <c r="N178">
        <v>2</v>
      </c>
      <c r="O178">
        <v>2</v>
      </c>
      <c r="P178" t="s">
        <v>36</v>
      </c>
      <c r="Q178" t="s">
        <v>50</v>
      </c>
      <c r="R178">
        <v>0</v>
      </c>
      <c r="S178">
        <v>3</v>
      </c>
      <c r="T178" t="s">
        <v>36</v>
      </c>
      <c r="U178" t="s">
        <v>38</v>
      </c>
      <c r="V178" t="s">
        <v>61</v>
      </c>
      <c r="W178" s="2">
        <v>45326</v>
      </c>
      <c r="X178" s="4">
        <f ca="1">TODAY()-DATASET[[#This Row],[Time_of_Purchase]]</f>
        <v>808</v>
      </c>
      <c r="Y178" t="b">
        <v>1</v>
      </c>
      <c r="Z178" t="b">
        <v>1</v>
      </c>
      <c r="AA178" t="s">
        <v>52</v>
      </c>
      <c r="AB178" t="s">
        <v>41</v>
      </c>
      <c r="AC178">
        <v>12</v>
      </c>
    </row>
    <row r="179" spans="1:29" x14ac:dyDescent="0.25">
      <c r="A179" t="s">
        <v>445</v>
      </c>
      <c r="B179">
        <v>46</v>
      </c>
      <c r="C179" t="s">
        <v>43</v>
      </c>
      <c r="D179" t="s">
        <v>30</v>
      </c>
      <c r="E179" t="s">
        <v>55</v>
      </c>
      <c r="F179" t="s">
        <v>32</v>
      </c>
      <c r="G179" t="s">
        <v>44</v>
      </c>
      <c r="H179" t="s">
        <v>446</v>
      </c>
      <c r="I179" t="s">
        <v>123</v>
      </c>
      <c r="J179" s="1">
        <v>71</v>
      </c>
      <c r="K179">
        <v>12</v>
      </c>
      <c r="L179" t="s">
        <v>78</v>
      </c>
      <c r="M179">
        <v>1</v>
      </c>
      <c r="N179">
        <v>5</v>
      </c>
      <c r="O179">
        <v>2</v>
      </c>
      <c r="P179" t="s">
        <v>44</v>
      </c>
      <c r="Q179" t="s">
        <v>50</v>
      </c>
      <c r="R179">
        <v>2</v>
      </c>
      <c r="S179">
        <v>9</v>
      </c>
      <c r="T179" t="s">
        <v>59</v>
      </c>
      <c r="U179" t="s">
        <v>60</v>
      </c>
      <c r="V179" t="s">
        <v>86</v>
      </c>
      <c r="W179" s="2">
        <v>45469</v>
      </c>
      <c r="X179" s="4">
        <f ca="1">TODAY()-DATASET[[#This Row],[Time_of_Purchase]]</f>
        <v>665</v>
      </c>
      <c r="Y179" t="b">
        <v>0</v>
      </c>
      <c r="Z179" t="b">
        <v>0</v>
      </c>
      <c r="AA179" t="s">
        <v>52</v>
      </c>
      <c r="AB179" t="s">
        <v>41</v>
      </c>
      <c r="AC179">
        <v>13</v>
      </c>
    </row>
    <row r="180" spans="1:29" x14ac:dyDescent="0.25">
      <c r="A180" t="s">
        <v>447</v>
      </c>
      <c r="B180">
        <v>47</v>
      </c>
      <c r="C180" t="s">
        <v>43</v>
      </c>
      <c r="D180" t="s">
        <v>30</v>
      </c>
      <c r="E180" t="s">
        <v>55</v>
      </c>
      <c r="F180" t="s">
        <v>56</v>
      </c>
      <c r="G180" t="s">
        <v>30</v>
      </c>
      <c r="H180" t="s">
        <v>448</v>
      </c>
      <c r="I180" t="s">
        <v>114</v>
      </c>
      <c r="J180" s="1">
        <v>280.05</v>
      </c>
      <c r="K180">
        <v>10</v>
      </c>
      <c r="L180" t="s">
        <v>48</v>
      </c>
      <c r="M180">
        <v>4</v>
      </c>
      <c r="N180">
        <v>1</v>
      </c>
      <c r="O180">
        <v>2</v>
      </c>
      <c r="P180" t="s">
        <v>49</v>
      </c>
      <c r="Q180" t="s">
        <v>85</v>
      </c>
      <c r="R180">
        <v>1</v>
      </c>
      <c r="S180">
        <v>2</v>
      </c>
      <c r="T180" t="s">
        <v>44</v>
      </c>
      <c r="U180" t="s">
        <v>60</v>
      </c>
      <c r="V180" t="s">
        <v>39</v>
      </c>
      <c r="W180" s="2">
        <v>45479</v>
      </c>
      <c r="X180" s="4">
        <f ca="1">TODAY()-DATASET[[#This Row],[Time_of_Purchase]]</f>
        <v>655</v>
      </c>
      <c r="Y180" t="b">
        <v>1</v>
      </c>
      <c r="Z180" t="b">
        <v>0</v>
      </c>
      <c r="AA180" t="s">
        <v>52</v>
      </c>
      <c r="AB180" t="s">
        <v>41</v>
      </c>
      <c r="AC180">
        <v>11</v>
      </c>
    </row>
    <row r="181" spans="1:29" x14ac:dyDescent="0.25">
      <c r="A181" t="s">
        <v>449</v>
      </c>
      <c r="B181">
        <v>35</v>
      </c>
      <c r="C181" t="s">
        <v>43</v>
      </c>
      <c r="D181" t="s">
        <v>44</v>
      </c>
      <c r="E181" t="s">
        <v>69</v>
      </c>
      <c r="F181" t="s">
        <v>56</v>
      </c>
      <c r="G181" t="s">
        <v>30</v>
      </c>
      <c r="H181" t="s">
        <v>450</v>
      </c>
      <c r="I181" t="s">
        <v>246</v>
      </c>
      <c r="J181" s="1">
        <v>54.71</v>
      </c>
      <c r="K181">
        <v>4</v>
      </c>
      <c r="L181" t="s">
        <v>35</v>
      </c>
      <c r="M181">
        <v>5</v>
      </c>
      <c r="N181">
        <v>2</v>
      </c>
      <c r="O181">
        <v>1</v>
      </c>
      <c r="P181" t="s">
        <v>59</v>
      </c>
      <c r="Q181" t="s">
        <v>85</v>
      </c>
      <c r="R181">
        <v>1</v>
      </c>
      <c r="S181">
        <v>3</v>
      </c>
      <c r="T181" t="s">
        <v>36</v>
      </c>
      <c r="U181" t="s">
        <v>79</v>
      </c>
      <c r="V181" t="s">
        <v>51</v>
      </c>
      <c r="W181" s="2">
        <v>45591</v>
      </c>
      <c r="X181" s="4">
        <f ca="1">TODAY()-DATASET[[#This Row],[Time_of_Purchase]]</f>
        <v>543</v>
      </c>
      <c r="Y181" t="b">
        <v>1</v>
      </c>
      <c r="Z181" t="b">
        <v>1</v>
      </c>
      <c r="AA181" t="s">
        <v>40</v>
      </c>
      <c r="AB181" t="s">
        <v>67</v>
      </c>
      <c r="AC181">
        <v>3</v>
      </c>
    </row>
    <row r="182" spans="1:29" x14ac:dyDescent="0.25">
      <c r="A182" t="s">
        <v>451</v>
      </c>
      <c r="B182">
        <v>27</v>
      </c>
      <c r="C182" t="s">
        <v>43</v>
      </c>
      <c r="D182" t="s">
        <v>44</v>
      </c>
      <c r="E182" t="s">
        <v>69</v>
      </c>
      <c r="F182" t="s">
        <v>32</v>
      </c>
      <c r="G182" t="s">
        <v>30</v>
      </c>
      <c r="H182" t="s">
        <v>452</v>
      </c>
      <c r="I182" t="s">
        <v>114</v>
      </c>
      <c r="J182" s="1">
        <v>119.51</v>
      </c>
      <c r="K182">
        <v>11</v>
      </c>
      <c r="L182" t="s">
        <v>35</v>
      </c>
      <c r="M182">
        <v>5</v>
      </c>
      <c r="N182">
        <v>5</v>
      </c>
      <c r="O182">
        <v>2</v>
      </c>
      <c r="P182" t="s">
        <v>59</v>
      </c>
      <c r="Q182" t="s">
        <v>85</v>
      </c>
      <c r="R182">
        <v>2</v>
      </c>
      <c r="S182">
        <v>8</v>
      </c>
      <c r="T182" t="s">
        <v>59</v>
      </c>
      <c r="U182" t="s">
        <v>79</v>
      </c>
      <c r="V182" t="s">
        <v>51</v>
      </c>
      <c r="W182" s="2">
        <v>45419</v>
      </c>
      <c r="X182" s="4">
        <f ca="1">TODAY()-DATASET[[#This Row],[Time_of_Purchase]]</f>
        <v>715</v>
      </c>
      <c r="Y182" t="b">
        <v>0</v>
      </c>
      <c r="Z182" t="b">
        <v>0</v>
      </c>
      <c r="AA182" t="s">
        <v>74</v>
      </c>
      <c r="AB182" t="s">
        <v>41</v>
      </c>
      <c r="AC182">
        <v>1</v>
      </c>
    </row>
    <row r="183" spans="1:29" x14ac:dyDescent="0.25">
      <c r="A183" t="s">
        <v>453</v>
      </c>
      <c r="B183">
        <v>37</v>
      </c>
      <c r="C183" t="s">
        <v>29</v>
      </c>
      <c r="D183" t="s">
        <v>44</v>
      </c>
      <c r="E183" t="s">
        <v>55</v>
      </c>
      <c r="F183" t="s">
        <v>56</v>
      </c>
      <c r="G183" t="s">
        <v>44</v>
      </c>
      <c r="H183" t="s">
        <v>454</v>
      </c>
      <c r="I183" t="s">
        <v>135</v>
      </c>
      <c r="J183" s="1">
        <v>57.5</v>
      </c>
      <c r="K183">
        <v>12</v>
      </c>
      <c r="L183" t="s">
        <v>78</v>
      </c>
      <c r="M183">
        <v>5</v>
      </c>
      <c r="N183">
        <v>1</v>
      </c>
      <c r="O183">
        <v>1</v>
      </c>
      <c r="P183" t="s">
        <v>36</v>
      </c>
      <c r="Q183" t="s">
        <v>50</v>
      </c>
      <c r="R183">
        <v>0</v>
      </c>
      <c r="S183">
        <v>3</v>
      </c>
      <c r="T183" t="s">
        <v>36</v>
      </c>
      <c r="U183" t="s">
        <v>79</v>
      </c>
      <c r="V183" t="s">
        <v>86</v>
      </c>
      <c r="W183" s="2">
        <v>45634</v>
      </c>
      <c r="X183" s="4">
        <f ca="1">TODAY()-DATASET[[#This Row],[Time_of_Purchase]]</f>
        <v>500</v>
      </c>
      <c r="Y183" t="b">
        <v>1</v>
      </c>
      <c r="Z183" t="b">
        <v>1</v>
      </c>
      <c r="AA183" t="s">
        <v>62</v>
      </c>
      <c r="AB183" t="s">
        <v>41</v>
      </c>
      <c r="AC183">
        <v>13</v>
      </c>
    </row>
    <row r="184" spans="1:29" x14ac:dyDescent="0.25">
      <c r="A184" t="s">
        <v>455</v>
      </c>
      <c r="B184">
        <v>38</v>
      </c>
      <c r="C184" t="s">
        <v>29</v>
      </c>
      <c r="D184" t="s">
        <v>44</v>
      </c>
      <c r="E184" t="s">
        <v>31</v>
      </c>
      <c r="F184" t="s">
        <v>32</v>
      </c>
      <c r="G184" t="s">
        <v>44</v>
      </c>
      <c r="H184" t="s">
        <v>456</v>
      </c>
      <c r="I184" t="s">
        <v>82</v>
      </c>
      <c r="J184" s="1">
        <v>225.05</v>
      </c>
      <c r="K184">
        <v>5</v>
      </c>
      <c r="L184" t="s">
        <v>35</v>
      </c>
      <c r="M184">
        <v>2</v>
      </c>
      <c r="N184">
        <v>1</v>
      </c>
      <c r="O184">
        <v>1</v>
      </c>
      <c r="P184" t="s">
        <v>44</v>
      </c>
      <c r="Q184" t="s">
        <v>37</v>
      </c>
      <c r="R184">
        <v>1</v>
      </c>
      <c r="S184">
        <v>1</v>
      </c>
      <c r="T184" t="s">
        <v>59</v>
      </c>
      <c r="U184" t="s">
        <v>79</v>
      </c>
      <c r="V184" t="s">
        <v>39</v>
      </c>
      <c r="W184" s="2">
        <v>45470</v>
      </c>
      <c r="X184" s="4">
        <f ca="1">TODAY()-DATASET[[#This Row],[Time_of_Purchase]]</f>
        <v>664</v>
      </c>
      <c r="Y184" t="b">
        <v>0</v>
      </c>
      <c r="Z184" t="b">
        <v>0</v>
      </c>
      <c r="AA184" t="s">
        <v>40</v>
      </c>
      <c r="AB184" t="s">
        <v>41</v>
      </c>
      <c r="AC184">
        <v>10</v>
      </c>
    </row>
    <row r="185" spans="1:29" x14ac:dyDescent="0.25">
      <c r="A185" t="s">
        <v>457</v>
      </c>
      <c r="B185">
        <v>41</v>
      </c>
      <c r="C185" t="s">
        <v>29</v>
      </c>
      <c r="D185" t="s">
        <v>44</v>
      </c>
      <c r="E185" t="s">
        <v>76</v>
      </c>
      <c r="F185" t="s">
        <v>45</v>
      </c>
      <c r="G185" t="s">
        <v>44</v>
      </c>
      <c r="H185" t="s">
        <v>458</v>
      </c>
      <c r="I185" t="s">
        <v>47</v>
      </c>
      <c r="J185" s="1">
        <v>441.15</v>
      </c>
      <c r="K185">
        <v>7</v>
      </c>
      <c r="L185" t="s">
        <v>78</v>
      </c>
      <c r="M185">
        <v>3</v>
      </c>
      <c r="N185">
        <v>1</v>
      </c>
      <c r="O185">
        <v>1</v>
      </c>
      <c r="P185" t="s">
        <v>59</v>
      </c>
      <c r="Q185" t="s">
        <v>37</v>
      </c>
      <c r="R185">
        <v>1</v>
      </c>
      <c r="S185">
        <v>1</v>
      </c>
      <c r="T185" t="s">
        <v>36</v>
      </c>
      <c r="U185" t="s">
        <v>60</v>
      </c>
      <c r="V185" t="s">
        <v>61</v>
      </c>
      <c r="W185" s="2">
        <v>45535</v>
      </c>
      <c r="X185" s="4">
        <f ca="1">TODAY()-DATASET[[#This Row],[Time_of_Purchase]]</f>
        <v>599</v>
      </c>
      <c r="Y185" t="b">
        <v>0</v>
      </c>
      <c r="Z185" t="b">
        <v>0</v>
      </c>
      <c r="AA185" t="s">
        <v>40</v>
      </c>
      <c r="AB185" t="s">
        <v>41</v>
      </c>
      <c r="AC185">
        <v>8</v>
      </c>
    </row>
    <row r="186" spans="1:29" x14ac:dyDescent="0.25">
      <c r="A186" t="s">
        <v>459</v>
      </c>
      <c r="B186">
        <v>48</v>
      </c>
      <c r="C186" t="s">
        <v>43</v>
      </c>
      <c r="D186" t="s">
        <v>30</v>
      </c>
      <c r="E186" t="s">
        <v>76</v>
      </c>
      <c r="F186" t="s">
        <v>45</v>
      </c>
      <c r="G186" t="s">
        <v>30</v>
      </c>
      <c r="H186" t="s">
        <v>460</v>
      </c>
      <c r="I186" t="s">
        <v>101</v>
      </c>
      <c r="J186" s="1">
        <v>481.21</v>
      </c>
      <c r="K186">
        <v>3</v>
      </c>
      <c r="L186" t="s">
        <v>35</v>
      </c>
      <c r="M186">
        <v>1</v>
      </c>
      <c r="N186">
        <v>2</v>
      </c>
      <c r="O186">
        <v>1</v>
      </c>
      <c r="P186" t="s">
        <v>44</v>
      </c>
      <c r="Q186" t="s">
        <v>50</v>
      </c>
      <c r="R186">
        <v>0</v>
      </c>
      <c r="S186">
        <v>1</v>
      </c>
      <c r="T186" t="s">
        <v>36</v>
      </c>
      <c r="U186" t="s">
        <v>79</v>
      </c>
      <c r="V186" t="s">
        <v>39</v>
      </c>
      <c r="W186" s="2">
        <v>45609</v>
      </c>
      <c r="X186" s="4">
        <f ca="1">TODAY()-DATASET[[#This Row],[Time_of_Purchase]]</f>
        <v>525</v>
      </c>
      <c r="Y186" t="b">
        <v>0</v>
      </c>
      <c r="Z186" t="b">
        <v>0</v>
      </c>
      <c r="AA186" t="s">
        <v>52</v>
      </c>
      <c r="AB186" t="s">
        <v>41</v>
      </c>
      <c r="AC186">
        <v>11</v>
      </c>
    </row>
    <row r="187" spans="1:29" x14ac:dyDescent="0.25">
      <c r="A187" t="s">
        <v>461</v>
      </c>
      <c r="B187">
        <v>48</v>
      </c>
      <c r="C187" t="s">
        <v>29</v>
      </c>
      <c r="D187" t="s">
        <v>44</v>
      </c>
      <c r="E187" t="s">
        <v>31</v>
      </c>
      <c r="F187" t="s">
        <v>32</v>
      </c>
      <c r="G187" t="s">
        <v>30</v>
      </c>
      <c r="H187" t="s">
        <v>462</v>
      </c>
      <c r="I187" t="s">
        <v>135</v>
      </c>
      <c r="J187" s="1">
        <v>102.96</v>
      </c>
      <c r="K187">
        <v>3</v>
      </c>
      <c r="L187" t="s">
        <v>35</v>
      </c>
      <c r="M187">
        <v>1</v>
      </c>
      <c r="N187">
        <v>1</v>
      </c>
      <c r="O187">
        <v>1</v>
      </c>
      <c r="P187" t="s">
        <v>59</v>
      </c>
      <c r="Q187" t="s">
        <v>85</v>
      </c>
      <c r="R187">
        <v>0</v>
      </c>
      <c r="S187">
        <v>7</v>
      </c>
      <c r="T187" t="s">
        <v>59</v>
      </c>
      <c r="U187" t="s">
        <v>79</v>
      </c>
      <c r="V187" t="s">
        <v>51</v>
      </c>
      <c r="W187" s="2">
        <v>45645</v>
      </c>
      <c r="X187" s="4">
        <f ca="1">TODAY()-DATASET[[#This Row],[Time_of_Purchase]]</f>
        <v>489</v>
      </c>
      <c r="Y187" t="b">
        <v>0</v>
      </c>
      <c r="Z187" t="b">
        <v>1</v>
      </c>
      <c r="AA187" t="s">
        <v>52</v>
      </c>
      <c r="AB187" t="s">
        <v>53</v>
      </c>
      <c r="AC187">
        <v>4</v>
      </c>
    </row>
    <row r="188" spans="1:29" x14ac:dyDescent="0.25">
      <c r="A188" t="s">
        <v>463</v>
      </c>
      <c r="B188">
        <v>45</v>
      </c>
      <c r="C188" t="s">
        <v>29</v>
      </c>
      <c r="D188" t="s">
        <v>44</v>
      </c>
      <c r="E188" t="s">
        <v>76</v>
      </c>
      <c r="F188" t="s">
        <v>32</v>
      </c>
      <c r="G188" t="s">
        <v>44</v>
      </c>
      <c r="H188" t="s">
        <v>464</v>
      </c>
      <c r="I188" t="s">
        <v>117</v>
      </c>
      <c r="J188" s="1">
        <v>331.57</v>
      </c>
      <c r="K188">
        <v>11</v>
      </c>
      <c r="L188" t="s">
        <v>35</v>
      </c>
      <c r="M188">
        <v>3</v>
      </c>
      <c r="N188">
        <v>1</v>
      </c>
      <c r="O188">
        <v>0</v>
      </c>
      <c r="P188" t="s">
        <v>59</v>
      </c>
      <c r="Q188" t="s">
        <v>37</v>
      </c>
      <c r="R188">
        <v>1</v>
      </c>
      <c r="S188">
        <v>6</v>
      </c>
      <c r="T188" t="s">
        <v>49</v>
      </c>
      <c r="U188" t="s">
        <v>79</v>
      </c>
      <c r="V188" t="s">
        <v>61</v>
      </c>
      <c r="W188" s="2">
        <v>45418</v>
      </c>
      <c r="X188" s="4">
        <f ca="1">TODAY()-DATASET[[#This Row],[Time_of_Purchase]]</f>
        <v>716</v>
      </c>
      <c r="Y188" t="b">
        <v>0</v>
      </c>
      <c r="Z188" t="b">
        <v>0</v>
      </c>
      <c r="AA188" t="s">
        <v>62</v>
      </c>
      <c r="AB188" t="s">
        <v>67</v>
      </c>
      <c r="AC188">
        <v>14</v>
      </c>
    </row>
    <row r="189" spans="1:29" x14ac:dyDescent="0.25">
      <c r="A189" t="s">
        <v>465</v>
      </c>
      <c r="B189">
        <v>26</v>
      </c>
      <c r="C189" t="s">
        <v>190</v>
      </c>
      <c r="D189" t="s">
        <v>30</v>
      </c>
      <c r="E189" t="s">
        <v>69</v>
      </c>
      <c r="F189" t="s">
        <v>45</v>
      </c>
      <c r="G189" t="s">
        <v>30</v>
      </c>
      <c r="H189" t="s">
        <v>466</v>
      </c>
      <c r="I189" t="s">
        <v>117</v>
      </c>
      <c r="J189" s="1">
        <v>101.29</v>
      </c>
      <c r="K189">
        <v>11</v>
      </c>
      <c r="L189" t="s">
        <v>48</v>
      </c>
      <c r="M189">
        <v>1</v>
      </c>
      <c r="N189">
        <v>1</v>
      </c>
      <c r="O189">
        <v>2</v>
      </c>
      <c r="P189" t="s">
        <v>49</v>
      </c>
      <c r="Q189" t="s">
        <v>50</v>
      </c>
      <c r="R189">
        <v>2</v>
      </c>
      <c r="S189">
        <v>7</v>
      </c>
      <c r="T189" t="s">
        <v>49</v>
      </c>
      <c r="U189" t="s">
        <v>60</v>
      </c>
      <c r="V189" t="s">
        <v>86</v>
      </c>
      <c r="W189" s="2">
        <v>45595</v>
      </c>
      <c r="X189" s="4">
        <f ca="1">TODAY()-DATASET[[#This Row],[Time_of_Purchase]]</f>
        <v>539</v>
      </c>
      <c r="Y189" t="b">
        <v>0</v>
      </c>
      <c r="Z189" t="b">
        <v>1</v>
      </c>
      <c r="AA189" t="s">
        <v>40</v>
      </c>
      <c r="AB189" t="s">
        <v>41</v>
      </c>
      <c r="AC189">
        <v>4</v>
      </c>
    </row>
    <row r="190" spans="1:29" x14ac:dyDescent="0.25">
      <c r="A190" t="s">
        <v>467</v>
      </c>
      <c r="B190">
        <v>50</v>
      </c>
      <c r="C190" t="s">
        <v>29</v>
      </c>
      <c r="D190" t="s">
        <v>30</v>
      </c>
      <c r="E190" t="s">
        <v>55</v>
      </c>
      <c r="F190" t="s">
        <v>56</v>
      </c>
      <c r="G190" t="s">
        <v>44</v>
      </c>
      <c r="H190" t="s">
        <v>468</v>
      </c>
      <c r="I190" t="s">
        <v>114</v>
      </c>
      <c r="J190" s="1">
        <v>143.52000000000001</v>
      </c>
      <c r="K190">
        <v>9</v>
      </c>
      <c r="L190" t="s">
        <v>48</v>
      </c>
      <c r="M190">
        <v>2</v>
      </c>
      <c r="N190">
        <v>5</v>
      </c>
      <c r="O190">
        <v>1</v>
      </c>
      <c r="P190" t="s">
        <v>49</v>
      </c>
      <c r="Q190" t="s">
        <v>37</v>
      </c>
      <c r="R190">
        <v>2</v>
      </c>
      <c r="S190">
        <v>3</v>
      </c>
      <c r="T190" t="s">
        <v>36</v>
      </c>
      <c r="U190" t="s">
        <v>38</v>
      </c>
      <c r="V190" t="s">
        <v>39</v>
      </c>
      <c r="W190" s="2">
        <v>45393</v>
      </c>
      <c r="X190" s="4">
        <f ca="1">TODAY()-DATASET[[#This Row],[Time_of_Purchase]]</f>
        <v>741</v>
      </c>
      <c r="Y190" t="b">
        <v>1</v>
      </c>
      <c r="Z190" t="b">
        <v>0</v>
      </c>
      <c r="AA190" t="s">
        <v>62</v>
      </c>
      <c r="AB190" t="s">
        <v>67</v>
      </c>
      <c r="AC190">
        <v>12</v>
      </c>
    </row>
    <row r="191" spans="1:29" x14ac:dyDescent="0.25">
      <c r="A191" t="s">
        <v>469</v>
      </c>
      <c r="B191">
        <v>39</v>
      </c>
      <c r="C191" t="s">
        <v>43</v>
      </c>
      <c r="D191" t="s">
        <v>30</v>
      </c>
      <c r="E191" t="s">
        <v>69</v>
      </c>
      <c r="F191" t="s">
        <v>32</v>
      </c>
      <c r="G191" t="s">
        <v>30</v>
      </c>
      <c r="H191" t="s">
        <v>470</v>
      </c>
      <c r="I191" t="s">
        <v>90</v>
      </c>
      <c r="J191" s="1">
        <v>276.48</v>
      </c>
      <c r="K191">
        <v>3</v>
      </c>
      <c r="L191" t="s">
        <v>35</v>
      </c>
      <c r="M191">
        <v>1</v>
      </c>
      <c r="N191">
        <v>2</v>
      </c>
      <c r="O191">
        <v>1</v>
      </c>
      <c r="P191" t="s">
        <v>36</v>
      </c>
      <c r="Q191" t="s">
        <v>37</v>
      </c>
      <c r="R191">
        <v>0</v>
      </c>
      <c r="S191">
        <v>4</v>
      </c>
      <c r="T191" t="s">
        <v>59</v>
      </c>
      <c r="U191" t="s">
        <v>79</v>
      </c>
      <c r="V191" t="s">
        <v>86</v>
      </c>
      <c r="W191" s="2">
        <v>45417</v>
      </c>
      <c r="X191" s="4">
        <f ca="1">TODAY()-DATASET[[#This Row],[Time_of_Purchase]]</f>
        <v>717</v>
      </c>
      <c r="Y191" t="b">
        <v>0</v>
      </c>
      <c r="Z191" t="b">
        <v>0</v>
      </c>
      <c r="AA191" t="s">
        <v>40</v>
      </c>
      <c r="AB191" t="s">
        <v>67</v>
      </c>
      <c r="AC191">
        <v>7</v>
      </c>
    </row>
    <row r="192" spans="1:29" x14ac:dyDescent="0.25">
      <c r="A192" t="s">
        <v>471</v>
      </c>
      <c r="B192">
        <v>20</v>
      </c>
      <c r="C192" t="s">
        <v>43</v>
      </c>
      <c r="D192" t="s">
        <v>44</v>
      </c>
      <c r="E192" t="s">
        <v>69</v>
      </c>
      <c r="F192" t="s">
        <v>45</v>
      </c>
      <c r="G192" t="s">
        <v>44</v>
      </c>
      <c r="H192" t="s">
        <v>472</v>
      </c>
      <c r="I192" t="s">
        <v>126</v>
      </c>
      <c r="J192" s="1">
        <v>352.87</v>
      </c>
      <c r="K192">
        <v>11</v>
      </c>
      <c r="L192" t="s">
        <v>48</v>
      </c>
      <c r="M192">
        <v>5</v>
      </c>
      <c r="N192">
        <v>3</v>
      </c>
      <c r="O192">
        <v>0</v>
      </c>
      <c r="P192" t="s">
        <v>44</v>
      </c>
      <c r="Q192" t="s">
        <v>50</v>
      </c>
      <c r="R192">
        <v>0</v>
      </c>
      <c r="S192">
        <v>6</v>
      </c>
      <c r="T192" t="s">
        <v>44</v>
      </c>
      <c r="U192" t="s">
        <v>38</v>
      </c>
      <c r="V192" t="s">
        <v>51</v>
      </c>
      <c r="W192" s="2">
        <v>45341</v>
      </c>
      <c r="X192" s="4">
        <f ca="1">TODAY()-DATASET[[#This Row],[Time_of_Purchase]]</f>
        <v>793</v>
      </c>
      <c r="Y192" t="b">
        <v>0</v>
      </c>
      <c r="Z192" t="b">
        <v>0</v>
      </c>
      <c r="AA192" t="s">
        <v>52</v>
      </c>
      <c r="AB192" t="s">
        <v>53</v>
      </c>
      <c r="AC192">
        <v>12</v>
      </c>
    </row>
    <row r="193" spans="1:29" x14ac:dyDescent="0.25">
      <c r="A193" t="s">
        <v>473</v>
      </c>
      <c r="B193">
        <v>48</v>
      </c>
      <c r="C193" t="s">
        <v>43</v>
      </c>
      <c r="D193" t="s">
        <v>30</v>
      </c>
      <c r="E193" t="s">
        <v>31</v>
      </c>
      <c r="F193" t="s">
        <v>56</v>
      </c>
      <c r="G193" t="s">
        <v>30</v>
      </c>
      <c r="H193" t="s">
        <v>474</v>
      </c>
      <c r="I193" t="s">
        <v>93</v>
      </c>
      <c r="J193" s="1">
        <v>228.68</v>
      </c>
      <c r="K193">
        <v>3</v>
      </c>
      <c r="L193" t="s">
        <v>35</v>
      </c>
      <c r="M193">
        <v>2</v>
      </c>
      <c r="N193">
        <v>1</v>
      </c>
      <c r="O193">
        <v>2</v>
      </c>
      <c r="P193" t="s">
        <v>59</v>
      </c>
      <c r="Q193" t="s">
        <v>85</v>
      </c>
      <c r="R193">
        <v>1</v>
      </c>
      <c r="S193">
        <v>4</v>
      </c>
      <c r="T193" t="s">
        <v>36</v>
      </c>
      <c r="U193" t="s">
        <v>38</v>
      </c>
      <c r="V193" t="s">
        <v>61</v>
      </c>
      <c r="W193" s="2">
        <v>45574</v>
      </c>
      <c r="X193" s="4">
        <f ca="1">TODAY()-DATASET[[#This Row],[Time_of_Purchase]]</f>
        <v>560</v>
      </c>
      <c r="Y193" t="b">
        <v>1</v>
      </c>
      <c r="Z193" t="b">
        <v>0</v>
      </c>
      <c r="AA193" t="s">
        <v>74</v>
      </c>
      <c r="AB193" t="s">
        <v>53</v>
      </c>
      <c r="AC193">
        <v>4</v>
      </c>
    </row>
    <row r="194" spans="1:29" x14ac:dyDescent="0.25">
      <c r="A194" t="s">
        <v>475</v>
      </c>
      <c r="B194">
        <v>31</v>
      </c>
      <c r="C194" t="s">
        <v>29</v>
      </c>
      <c r="D194" t="s">
        <v>30</v>
      </c>
      <c r="E194" t="s">
        <v>76</v>
      </c>
      <c r="F194" t="s">
        <v>56</v>
      </c>
      <c r="G194" t="s">
        <v>44</v>
      </c>
      <c r="H194" t="s">
        <v>476</v>
      </c>
      <c r="I194" t="s">
        <v>47</v>
      </c>
      <c r="J194" s="1">
        <v>301.39</v>
      </c>
      <c r="K194">
        <v>6</v>
      </c>
      <c r="L194" t="s">
        <v>78</v>
      </c>
      <c r="M194">
        <v>2</v>
      </c>
      <c r="N194">
        <v>1</v>
      </c>
      <c r="O194">
        <v>0</v>
      </c>
      <c r="P194" t="s">
        <v>36</v>
      </c>
      <c r="Q194" t="s">
        <v>85</v>
      </c>
      <c r="R194">
        <v>1</v>
      </c>
      <c r="S194">
        <v>4</v>
      </c>
      <c r="T194" t="s">
        <v>59</v>
      </c>
      <c r="U194" t="s">
        <v>79</v>
      </c>
      <c r="V194" t="s">
        <v>61</v>
      </c>
      <c r="W194" s="2">
        <v>45403</v>
      </c>
      <c r="X194" s="4">
        <f ca="1">TODAY()-DATASET[[#This Row],[Time_of_Purchase]]</f>
        <v>731</v>
      </c>
      <c r="Y194" t="b">
        <v>0</v>
      </c>
      <c r="Z194" t="b">
        <v>0</v>
      </c>
      <c r="AA194" t="s">
        <v>40</v>
      </c>
      <c r="AB194" t="s">
        <v>41</v>
      </c>
      <c r="AC194">
        <v>11</v>
      </c>
    </row>
    <row r="195" spans="1:29" x14ac:dyDescent="0.25">
      <c r="A195" t="s">
        <v>477</v>
      </c>
      <c r="B195">
        <v>25</v>
      </c>
      <c r="C195" t="s">
        <v>29</v>
      </c>
      <c r="D195" t="s">
        <v>30</v>
      </c>
      <c r="E195" t="s">
        <v>31</v>
      </c>
      <c r="F195" t="s">
        <v>32</v>
      </c>
      <c r="G195" t="s">
        <v>44</v>
      </c>
      <c r="H195" t="s">
        <v>478</v>
      </c>
      <c r="I195" t="s">
        <v>82</v>
      </c>
      <c r="J195" s="1">
        <v>473.5</v>
      </c>
      <c r="K195">
        <v>11</v>
      </c>
      <c r="L195" t="s">
        <v>35</v>
      </c>
      <c r="M195">
        <v>2</v>
      </c>
      <c r="N195">
        <v>4</v>
      </c>
      <c r="O195">
        <v>1</v>
      </c>
      <c r="P195" t="s">
        <v>59</v>
      </c>
      <c r="Q195" t="s">
        <v>37</v>
      </c>
      <c r="R195">
        <v>2</v>
      </c>
      <c r="S195">
        <v>3</v>
      </c>
      <c r="T195" t="s">
        <v>44</v>
      </c>
      <c r="U195" t="s">
        <v>38</v>
      </c>
      <c r="V195" t="s">
        <v>66</v>
      </c>
      <c r="W195" s="2">
        <v>45497</v>
      </c>
      <c r="X195" s="4">
        <f ca="1">TODAY()-DATASET[[#This Row],[Time_of_Purchase]]</f>
        <v>637</v>
      </c>
      <c r="Y195" t="b">
        <v>0</v>
      </c>
      <c r="Z195" t="b">
        <v>1</v>
      </c>
      <c r="AA195" t="s">
        <v>62</v>
      </c>
      <c r="AB195" t="s">
        <v>67</v>
      </c>
      <c r="AC195">
        <v>10</v>
      </c>
    </row>
    <row r="196" spans="1:29" x14ac:dyDescent="0.25">
      <c r="A196" t="s">
        <v>479</v>
      </c>
      <c r="B196">
        <v>18</v>
      </c>
      <c r="C196" t="s">
        <v>274</v>
      </c>
      <c r="D196" t="s">
        <v>30</v>
      </c>
      <c r="E196" t="s">
        <v>55</v>
      </c>
      <c r="F196" t="s">
        <v>32</v>
      </c>
      <c r="G196" t="s">
        <v>44</v>
      </c>
      <c r="H196" t="s">
        <v>480</v>
      </c>
      <c r="I196" t="s">
        <v>65</v>
      </c>
      <c r="J196" s="1">
        <v>72.8</v>
      </c>
      <c r="K196">
        <v>11</v>
      </c>
      <c r="L196" t="s">
        <v>48</v>
      </c>
      <c r="M196">
        <v>2</v>
      </c>
      <c r="N196">
        <v>4</v>
      </c>
      <c r="O196">
        <v>1</v>
      </c>
      <c r="P196" t="s">
        <v>44</v>
      </c>
      <c r="Q196" t="s">
        <v>37</v>
      </c>
      <c r="R196">
        <v>2</v>
      </c>
      <c r="S196">
        <v>10</v>
      </c>
      <c r="T196" t="s">
        <v>44</v>
      </c>
      <c r="U196" t="s">
        <v>79</v>
      </c>
      <c r="V196" t="s">
        <v>51</v>
      </c>
      <c r="W196" s="2">
        <v>45524</v>
      </c>
      <c r="X196" s="4">
        <f ca="1">TODAY()-DATASET[[#This Row],[Time_of_Purchase]]</f>
        <v>610</v>
      </c>
      <c r="Y196" t="b">
        <v>1</v>
      </c>
      <c r="Z196" t="b">
        <v>0</v>
      </c>
      <c r="AA196" t="s">
        <v>40</v>
      </c>
      <c r="AB196" t="s">
        <v>67</v>
      </c>
      <c r="AC196">
        <v>3</v>
      </c>
    </row>
    <row r="197" spans="1:29" x14ac:dyDescent="0.25">
      <c r="A197" t="s">
        <v>481</v>
      </c>
      <c r="B197">
        <v>18</v>
      </c>
      <c r="C197" t="s">
        <v>43</v>
      </c>
      <c r="D197" t="s">
        <v>30</v>
      </c>
      <c r="E197" t="s">
        <v>76</v>
      </c>
      <c r="F197" t="s">
        <v>32</v>
      </c>
      <c r="G197" t="s">
        <v>44</v>
      </c>
      <c r="H197" t="s">
        <v>482</v>
      </c>
      <c r="I197" t="s">
        <v>114</v>
      </c>
      <c r="J197" s="1">
        <v>171.72</v>
      </c>
      <c r="K197">
        <v>3</v>
      </c>
      <c r="L197" t="s">
        <v>78</v>
      </c>
      <c r="M197">
        <v>5</v>
      </c>
      <c r="N197">
        <v>3</v>
      </c>
      <c r="O197">
        <v>1</v>
      </c>
      <c r="P197" t="s">
        <v>59</v>
      </c>
      <c r="Q197" t="s">
        <v>85</v>
      </c>
      <c r="R197">
        <v>1</v>
      </c>
      <c r="S197">
        <v>2</v>
      </c>
      <c r="T197" t="s">
        <v>36</v>
      </c>
      <c r="U197" t="s">
        <v>79</v>
      </c>
      <c r="V197" t="s">
        <v>51</v>
      </c>
      <c r="W197" s="2">
        <v>45375</v>
      </c>
      <c r="X197" s="4">
        <f ca="1">TODAY()-DATASET[[#This Row],[Time_of_Purchase]]</f>
        <v>759</v>
      </c>
      <c r="Y197" t="b">
        <v>0</v>
      </c>
      <c r="Z197" t="b">
        <v>1</v>
      </c>
      <c r="AA197" t="s">
        <v>62</v>
      </c>
      <c r="AB197" t="s">
        <v>53</v>
      </c>
      <c r="AC197">
        <v>12</v>
      </c>
    </row>
    <row r="198" spans="1:29" x14ac:dyDescent="0.25">
      <c r="A198" t="s">
        <v>483</v>
      </c>
      <c r="B198">
        <v>31</v>
      </c>
      <c r="C198" t="s">
        <v>43</v>
      </c>
      <c r="D198" t="s">
        <v>30</v>
      </c>
      <c r="E198" t="s">
        <v>69</v>
      </c>
      <c r="F198" t="s">
        <v>45</v>
      </c>
      <c r="G198" t="s">
        <v>30</v>
      </c>
      <c r="H198" t="s">
        <v>484</v>
      </c>
      <c r="I198" t="s">
        <v>120</v>
      </c>
      <c r="J198" s="1">
        <v>467.5</v>
      </c>
      <c r="K198">
        <v>6</v>
      </c>
      <c r="L198" t="s">
        <v>48</v>
      </c>
      <c r="M198">
        <v>2</v>
      </c>
      <c r="N198">
        <v>1</v>
      </c>
      <c r="O198">
        <v>0</v>
      </c>
      <c r="P198" t="s">
        <v>36</v>
      </c>
      <c r="Q198" t="s">
        <v>37</v>
      </c>
      <c r="R198">
        <v>1</v>
      </c>
      <c r="S198">
        <v>1</v>
      </c>
      <c r="T198" t="s">
        <v>44</v>
      </c>
      <c r="U198" t="s">
        <v>79</v>
      </c>
      <c r="V198" t="s">
        <v>51</v>
      </c>
      <c r="W198" s="2">
        <v>45386</v>
      </c>
      <c r="X198" s="4">
        <f ca="1">TODAY()-DATASET[[#This Row],[Time_of_Purchase]]</f>
        <v>748</v>
      </c>
      <c r="Y198" t="b">
        <v>0</v>
      </c>
      <c r="Z198" t="b">
        <v>0</v>
      </c>
      <c r="AA198" t="s">
        <v>74</v>
      </c>
      <c r="AB198" t="s">
        <v>41</v>
      </c>
      <c r="AC198">
        <v>6</v>
      </c>
    </row>
    <row r="199" spans="1:29" x14ac:dyDescent="0.25">
      <c r="A199" t="s">
        <v>485</v>
      </c>
      <c r="B199">
        <v>43</v>
      </c>
      <c r="C199" t="s">
        <v>352</v>
      </c>
      <c r="D199" t="s">
        <v>44</v>
      </c>
      <c r="E199" t="s">
        <v>31</v>
      </c>
      <c r="F199" t="s">
        <v>32</v>
      </c>
      <c r="G199" t="s">
        <v>44</v>
      </c>
      <c r="H199" t="s">
        <v>486</v>
      </c>
      <c r="I199" t="s">
        <v>71</v>
      </c>
      <c r="J199" s="1">
        <v>209.79</v>
      </c>
      <c r="K199">
        <v>6</v>
      </c>
      <c r="L199" t="s">
        <v>35</v>
      </c>
      <c r="M199">
        <v>5</v>
      </c>
      <c r="N199">
        <v>1</v>
      </c>
      <c r="O199">
        <v>2</v>
      </c>
      <c r="P199" t="s">
        <v>44</v>
      </c>
      <c r="Q199" t="s">
        <v>50</v>
      </c>
      <c r="R199">
        <v>1</v>
      </c>
      <c r="S199">
        <v>9</v>
      </c>
      <c r="T199" t="s">
        <v>59</v>
      </c>
      <c r="U199" t="s">
        <v>38</v>
      </c>
      <c r="V199" t="s">
        <v>66</v>
      </c>
      <c r="W199" s="2">
        <v>45548</v>
      </c>
      <c r="X199" s="4">
        <f ca="1">TODAY()-DATASET[[#This Row],[Time_of_Purchase]]</f>
        <v>586</v>
      </c>
      <c r="Y199" t="b">
        <v>1</v>
      </c>
      <c r="Z199" t="b">
        <v>1</v>
      </c>
      <c r="AA199" t="s">
        <v>40</v>
      </c>
      <c r="AB199" t="s">
        <v>53</v>
      </c>
      <c r="AC199">
        <v>10</v>
      </c>
    </row>
    <row r="200" spans="1:29" x14ac:dyDescent="0.25">
      <c r="A200" t="s">
        <v>487</v>
      </c>
      <c r="B200">
        <v>23</v>
      </c>
      <c r="C200" t="s">
        <v>43</v>
      </c>
      <c r="D200" t="s">
        <v>30</v>
      </c>
      <c r="E200" t="s">
        <v>55</v>
      </c>
      <c r="F200" t="s">
        <v>45</v>
      </c>
      <c r="G200" t="s">
        <v>30</v>
      </c>
      <c r="H200" t="s">
        <v>488</v>
      </c>
      <c r="I200" t="s">
        <v>58</v>
      </c>
      <c r="J200" s="1">
        <v>150.33000000000001</v>
      </c>
      <c r="K200">
        <v>9</v>
      </c>
      <c r="L200" t="s">
        <v>48</v>
      </c>
      <c r="M200">
        <v>4</v>
      </c>
      <c r="N200">
        <v>4</v>
      </c>
      <c r="O200">
        <v>2</v>
      </c>
      <c r="P200" t="s">
        <v>36</v>
      </c>
      <c r="Q200" t="s">
        <v>37</v>
      </c>
      <c r="R200">
        <v>2</v>
      </c>
      <c r="S200">
        <v>9</v>
      </c>
      <c r="T200" t="s">
        <v>49</v>
      </c>
      <c r="U200" t="s">
        <v>79</v>
      </c>
      <c r="V200" t="s">
        <v>61</v>
      </c>
      <c r="W200" s="2">
        <v>45406</v>
      </c>
      <c r="X200" s="4">
        <f ca="1">TODAY()-DATASET[[#This Row],[Time_of_Purchase]]</f>
        <v>728</v>
      </c>
      <c r="Y200" t="b">
        <v>1</v>
      </c>
      <c r="Z200" t="b">
        <v>0</v>
      </c>
      <c r="AA200" t="s">
        <v>52</v>
      </c>
      <c r="AB200" t="s">
        <v>67</v>
      </c>
      <c r="AC200">
        <v>6</v>
      </c>
    </row>
    <row r="201" spans="1:29" x14ac:dyDescent="0.25">
      <c r="A201" t="s">
        <v>489</v>
      </c>
      <c r="B201">
        <v>29</v>
      </c>
      <c r="C201" t="s">
        <v>43</v>
      </c>
      <c r="D201" t="s">
        <v>44</v>
      </c>
      <c r="E201" t="s">
        <v>31</v>
      </c>
      <c r="F201" t="s">
        <v>32</v>
      </c>
      <c r="G201" t="s">
        <v>44</v>
      </c>
      <c r="H201" t="s">
        <v>490</v>
      </c>
      <c r="I201" t="s">
        <v>98</v>
      </c>
      <c r="J201" s="1">
        <v>98.63</v>
      </c>
      <c r="K201">
        <v>7</v>
      </c>
      <c r="L201" t="s">
        <v>78</v>
      </c>
      <c r="M201">
        <v>4</v>
      </c>
      <c r="N201">
        <v>5</v>
      </c>
      <c r="O201">
        <v>2</v>
      </c>
      <c r="P201" t="s">
        <v>44</v>
      </c>
      <c r="Q201" t="s">
        <v>37</v>
      </c>
      <c r="R201">
        <v>1</v>
      </c>
      <c r="S201">
        <v>3</v>
      </c>
      <c r="T201" t="s">
        <v>59</v>
      </c>
      <c r="U201" t="s">
        <v>38</v>
      </c>
      <c r="V201" t="s">
        <v>66</v>
      </c>
      <c r="W201" s="2">
        <v>45300</v>
      </c>
      <c r="X201" s="4">
        <f ca="1">TODAY()-DATASET[[#This Row],[Time_of_Purchase]]</f>
        <v>834</v>
      </c>
      <c r="Y201" t="b">
        <v>0</v>
      </c>
      <c r="Z201" t="b">
        <v>1</v>
      </c>
      <c r="AA201" t="s">
        <v>74</v>
      </c>
      <c r="AB201" t="s">
        <v>53</v>
      </c>
      <c r="AC201">
        <v>6</v>
      </c>
    </row>
    <row r="202" spans="1:29" x14ac:dyDescent="0.25">
      <c r="A202" t="s">
        <v>491</v>
      </c>
      <c r="B202">
        <v>21</v>
      </c>
      <c r="C202" t="s">
        <v>29</v>
      </c>
      <c r="D202" t="s">
        <v>30</v>
      </c>
      <c r="E202" t="s">
        <v>76</v>
      </c>
      <c r="F202" t="s">
        <v>56</v>
      </c>
      <c r="G202" t="s">
        <v>30</v>
      </c>
      <c r="H202" t="s">
        <v>492</v>
      </c>
      <c r="I202" t="s">
        <v>188</v>
      </c>
      <c r="J202" s="1">
        <v>193.3</v>
      </c>
      <c r="K202">
        <v>11</v>
      </c>
      <c r="L202" t="s">
        <v>35</v>
      </c>
      <c r="M202">
        <v>4</v>
      </c>
      <c r="N202">
        <v>2</v>
      </c>
      <c r="O202">
        <v>2</v>
      </c>
      <c r="P202" t="s">
        <v>36</v>
      </c>
      <c r="Q202" t="s">
        <v>85</v>
      </c>
      <c r="R202">
        <v>2</v>
      </c>
      <c r="S202">
        <v>1</v>
      </c>
      <c r="T202" t="s">
        <v>49</v>
      </c>
      <c r="U202" t="s">
        <v>38</v>
      </c>
      <c r="V202" t="s">
        <v>66</v>
      </c>
      <c r="W202" s="2">
        <v>45446</v>
      </c>
      <c r="X202" s="4">
        <f ca="1">TODAY()-DATASET[[#This Row],[Time_of_Purchase]]</f>
        <v>688</v>
      </c>
      <c r="Y202" t="b">
        <v>1</v>
      </c>
      <c r="Z202" t="b">
        <v>1</v>
      </c>
      <c r="AA202" t="s">
        <v>74</v>
      </c>
      <c r="AB202" t="s">
        <v>41</v>
      </c>
      <c r="AC202">
        <v>12</v>
      </c>
    </row>
    <row r="203" spans="1:29" x14ac:dyDescent="0.25">
      <c r="A203" t="s">
        <v>493</v>
      </c>
      <c r="B203">
        <v>49</v>
      </c>
      <c r="C203" t="s">
        <v>29</v>
      </c>
      <c r="D203" t="s">
        <v>30</v>
      </c>
      <c r="E203" t="s">
        <v>55</v>
      </c>
      <c r="F203" t="s">
        <v>45</v>
      </c>
      <c r="G203" t="s">
        <v>30</v>
      </c>
      <c r="H203" t="s">
        <v>494</v>
      </c>
      <c r="I203" t="s">
        <v>98</v>
      </c>
      <c r="J203" s="1">
        <v>145.02000000000001</v>
      </c>
      <c r="K203">
        <v>7</v>
      </c>
      <c r="L203" t="s">
        <v>48</v>
      </c>
      <c r="M203">
        <v>3</v>
      </c>
      <c r="N203">
        <v>2</v>
      </c>
      <c r="O203">
        <v>0</v>
      </c>
      <c r="P203" t="s">
        <v>44</v>
      </c>
      <c r="Q203" t="s">
        <v>85</v>
      </c>
      <c r="R203">
        <v>1</v>
      </c>
      <c r="S203">
        <v>1</v>
      </c>
      <c r="T203" t="s">
        <v>49</v>
      </c>
      <c r="U203" t="s">
        <v>79</v>
      </c>
      <c r="V203" t="s">
        <v>39</v>
      </c>
      <c r="W203" s="2">
        <v>45466</v>
      </c>
      <c r="X203" s="4">
        <f ca="1">TODAY()-DATASET[[#This Row],[Time_of_Purchase]]</f>
        <v>668</v>
      </c>
      <c r="Y203" t="b">
        <v>1</v>
      </c>
      <c r="Z203" t="b">
        <v>1</v>
      </c>
      <c r="AA203" t="s">
        <v>52</v>
      </c>
      <c r="AB203" t="s">
        <v>67</v>
      </c>
      <c r="AC203">
        <v>9</v>
      </c>
    </row>
    <row r="204" spans="1:29" x14ac:dyDescent="0.25">
      <c r="A204" t="s">
        <v>495</v>
      </c>
      <c r="B204">
        <v>30</v>
      </c>
      <c r="C204" t="s">
        <v>29</v>
      </c>
      <c r="D204" t="s">
        <v>30</v>
      </c>
      <c r="E204" t="s">
        <v>76</v>
      </c>
      <c r="F204" t="s">
        <v>56</v>
      </c>
      <c r="G204" t="s">
        <v>30</v>
      </c>
      <c r="H204" t="s">
        <v>496</v>
      </c>
      <c r="I204" t="s">
        <v>142</v>
      </c>
      <c r="J204" s="1">
        <v>294.99</v>
      </c>
      <c r="K204">
        <v>4</v>
      </c>
      <c r="L204" t="s">
        <v>78</v>
      </c>
      <c r="M204">
        <v>3</v>
      </c>
      <c r="N204">
        <v>5</v>
      </c>
      <c r="O204">
        <v>2</v>
      </c>
      <c r="P204" t="s">
        <v>59</v>
      </c>
      <c r="Q204" t="s">
        <v>37</v>
      </c>
      <c r="R204">
        <v>1</v>
      </c>
      <c r="S204">
        <v>4</v>
      </c>
      <c r="T204" t="s">
        <v>44</v>
      </c>
      <c r="U204" t="s">
        <v>79</v>
      </c>
      <c r="V204" t="s">
        <v>51</v>
      </c>
      <c r="W204" s="2">
        <v>45626</v>
      </c>
      <c r="X204" s="4">
        <f ca="1">TODAY()-DATASET[[#This Row],[Time_of_Purchase]]</f>
        <v>508</v>
      </c>
      <c r="Y204" t="b">
        <v>0</v>
      </c>
      <c r="Z204" t="b">
        <v>0</v>
      </c>
      <c r="AA204" t="s">
        <v>40</v>
      </c>
      <c r="AB204" t="s">
        <v>53</v>
      </c>
      <c r="AC204">
        <v>5</v>
      </c>
    </row>
    <row r="205" spans="1:29" x14ac:dyDescent="0.25">
      <c r="A205" t="s">
        <v>497</v>
      </c>
      <c r="B205">
        <v>31</v>
      </c>
      <c r="C205" t="s">
        <v>212</v>
      </c>
      <c r="D205" t="s">
        <v>30</v>
      </c>
      <c r="E205" t="s">
        <v>76</v>
      </c>
      <c r="F205" t="s">
        <v>45</v>
      </c>
      <c r="G205" t="s">
        <v>30</v>
      </c>
      <c r="H205" t="s">
        <v>498</v>
      </c>
      <c r="I205" t="s">
        <v>58</v>
      </c>
      <c r="J205" s="1">
        <v>305.45</v>
      </c>
      <c r="K205">
        <v>2</v>
      </c>
      <c r="L205" t="s">
        <v>35</v>
      </c>
      <c r="M205">
        <v>5</v>
      </c>
      <c r="N205">
        <v>5</v>
      </c>
      <c r="O205">
        <v>1</v>
      </c>
      <c r="P205" t="s">
        <v>36</v>
      </c>
      <c r="Q205" t="s">
        <v>85</v>
      </c>
      <c r="R205">
        <v>1</v>
      </c>
      <c r="S205">
        <v>1</v>
      </c>
      <c r="T205" t="s">
        <v>44</v>
      </c>
      <c r="U205" t="s">
        <v>60</v>
      </c>
      <c r="V205" t="s">
        <v>51</v>
      </c>
      <c r="W205" s="2">
        <v>45589</v>
      </c>
      <c r="X205" s="4">
        <f ca="1">TODAY()-DATASET[[#This Row],[Time_of_Purchase]]</f>
        <v>545</v>
      </c>
      <c r="Y205" t="b">
        <v>0</v>
      </c>
      <c r="Z205" t="b">
        <v>1</v>
      </c>
      <c r="AA205" t="s">
        <v>62</v>
      </c>
      <c r="AB205" t="s">
        <v>67</v>
      </c>
      <c r="AC205">
        <v>9</v>
      </c>
    </row>
    <row r="206" spans="1:29" x14ac:dyDescent="0.25">
      <c r="A206" t="s">
        <v>499</v>
      </c>
      <c r="B206">
        <v>50</v>
      </c>
      <c r="C206" t="s">
        <v>29</v>
      </c>
      <c r="D206" t="s">
        <v>30</v>
      </c>
      <c r="E206" t="s">
        <v>69</v>
      </c>
      <c r="F206" t="s">
        <v>45</v>
      </c>
      <c r="G206" t="s">
        <v>30</v>
      </c>
      <c r="H206" t="s">
        <v>500</v>
      </c>
      <c r="I206" t="s">
        <v>126</v>
      </c>
      <c r="J206" s="1">
        <v>432.42</v>
      </c>
      <c r="K206">
        <v>2</v>
      </c>
      <c r="L206" t="s">
        <v>48</v>
      </c>
      <c r="M206">
        <v>4</v>
      </c>
      <c r="N206">
        <v>4</v>
      </c>
      <c r="O206">
        <v>0</v>
      </c>
      <c r="P206" t="s">
        <v>49</v>
      </c>
      <c r="Q206" t="s">
        <v>50</v>
      </c>
      <c r="R206">
        <v>0</v>
      </c>
      <c r="S206">
        <v>8</v>
      </c>
      <c r="T206" t="s">
        <v>36</v>
      </c>
      <c r="U206" t="s">
        <v>38</v>
      </c>
      <c r="V206" t="s">
        <v>51</v>
      </c>
      <c r="W206" s="2">
        <v>45403</v>
      </c>
      <c r="X206" s="4">
        <f ca="1">TODAY()-DATASET[[#This Row],[Time_of_Purchase]]</f>
        <v>731</v>
      </c>
      <c r="Y206" t="b">
        <v>0</v>
      </c>
      <c r="Z206" t="b">
        <v>1</v>
      </c>
      <c r="AA206" t="s">
        <v>40</v>
      </c>
      <c r="AB206" t="s">
        <v>67</v>
      </c>
      <c r="AC206">
        <v>13</v>
      </c>
    </row>
    <row r="207" spans="1:29" x14ac:dyDescent="0.25">
      <c r="A207" t="s">
        <v>501</v>
      </c>
      <c r="B207">
        <v>35</v>
      </c>
      <c r="C207" t="s">
        <v>29</v>
      </c>
      <c r="D207" t="s">
        <v>30</v>
      </c>
      <c r="E207" t="s">
        <v>55</v>
      </c>
      <c r="F207" t="s">
        <v>32</v>
      </c>
      <c r="G207" t="s">
        <v>44</v>
      </c>
      <c r="H207" t="s">
        <v>502</v>
      </c>
      <c r="I207" t="s">
        <v>34</v>
      </c>
      <c r="J207" s="1">
        <v>227.58</v>
      </c>
      <c r="K207">
        <v>11</v>
      </c>
      <c r="L207" t="s">
        <v>35</v>
      </c>
      <c r="M207">
        <v>3</v>
      </c>
      <c r="N207">
        <v>1</v>
      </c>
      <c r="O207">
        <v>1</v>
      </c>
      <c r="P207" t="s">
        <v>36</v>
      </c>
      <c r="Q207" t="s">
        <v>50</v>
      </c>
      <c r="R207">
        <v>1</v>
      </c>
      <c r="S207">
        <v>8</v>
      </c>
      <c r="T207" t="s">
        <v>44</v>
      </c>
      <c r="U207" t="s">
        <v>60</v>
      </c>
      <c r="V207" t="s">
        <v>39</v>
      </c>
      <c r="W207" s="2">
        <v>45314</v>
      </c>
      <c r="X207" s="4">
        <f ca="1">TODAY()-DATASET[[#This Row],[Time_of_Purchase]]</f>
        <v>820</v>
      </c>
      <c r="Y207" t="b">
        <v>0</v>
      </c>
      <c r="Z207" t="b">
        <v>1</v>
      </c>
      <c r="AA207" t="s">
        <v>40</v>
      </c>
      <c r="AB207" t="s">
        <v>67</v>
      </c>
      <c r="AC207">
        <v>6</v>
      </c>
    </row>
    <row r="208" spans="1:29" x14ac:dyDescent="0.25">
      <c r="A208" t="s">
        <v>503</v>
      </c>
      <c r="B208">
        <v>36</v>
      </c>
      <c r="C208" t="s">
        <v>43</v>
      </c>
      <c r="D208" t="s">
        <v>30</v>
      </c>
      <c r="E208" t="s">
        <v>55</v>
      </c>
      <c r="F208" t="s">
        <v>45</v>
      </c>
      <c r="G208" t="s">
        <v>44</v>
      </c>
      <c r="H208" t="s">
        <v>311</v>
      </c>
      <c r="I208" t="s">
        <v>126</v>
      </c>
      <c r="J208" s="1">
        <v>160.88999999999999</v>
      </c>
      <c r="K208">
        <v>10</v>
      </c>
      <c r="L208" t="s">
        <v>78</v>
      </c>
      <c r="M208">
        <v>5</v>
      </c>
      <c r="N208">
        <v>5</v>
      </c>
      <c r="O208">
        <v>2</v>
      </c>
      <c r="P208" t="s">
        <v>36</v>
      </c>
      <c r="Q208" t="s">
        <v>37</v>
      </c>
      <c r="R208">
        <v>2</v>
      </c>
      <c r="S208">
        <v>6</v>
      </c>
      <c r="T208" t="s">
        <v>49</v>
      </c>
      <c r="U208" t="s">
        <v>79</v>
      </c>
      <c r="V208" t="s">
        <v>51</v>
      </c>
      <c r="W208" s="2">
        <v>45466</v>
      </c>
      <c r="X208" s="4">
        <f ca="1">TODAY()-DATASET[[#This Row],[Time_of_Purchase]]</f>
        <v>668</v>
      </c>
      <c r="Y208" t="b">
        <v>1</v>
      </c>
      <c r="Z208" t="b">
        <v>1</v>
      </c>
      <c r="AA208" t="s">
        <v>74</v>
      </c>
      <c r="AB208" t="s">
        <v>41</v>
      </c>
      <c r="AC208">
        <v>13</v>
      </c>
    </row>
    <row r="209" spans="1:29" x14ac:dyDescent="0.25">
      <c r="A209" t="s">
        <v>504</v>
      </c>
      <c r="B209">
        <v>24</v>
      </c>
      <c r="C209" t="s">
        <v>29</v>
      </c>
      <c r="D209" t="s">
        <v>30</v>
      </c>
      <c r="E209" t="s">
        <v>31</v>
      </c>
      <c r="F209" t="s">
        <v>56</v>
      </c>
      <c r="G209" t="s">
        <v>44</v>
      </c>
      <c r="H209" t="s">
        <v>505</v>
      </c>
      <c r="I209" t="s">
        <v>98</v>
      </c>
      <c r="J209" s="1">
        <v>139.1</v>
      </c>
      <c r="K209">
        <v>7</v>
      </c>
      <c r="L209" t="s">
        <v>78</v>
      </c>
      <c r="M209">
        <v>2</v>
      </c>
      <c r="N209">
        <v>5</v>
      </c>
      <c r="O209">
        <v>0</v>
      </c>
      <c r="P209" t="s">
        <v>59</v>
      </c>
      <c r="Q209" t="s">
        <v>37</v>
      </c>
      <c r="R209">
        <v>2</v>
      </c>
      <c r="S209">
        <v>3</v>
      </c>
      <c r="T209" t="s">
        <v>49</v>
      </c>
      <c r="U209" t="s">
        <v>79</v>
      </c>
      <c r="V209" t="s">
        <v>51</v>
      </c>
      <c r="W209" s="2">
        <v>45371</v>
      </c>
      <c r="X209" s="4">
        <f ca="1">TODAY()-DATASET[[#This Row],[Time_of_Purchase]]</f>
        <v>763</v>
      </c>
      <c r="Y209" t="b">
        <v>0</v>
      </c>
      <c r="Z209" t="b">
        <v>0</v>
      </c>
      <c r="AA209" t="s">
        <v>62</v>
      </c>
      <c r="AB209" t="s">
        <v>41</v>
      </c>
      <c r="AC209">
        <v>8</v>
      </c>
    </row>
    <row r="210" spans="1:29" x14ac:dyDescent="0.25">
      <c r="A210" t="s">
        <v>506</v>
      </c>
      <c r="B210">
        <v>36</v>
      </c>
      <c r="C210" t="s">
        <v>148</v>
      </c>
      <c r="D210" t="s">
        <v>44</v>
      </c>
      <c r="E210" t="s">
        <v>31</v>
      </c>
      <c r="F210" t="s">
        <v>56</v>
      </c>
      <c r="G210" t="s">
        <v>30</v>
      </c>
      <c r="H210" t="s">
        <v>507</v>
      </c>
      <c r="I210" t="s">
        <v>71</v>
      </c>
      <c r="J210" s="1">
        <v>268.27999999999997</v>
      </c>
      <c r="K210">
        <v>9</v>
      </c>
      <c r="L210" t="s">
        <v>35</v>
      </c>
      <c r="M210">
        <v>5</v>
      </c>
      <c r="N210">
        <v>2</v>
      </c>
      <c r="O210">
        <v>2</v>
      </c>
      <c r="P210" t="s">
        <v>44</v>
      </c>
      <c r="Q210" t="s">
        <v>85</v>
      </c>
      <c r="R210">
        <v>2</v>
      </c>
      <c r="S210">
        <v>2</v>
      </c>
      <c r="T210" t="s">
        <v>44</v>
      </c>
      <c r="U210" t="s">
        <v>60</v>
      </c>
      <c r="V210" t="s">
        <v>39</v>
      </c>
      <c r="W210" s="2">
        <v>45391</v>
      </c>
      <c r="X210" s="4">
        <f ca="1">TODAY()-DATASET[[#This Row],[Time_of_Purchase]]</f>
        <v>743</v>
      </c>
      <c r="Y210" t="b">
        <v>0</v>
      </c>
      <c r="Z210" t="b">
        <v>1</v>
      </c>
      <c r="AA210" t="s">
        <v>40</v>
      </c>
      <c r="AB210" t="s">
        <v>53</v>
      </c>
      <c r="AC210">
        <v>8</v>
      </c>
    </row>
    <row r="211" spans="1:29" x14ac:dyDescent="0.25">
      <c r="A211" t="s">
        <v>508</v>
      </c>
      <c r="B211">
        <v>45</v>
      </c>
      <c r="C211" t="s">
        <v>29</v>
      </c>
      <c r="D211" t="s">
        <v>30</v>
      </c>
      <c r="E211" t="s">
        <v>55</v>
      </c>
      <c r="F211" t="s">
        <v>56</v>
      </c>
      <c r="G211" t="s">
        <v>44</v>
      </c>
      <c r="H211" t="s">
        <v>509</v>
      </c>
      <c r="I211" t="s">
        <v>90</v>
      </c>
      <c r="J211" s="1">
        <v>64.489999999999995</v>
      </c>
      <c r="K211">
        <v>6</v>
      </c>
      <c r="L211" t="s">
        <v>78</v>
      </c>
      <c r="M211">
        <v>2</v>
      </c>
      <c r="N211">
        <v>1</v>
      </c>
      <c r="O211">
        <v>0</v>
      </c>
      <c r="P211" t="s">
        <v>36</v>
      </c>
      <c r="Q211" t="s">
        <v>85</v>
      </c>
      <c r="R211">
        <v>1</v>
      </c>
      <c r="S211">
        <v>10</v>
      </c>
      <c r="T211" t="s">
        <v>36</v>
      </c>
      <c r="U211" t="s">
        <v>38</v>
      </c>
      <c r="V211" t="s">
        <v>66</v>
      </c>
      <c r="W211" s="2">
        <v>45584</v>
      </c>
      <c r="X211" s="4">
        <f ca="1">TODAY()-DATASET[[#This Row],[Time_of_Purchase]]</f>
        <v>550</v>
      </c>
      <c r="Y211" t="b">
        <v>0</v>
      </c>
      <c r="Z211" t="b">
        <v>0</v>
      </c>
      <c r="AA211" t="s">
        <v>74</v>
      </c>
      <c r="AB211" t="s">
        <v>67</v>
      </c>
      <c r="AC211">
        <v>7</v>
      </c>
    </row>
    <row r="212" spans="1:29" x14ac:dyDescent="0.25">
      <c r="A212" t="s">
        <v>510</v>
      </c>
      <c r="B212">
        <v>44</v>
      </c>
      <c r="C212" t="s">
        <v>43</v>
      </c>
      <c r="D212" t="s">
        <v>30</v>
      </c>
      <c r="E212" t="s">
        <v>69</v>
      </c>
      <c r="F212" t="s">
        <v>45</v>
      </c>
      <c r="G212" t="s">
        <v>30</v>
      </c>
      <c r="H212" t="s">
        <v>151</v>
      </c>
      <c r="I212" t="s">
        <v>135</v>
      </c>
      <c r="J212" s="1">
        <v>80.17</v>
      </c>
      <c r="K212">
        <v>10</v>
      </c>
      <c r="L212" t="s">
        <v>78</v>
      </c>
      <c r="M212">
        <v>1</v>
      </c>
      <c r="N212">
        <v>1</v>
      </c>
      <c r="O212">
        <v>1</v>
      </c>
      <c r="P212" t="s">
        <v>44</v>
      </c>
      <c r="Q212" t="s">
        <v>50</v>
      </c>
      <c r="R212">
        <v>1</v>
      </c>
      <c r="S212">
        <v>8</v>
      </c>
      <c r="T212" t="s">
        <v>36</v>
      </c>
      <c r="U212" t="s">
        <v>38</v>
      </c>
      <c r="V212" t="s">
        <v>39</v>
      </c>
      <c r="W212" s="2">
        <v>45422</v>
      </c>
      <c r="X212" s="4">
        <f ca="1">TODAY()-DATASET[[#This Row],[Time_of_Purchase]]</f>
        <v>712</v>
      </c>
      <c r="Y212" t="b">
        <v>1</v>
      </c>
      <c r="Z212" t="b">
        <v>1</v>
      </c>
      <c r="AA212" t="s">
        <v>74</v>
      </c>
      <c r="AB212" t="s">
        <v>41</v>
      </c>
      <c r="AC212">
        <v>6</v>
      </c>
    </row>
    <row r="213" spans="1:29" x14ac:dyDescent="0.25">
      <c r="A213" t="s">
        <v>511</v>
      </c>
      <c r="B213">
        <v>28</v>
      </c>
      <c r="C213" t="s">
        <v>43</v>
      </c>
      <c r="D213" t="s">
        <v>44</v>
      </c>
      <c r="E213" t="s">
        <v>31</v>
      </c>
      <c r="F213" t="s">
        <v>56</v>
      </c>
      <c r="G213" t="s">
        <v>44</v>
      </c>
      <c r="H213" t="s">
        <v>512</v>
      </c>
      <c r="I213" t="s">
        <v>158</v>
      </c>
      <c r="J213" s="1">
        <v>277.52</v>
      </c>
      <c r="K213">
        <v>11</v>
      </c>
      <c r="L213" t="s">
        <v>48</v>
      </c>
      <c r="M213">
        <v>4</v>
      </c>
      <c r="N213">
        <v>1</v>
      </c>
      <c r="O213">
        <v>0</v>
      </c>
      <c r="P213" t="s">
        <v>36</v>
      </c>
      <c r="Q213" t="s">
        <v>50</v>
      </c>
      <c r="R213">
        <v>1</v>
      </c>
      <c r="S213">
        <v>7</v>
      </c>
      <c r="T213" t="s">
        <v>49</v>
      </c>
      <c r="U213" t="s">
        <v>60</v>
      </c>
      <c r="V213" t="s">
        <v>51</v>
      </c>
      <c r="W213" s="2">
        <v>45426</v>
      </c>
      <c r="X213" s="4">
        <f ca="1">TODAY()-DATASET[[#This Row],[Time_of_Purchase]]</f>
        <v>708</v>
      </c>
      <c r="Y213" t="b">
        <v>1</v>
      </c>
      <c r="Z213" t="b">
        <v>0</v>
      </c>
      <c r="AA213" t="s">
        <v>40</v>
      </c>
      <c r="AB213" t="s">
        <v>53</v>
      </c>
      <c r="AC213">
        <v>11</v>
      </c>
    </row>
    <row r="214" spans="1:29" x14ac:dyDescent="0.25">
      <c r="A214" t="s">
        <v>513</v>
      </c>
      <c r="B214">
        <v>40</v>
      </c>
      <c r="C214" t="s">
        <v>43</v>
      </c>
      <c r="D214" t="s">
        <v>44</v>
      </c>
      <c r="E214" t="s">
        <v>69</v>
      </c>
      <c r="F214" t="s">
        <v>56</v>
      </c>
      <c r="G214" t="s">
        <v>30</v>
      </c>
      <c r="H214" t="s">
        <v>514</v>
      </c>
      <c r="I214" t="s">
        <v>142</v>
      </c>
      <c r="J214" s="1">
        <v>53.67</v>
      </c>
      <c r="K214">
        <v>7</v>
      </c>
      <c r="L214" t="s">
        <v>78</v>
      </c>
      <c r="M214">
        <v>3</v>
      </c>
      <c r="N214">
        <v>5</v>
      </c>
      <c r="O214">
        <v>1</v>
      </c>
      <c r="P214" t="s">
        <v>44</v>
      </c>
      <c r="Q214" t="s">
        <v>50</v>
      </c>
      <c r="R214">
        <v>0</v>
      </c>
      <c r="S214">
        <v>2</v>
      </c>
      <c r="T214" t="s">
        <v>44</v>
      </c>
      <c r="U214" t="s">
        <v>79</v>
      </c>
      <c r="V214" t="s">
        <v>51</v>
      </c>
      <c r="W214" s="2">
        <v>45395</v>
      </c>
      <c r="X214" s="4">
        <f ca="1">TODAY()-DATASET[[#This Row],[Time_of_Purchase]]</f>
        <v>739</v>
      </c>
      <c r="Y214" t="b">
        <v>0</v>
      </c>
      <c r="Z214" t="b">
        <v>0</v>
      </c>
      <c r="AA214" t="s">
        <v>74</v>
      </c>
      <c r="AB214" t="s">
        <v>67</v>
      </c>
      <c r="AC214">
        <v>11</v>
      </c>
    </row>
    <row r="215" spans="1:29" x14ac:dyDescent="0.25">
      <c r="A215" t="s">
        <v>515</v>
      </c>
      <c r="B215">
        <v>49</v>
      </c>
      <c r="C215" t="s">
        <v>29</v>
      </c>
      <c r="D215" t="s">
        <v>30</v>
      </c>
      <c r="E215" t="s">
        <v>69</v>
      </c>
      <c r="F215" t="s">
        <v>32</v>
      </c>
      <c r="G215" t="s">
        <v>44</v>
      </c>
      <c r="H215" t="s">
        <v>516</v>
      </c>
      <c r="I215" t="s">
        <v>58</v>
      </c>
      <c r="J215" s="1">
        <v>323.39</v>
      </c>
      <c r="K215">
        <v>10</v>
      </c>
      <c r="L215" t="s">
        <v>48</v>
      </c>
      <c r="M215">
        <v>2</v>
      </c>
      <c r="N215">
        <v>3</v>
      </c>
      <c r="O215">
        <v>2</v>
      </c>
      <c r="P215" t="s">
        <v>36</v>
      </c>
      <c r="Q215" t="s">
        <v>85</v>
      </c>
      <c r="R215">
        <v>0</v>
      </c>
      <c r="S215">
        <v>7</v>
      </c>
      <c r="T215" t="s">
        <v>44</v>
      </c>
      <c r="U215" t="s">
        <v>38</v>
      </c>
      <c r="V215" t="s">
        <v>86</v>
      </c>
      <c r="W215" s="2">
        <v>45295</v>
      </c>
      <c r="X215" s="4">
        <f ca="1">TODAY()-DATASET[[#This Row],[Time_of_Purchase]]</f>
        <v>839</v>
      </c>
      <c r="Y215" t="b">
        <v>1</v>
      </c>
      <c r="Z215" t="b">
        <v>1</v>
      </c>
      <c r="AA215" t="s">
        <v>40</v>
      </c>
      <c r="AB215" t="s">
        <v>41</v>
      </c>
      <c r="AC215">
        <v>11</v>
      </c>
    </row>
    <row r="216" spans="1:29" x14ac:dyDescent="0.25">
      <c r="A216" t="s">
        <v>517</v>
      </c>
      <c r="B216">
        <v>50</v>
      </c>
      <c r="C216" t="s">
        <v>29</v>
      </c>
      <c r="D216" t="s">
        <v>44</v>
      </c>
      <c r="E216" t="s">
        <v>55</v>
      </c>
      <c r="F216" t="s">
        <v>32</v>
      </c>
      <c r="G216" t="s">
        <v>44</v>
      </c>
      <c r="H216" t="s">
        <v>518</v>
      </c>
      <c r="I216" t="s">
        <v>90</v>
      </c>
      <c r="J216" s="1">
        <v>98.02</v>
      </c>
      <c r="K216">
        <v>5</v>
      </c>
      <c r="L216" t="s">
        <v>48</v>
      </c>
      <c r="M216">
        <v>3</v>
      </c>
      <c r="N216">
        <v>3</v>
      </c>
      <c r="O216">
        <v>1</v>
      </c>
      <c r="P216" t="s">
        <v>59</v>
      </c>
      <c r="Q216" t="s">
        <v>50</v>
      </c>
      <c r="R216">
        <v>0</v>
      </c>
      <c r="S216">
        <v>3</v>
      </c>
      <c r="T216" t="s">
        <v>44</v>
      </c>
      <c r="U216" t="s">
        <v>79</v>
      </c>
      <c r="V216" t="s">
        <v>61</v>
      </c>
      <c r="W216" s="2">
        <v>45473</v>
      </c>
      <c r="X216" s="4">
        <f ca="1">TODAY()-DATASET[[#This Row],[Time_of_Purchase]]</f>
        <v>661</v>
      </c>
      <c r="Y216" t="b">
        <v>1</v>
      </c>
      <c r="Z216" t="b">
        <v>0</v>
      </c>
      <c r="AA216" t="s">
        <v>74</v>
      </c>
      <c r="AB216" t="s">
        <v>41</v>
      </c>
      <c r="AC216">
        <v>10</v>
      </c>
    </row>
    <row r="217" spans="1:29" x14ac:dyDescent="0.25">
      <c r="A217" t="s">
        <v>519</v>
      </c>
      <c r="B217">
        <v>24</v>
      </c>
      <c r="C217" t="s">
        <v>43</v>
      </c>
      <c r="D217" t="s">
        <v>44</v>
      </c>
      <c r="E217" t="s">
        <v>76</v>
      </c>
      <c r="F217" t="s">
        <v>32</v>
      </c>
      <c r="G217" t="s">
        <v>44</v>
      </c>
      <c r="H217" t="s">
        <v>520</v>
      </c>
      <c r="I217" t="s">
        <v>194</v>
      </c>
      <c r="J217" s="1">
        <v>231.26</v>
      </c>
      <c r="K217">
        <v>10</v>
      </c>
      <c r="L217" t="s">
        <v>48</v>
      </c>
      <c r="M217">
        <v>5</v>
      </c>
      <c r="N217">
        <v>1</v>
      </c>
      <c r="O217">
        <v>2</v>
      </c>
      <c r="P217" t="s">
        <v>59</v>
      </c>
      <c r="Q217" t="s">
        <v>85</v>
      </c>
      <c r="R217">
        <v>2</v>
      </c>
      <c r="S217">
        <v>5</v>
      </c>
      <c r="T217" t="s">
        <v>59</v>
      </c>
      <c r="U217" t="s">
        <v>79</v>
      </c>
      <c r="V217" t="s">
        <v>86</v>
      </c>
      <c r="W217" s="2">
        <v>45412</v>
      </c>
      <c r="X217" s="4">
        <f ca="1">TODAY()-DATASET[[#This Row],[Time_of_Purchase]]</f>
        <v>722</v>
      </c>
      <c r="Y217" t="b">
        <v>0</v>
      </c>
      <c r="Z217" t="b">
        <v>1</v>
      </c>
      <c r="AA217" t="s">
        <v>62</v>
      </c>
      <c r="AB217" t="s">
        <v>41</v>
      </c>
      <c r="AC217">
        <v>10</v>
      </c>
    </row>
    <row r="218" spans="1:29" x14ac:dyDescent="0.25">
      <c r="A218" t="s">
        <v>521</v>
      </c>
      <c r="B218">
        <v>26</v>
      </c>
      <c r="C218" t="s">
        <v>43</v>
      </c>
      <c r="D218" t="s">
        <v>44</v>
      </c>
      <c r="E218" t="s">
        <v>55</v>
      </c>
      <c r="F218" t="s">
        <v>56</v>
      </c>
      <c r="G218" t="s">
        <v>30</v>
      </c>
      <c r="H218" t="s">
        <v>522</v>
      </c>
      <c r="I218" t="s">
        <v>47</v>
      </c>
      <c r="J218" s="1">
        <v>382.49</v>
      </c>
      <c r="K218">
        <v>6</v>
      </c>
      <c r="L218" t="s">
        <v>48</v>
      </c>
      <c r="M218">
        <v>4</v>
      </c>
      <c r="N218">
        <v>2</v>
      </c>
      <c r="O218">
        <v>2</v>
      </c>
      <c r="P218" t="s">
        <v>36</v>
      </c>
      <c r="Q218" t="s">
        <v>85</v>
      </c>
      <c r="R218">
        <v>2</v>
      </c>
      <c r="S218">
        <v>3</v>
      </c>
      <c r="T218" t="s">
        <v>49</v>
      </c>
      <c r="U218" t="s">
        <v>38</v>
      </c>
      <c r="V218" t="s">
        <v>61</v>
      </c>
      <c r="W218" s="2">
        <v>45323</v>
      </c>
      <c r="X218" s="4">
        <f ca="1">TODAY()-DATASET[[#This Row],[Time_of_Purchase]]</f>
        <v>811</v>
      </c>
      <c r="Y218" t="b">
        <v>1</v>
      </c>
      <c r="Z218" t="b">
        <v>0</v>
      </c>
      <c r="AA218" t="s">
        <v>62</v>
      </c>
      <c r="AB218" t="s">
        <v>41</v>
      </c>
      <c r="AC218">
        <v>1</v>
      </c>
    </row>
    <row r="219" spans="1:29" x14ac:dyDescent="0.25">
      <c r="A219" t="s">
        <v>523</v>
      </c>
      <c r="B219">
        <v>28</v>
      </c>
      <c r="C219" t="s">
        <v>43</v>
      </c>
      <c r="D219" t="s">
        <v>30</v>
      </c>
      <c r="E219" t="s">
        <v>76</v>
      </c>
      <c r="F219" t="s">
        <v>56</v>
      </c>
      <c r="G219" t="s">
        <v>44</v>
      </c>
      <c r="H219" t="s">
        <v>524</v>
      </c>
      <c r="I219" t="s">
        <v>194</v>
      </c>
      <c r="J219" s="1">
        <v>255.42</v>
      </c>
      <c r="K219">
        <v>9</v>
      </c>
      <c r="L219" t="s">
        <v>35</v>
      </c>
      <c r="M219">
        <v>5</v>
      </c>
      <c r="N219">
        <v>5</v>
      </c>
      <c r="O219">
        <v>2</v>
      </c>
      <c r="P219" t="s">
        <v>36</v>
      </c>
      <c r="Q219" t="s">
        <v>37</v>
      </c>
      <c r="R219">
        <v>1</v>
      </c>
      <c r="S219">
        <v>9</v>
      </c>
      <c r="T219" t="s">
        <v>36</v>
      </c>
      <c r="U219" t="s">
        <v>38</v>
      </c>
      <c r="V219" t="s">
        <v>51</v>
      </c>
      <c r="W219" s="2">
        <v>45474</v>
      </c>
      <c r="X219" s="4">
        <f ca="1">TODAY()-DATASET[[#This Row],[Time_of_Purchase]]</f>
        <v>660</v>
      </c>
      <c r="Y219" t="b">
        <v>1</v>
      </c>
      <c r="Z219" t="b">
        <v>1</v>
      </c>
      <c r="AA219" t="s">
        <v>62</v>
      </c>
      <c r="AB219" t="s">
        <v>53</v>
      </c>
      <c r="AC219">
        <v>11</v>
      </c>
    </row>
    <row r="220" spans="1:29" x14ac:dyDescent="0.25">
      <c r="A220" t="s">
        <v>525</v>
      </c>
      <c r="B220">
        <v>48</v>
      </c>
      <c r="C220" t="s">
        <v>29</v>
      </c>
      <c r="D220" t="s">
        <v>30</v>
      </c>
      <c r="E220" t="s">
        <v>55</v>
      </c>
      <c r="F220" t="s">
        <v>45</v>
      </c>
      <c r="G220" t="s">
        <v>44</v>
      </c>
      <c r="H220" t="s">
        <v>526</v>
      </c>
      <c r="I220" t="s">
        <v>126</v>
      </c>
      <c r="J220" s="1">
        <v>423.23</v>
      </c>
      <c r="K220">
        <v>12</v>
      </c>
      <c r="L220" t="s">
        <v>48</v>
      </c>
      <c r="M220">
        <v>3</v>
      </c>
      <c r="N220">
        <v>3</v>
      </c>
      <c r="O220">
        <v>2</v>
      </c>
      <c r="P220" t="s">
        <v>44</v>
      </c>
      <c r="Q220" t="s">
        <v>37</v>
      </c>
      <c r="R220">
        <v>0</v>
      </c>
      <c r="S220">
        <v>7</v>
      </c>
      <c r="T220" t="s">
        <v>59</v>
      </c>
      <c r="U220" t="s">
        <v>38</v>
      </c>
      <c r="V220" t="s">
        <v>61</v>
      </c>
      <c r="W220" s="2">
        <v>45601</v>
      </c>
      <c r="X220" s="4">
        <f ca="1">TODAY()-DATASET[[#This Row],[Time_of_Purchase]]</f>
        <v>533</v>
      </c>
      <c r="Y220" t="b">
        <v>0</v>
      </c>
      <c r="Z220" t="b">
        <v>0</v>
      </c>
      <c r="AA220" t="s">
        <v>74</v>
      </c>
      <c r="AB220" t="s">
        <v>53</v>
      </c>
      <c r="AC220">
        <v>6</v>
      </c>
    </row>
    <row r="221" spans="1:29" x14ac:dyDescent="0.25">
      <c r="A221" t="s">
        <v>527</v>
      </c>
      <c r="B221">
        <v>47</v>
      </c>
      <c r="C221" t="s">
        <v>43</v>
      </c>
      <c r="D221" t="s">
        <v>30</v>
      </c>
      <c r="E221" t="s">
        <v>55</v>
      </c>
      <c r="F221" t="s">
        <v>45</v>
      </c>
      <c r="G221" t="s">
        <v>44</v>
      </c>
      <c r="H221" t="s">
        <v>528</v>
      </c>
      <c r="I221" t="s">
        <v>188</v>
      </c>
      <c r="J221" s="1">
        <v>276.08</v>
      </c>
      <c r="K221">
        <v>4</v>
      </c>
      <c r="L221" t="s">
        <v>35</v>
      </c>
      <c r="M221">
        <v>4</v>
      </c>
      <c r="N221">
        <v>5</v>
      </c>
      <c r="O221">
        <v>0.3</v>
      </c>
      <c r="P221" t="s">
        <v>44</v>
      </c>
      <c r="Q221" t="s">
        <v>37</v>
      </c>
      <c r="R221">
        <v>2</v>
      </c>
      <c r="S221">
        <v>10</v>
      </c>
      <c r="T221" t="s">
        <v>59</v>
      </c>
      <c r="U221" t="s">
        <v>60</v>
      </c>
      <c r="V221" t="s">
        <v>39</v>
      </c>
      <c r="W221" s="2">
        <v>45320</v>
      </c>
      <c r="X221" s="4">
        <f ca="1">TODAY()-DATASET[[#This Row],[Time_of_Purchase]]</f>
        <v>814</v>
      </c>
      <c r="Y221" t="b">
        <v>0</v>
      </c>
      <c r="Z221" t="b">
        <v>1</v>
      </c>
      <c r="AA221" t="s">
        <v>40</v>
      </c>
      <c r="AB221" t="s">
        <v>41</v>
      </c>
      <c r="AC221">
        <v>10</v>
      </c>
    </row>
    <row r="222" spans="1:29" x14ac:dyDescent="0.25">
      <c r="A222" t="s">
        <v>529</v>
      </c>
      <c r="B222">
        <v>25</v>
      </c>
      <c r="C222" t="s">
        <v>43</v>
      </c>
      <c r="D222" t="s">
        <v>30</v>
      </c>
      <c r="E222" t="s">
        <v>69</v>
      </c>
      <c r="F222" t="s">
        <v>32</v>
      </c>
      <c r="G222" t="s">
        <v>30</v>
      </c>
      <c r="H222" t="s">
        <v>530</v>
      </c>
      <c r="I222" t="s">
        <v>82</v>
      </c>
      <c r="J222" s="1">
        <v>333.56</v>
      </c>
      <c r="K222">
        <v>3</v>
      </c>
      <c r="L222" t="s">
        <v>35</v>
      </c>
      <c r="M222">
        <v>4</v>
      </c>
      <c r="N222">
        <v>5</v>
      </c>
      <c r="O222">
        <v>1</v>
      </c>
      <c r="P222" t="s">
        <v>59</v>
      </c>
      <c r="Q222" t="s">
        <v>50</v>
      </c>
      <c r="R222">
        <v>2</v>
      </c>
      <c r="S222">
        <v>2</v>
      </c>
      <c r="T222" t="s">
        <v>44</v>
      </c>
      <c r="U222" t="s">
        <v>60</v>
      </c>
      <c r="V222" t="s">
        <v>66</v>
      </c>
      <c r="W222" s="2">
        <v>45590</v>
      </c>
      <c r="X222" s="4">
        <f ca="1">TODAY()-DATASET[[#This Row],[Time_of_Purchase]]</f>
        <v>544</v>
      </c>
      <c r="Y222" t="b">
        <v>1</v>
      </c>
      <c r="Z222" t="b">
        <v>1</v>
      </c>
      <c r="AA222" t="s">
        <v>62</v>
      </c>
      <c r="AB222" t="s">
        <v>41</v>
      </c>
      <c r="AC222">
        <v>14</v>
      </c>
    </row>
    <row r="223" spans="1:29" x14ac:dyDescent="0.25">
      <c r="A223" t="s">
        <v>531</v>
      </c>
      <c r="B223">
        <v>39</v>
      </c>
      <c r="C223" t="s">
        <v>43</v>
      </c>
      <c r="D223" t="s">
        <v>44</v>
      </c>
      <c r="E223" t="s">
        <v>76</v>
      </c>
      <c r="F223" t="s">
        <v>32</v>
      </c>
      <c r="G223" t="s">
        <v>30</v>
      </c>
      <c r="H223" t="s">
        <v>532</v>
      </c>
      <c r="I223" t="s">
        <v>158</v>
      </c>
      <c r="J223" s="1">
        <v>129.82</v>
      </c>
      <c r="K223">
        <v>12</v>
      </c>
      <c r="L223" t="s">
        <v>35</v>
      </c>
      <c r="M223">
        <v>1</v>
      </c>
      <c r="N223">
        <v>2</v>
      </c>
      <c r="O223">
        <v>0</v>
      </c>
      <c r="P223" t="s">
        <v>44</v>
      </c>
      <c r="Q223" t="s">
        <v>50</v>
      </c>
      <c r="R223">
        <v>2</v>
      </c>
      <c r="S223">
        <v>1</v>
      </c>
      <c r="T223" t="s">
        <v>44</v>
      </c>
      <c r="U223" t="s">
        <v>38</v>
      </c>
      <c r="V223" t="s">
        <v>86</v>
      </c>
      <c r="W223" s="2">
        <v>45446</v>
      </c>
      <c r="X223" s="4">
        <f ca="1">TODAY()-DATASET[[#This Row],[Time_of_Purchase]]</f>
        <v>688</v>
      </c>
      <c r="Y223" t="b">
        <v>0</v>
      </c>
      <c r="Z223" t="b">
        <v>0</v>
      </c>
      <c r="AA223" t="s">
        <v>62</v>
      </c>
      <c r="AB223" t="s">
        <v>53</v>
      </c>
      <c r="AC223">
        <v>8</v>
      </c>
    </row>
    <row r="224" spans="1:29" x14ac:dyDescent="0.25">
      <c r="A224" t="s">
        <v>533</v>
      </c>
      <c r="B224">
        <v>41</v>
      </c>
      <c r="C224" t="s">
        <v>29</v>
      </c>
      <c r="D224" t="s">
        <v>44</v>
      </c>
      <c r="E224" t="s">
        <v>69</v>
      </c>
      <c r="F224" t="s">
        <v>45</v>
      </c>
      <c r="G224" t="s">
        <v>44</v>
      </c>
      <c r="H224" t="s">
        <v>534</v>
      </c>
      <c r="I224" t="s">
        <v>183</v>
      </c>
      <c r="J224" s="1">
        <v>278.77999999999997</v>
      </c>
      <c r="K224">
        <v>3</v>
      </c>
      <c r="L224" t="s">
        <v>35</v>
      </c>
      <c r="M224">
        <v>5</v>
      </c>
      <c r="N224">
        <v>2</v>
      </c>
      <c r="O224">
        <v>0</v>
      </c>
      <c r="P224" t="s">
        <v>49</v>
      </c>
      <c r="Q224" t="s">
        <v>50</v>
      </c>
      <c r="R224">
        <v>0</v>
      </c>
      <c r="S224">
        <v>1</v>
      </c>
      <c r="T224" t="s">
        <v>59</v>
      </c>
      <c r="U224" t="s">
        <v>79</v>
      </c>
      <c r="V224" t="s">
        <v>39</v>
      </c>
      <c r="W224" s="2">
        <v>45457</v>
      </c>
      <c r="X224" s="4">
        <f ca="1">TODAY()-DATASET[[#This Row],[Time_of_Purchase]]</f>
        <v>677</v>
      </c>
      <c r="Y224" t="b">
        <v>1</v>
      </c>
      <c r="Z224" t="b">
        <v>0</v>
      </c>
      <c r="AA224" t="s">
        <v>52</v>
      </c>
      <c r="AB224" t="s">
        <v>53</v>
      </c>
      <c r="AC224">
        <v>2</v>
      </c>
    </row>
    <row r="225" spans="1:29" x14ac:dyDescent="0.25">
      <c r="A225" t="s">
        <v>535</v>
      </c>
      <c r="B225">
        <v>37</v>
      </c>
      <c r="C225" t="s">
        <v>43</v>
      </c>
      <c r="D225" t="s">
        <v>30</v>
      </c>
      <c r="E225" t="s">
        <v>31</v>
      </c>
      <c r="F225" t="s">
        <v>32</v>
      </c>
      <c r="G225" t="s">
        <v>44</v>
      </c>
      <c r="H225" t="s">
        <v>536</v>
      </c>
      <c r="I225" t="s">
        <v>34</v>
      </c>
      <c r="J225" s="1">
        <v>112.55</v>
      </c>
      <c r="K225">
        <v>5</v>
      </c>
      <c r="L225" t="s">
        <v>48</v>
      </c>
      <c r="M225">
        <v>1</v>
      </c>
      <c r="N225">
        <v>4</v>
      </c>
      <c r="O225">
        <v>2</v>
      </c>
      <c r="P225" t="s">
        <v>36</v>
      </c>
      <c r="Q225" t="s">
        <v>85</v>
      </c>
      <c r="R225">
        <v>2</v>
      </c>
      <c r="S225">
        <v>1</v>
      </c>
      <c r="T225" t="s">
        <v>59</v>
      </c>
      <c r="U225" t="s">
        <v>79</v>
      </c>
      <c r="V225" t="s">
        <v>39</v>
      </c>
      <c r="W225" s="2">
        <v>45587</v>
      </c>
      <c r="X225" s="4">
        <f ca="1">TODAY()-DATASET[[#This Row],[Time_of_Purchase]]</f>
        <v>547</v>
      </c>
      <c r="Y225" t="b">
        <v>1</v>
      </c>
      <c r="Z225" t="b">
        <v>0</v>
      </c>
      <c r="AA225" t="s">
        <v>74</v>
      </c>
      <c r="AB225" t="s">
        <v>53</v>
      </c>
      <c r="AC225">
        <v>2</v>
      </c>
    </row>
    <row r="226" spans="1:29" x14ac:dyDescent="0.25">
      <c r="A226" t="s">
        <v>537</v>
      </c>
      <c r="B226">
        <v>50</v>
      </c>
      <c r="C226" t="s">
        <v>29</v>
      </c>
      <c r="D226" t="s">
        <v>30</v>
      </c>
      <c r="E226" t="s">
        <v>76</v>
      </c>
      <c r="F226" t="s">
        <v>32</v>
      </c>
      <c r="G226" t="s">
        <v>44</v>
      </c>
      <c r="H226" t="s">
        <v>538</v>
      </c>
      <c r="I226" t="s">
        <v>126</v>
      </c>
      <c r="J226" s="1">
        <v>142.02000000000001</v>
      </c>
      <c r="K226">
        <v>7</v>
      </c>
      <c r="L226" t="s">
        <v>48</v>
      </c>
      <c r="M226">
        <v>1</v>
      </c>
      <c r="N226">
        <v>5</v>
      </c>
      <c r="O226">
        <v>0</v>
      </c>
      <c r="P226" t="s">
        <v>59</v>
      </c>
      <c r="Q226" t="s">
        <v>85</v>
      </c>
      <c r="R226">
        <v>1</v>
      </c>
      <c r="S226">
        <v>9</v>
      </c>
      <c r="T226" t="s">
        <v>49</v>
      </c>
      <c r="U226" t="s">
        <v>79</v>
      </c>
      <c r="V226" t="s">
        <v>86</v>
      </c>
      <c r="W226" s="2">
        <v>45482</v>
      </c>
      <c r="X226" s="4">
        <f ca="1">TODAY()-DATASET[[#This Row],[Time_of_Purchase]]</f>
        <v>652</v>
      </c>
      <c r="Y226" t="b">
        <v>1</v>
      </c>
      <c r="Z226" t="b">
        <v>0</v>
      </c>
      <c r="AA226" t="s">
        <v>62</v>
      </c>
      <c r="AB226" t="s">
        <v>53</v>
      </c>
      <c r="AC226">
        <v>3</v>
      </c>
    </row>
    <row r="227" spans="1:29" x14ac:dyDescent="0.25">
      <c r="A227" t="s">
        <v>539</v>
      </c>
      <c r="B227">
        <v>33</v>
      </c>
      <c r="C227" t="s">
        <v>29</v>
      </c>
      <c r="D227" t="s">
        <v>44</v>
      </c>
      <c r="E227" t="s">
        <v>69</v>
      </c>
      <c r="F227" t="s">
        <v>45</v>
      </c>
      <c r="G227" t="s">
        <v>44</v>
      </c>
      <c r="H227" t="s">
        <v>540</v>
      </c>
      <c r="I227" t="s">
        <v>114</v>
      </c>
      <c r="J227" s="1">
        <v>481.84</v>
      </c>
      <c r="K227">
        <v>10</v>
      </c>
      <c r="L227" t="s">
        <v>48</v>
      </c>
      <c r="M227">
        <v>1</v>
      </c>
      <c r="N227">
        <v>4</v>
      </c>
      <c r="O227">
        <v>2</v>
      </c>
      <c r="P227" t="s">
        <v>44</v>
      </c>
      <c r="Q227" t="s">
        <v>37</v>
      </c>
      <c r="R227">
        <v>1</v>
      </c>
      <c r="S227">
        <v>1</v>
      </c>
      <c r="T227" t="s">
        <v>49</v>
      </c>
      <c r="U227" t="s">
        <v>38</v>
      </c>
      <c r="V227" t="s">
        <v>86</v>
      </c>
      <c r="W227" s="2">
        <v>45518</v>
      </c>
      <c r="X227" s="4">
        <f ca="1">TODAY()-DATASET[[#This Row],[Time_of_Purchase]]</f>
        <v>616</v>
      </c>
      <c r="Y227" t="b">
        <v>0</v>
      </c>
      <c r="Z227" t="b">
        <v>0</v>
      </c>
      <c r="AA227" t="s">
        <v>52</v>
      </c>
      <c r="AB227" t="s">
        <v>67</v>
      </c>
      <c r="AC227">
        <v>9</v>
      </c>
    </row>
    <row r="228" spans="1:29" x14ac:dyDescent="0.25">
      <c r="A228" t="s">
        <v>541</v>
      </c>
      <c r="B228">
        <v>50</v>
      </c>
      <c r="C228" t="s">
        <v>274</v>
      </c>
      <c r="D228" t="s">
        <v>44</v>
      </c>
      <c r="E228" t="s">
        <v>76</v>
      </c>
      <c r="F228" t="s">
        <v>56</v>
      </c>
      <c r="G228" t="s">
        <v>30</v>
      </c>
      <c r="H228" t="s">
        <v>542</v>
      </c>
      <c r="I228" t="s">
        <v>114</v>
      </c>
      <c r="J228" s="1">
        <v>165.01</v>
      </c>
      <c r="K228">
        <v>10</v>
      </c>
      <c r="L228" t="s">
        <v>35</v>
      </c>
      <c r="M228">
        <v>1</v>
      </c>
      <c r="N228">
        <v>2</v>
      </c>
      <c r="O228">
        <v>1</v>
      </c>
      <c r="P228" t="s">
        <v>49</v>
      </c>
      <c r="Q228" t="s">
        <v>37</v>
      </c>
      <c r="R228">
        <v>1</v>
      </c>
      <c r="S228">
        <v>5</v>
      </c>
      <c r="T228" t="s">
        <v>49</v>
      </c>
      <c r="U228" t="s">
        <v>79</v>
      </c>
      <c r="V228" t="s">
        <v>51</v>
      </c>
      <c r="W228" s="2">
        <v>45399</v>
      </c>
      <c r="X228" s="4">
        <f ca="1">TODAY()-DATASET[[#This Row],[Time_of_Purchase]]</f>
        <v>735</v>
      </c>
      <c r="Y228" t="b">
        <v>1</v>
      </c>
      <c r="Z228" t="b">
        <v>0</v>
      </c>
      <c r="AA228" t="s">
        <v>62</v>
      </c>
      <c r="AB228" t="s">
        <v>41</v>
      </c>
      <c r="AC228">
        <v>10</v>
      </c>
    </row>
    <row r="229" spans="1:29" x14ac:dyDescent="0.25">
      <c r="A229" t="s">
        <v>543</v>
      </c>
      <c r="B229">
        <v>25</v>
      </c>
      <c r="C229" t="s">
        <v>43</v>
      </c>
      <c r="D229" t="s">
        <v>30</v>
      </c>
      <c r="E229" t="s">
        <v>76</v>
      </c>
      <c r="F229" t="s">
        <v>45</v>
      </c>
      <c r="G229" t="s">
        <v>30</v>
      </c>
      <c r="H229" t="s">
        <v>544</v>
      </c>
      <c r="I229" t="s">
        <v>123</v>
      </c>
      <c r="J229" s="1">
        <v>56.85</v>
      </c>
      <c r="K229">
        <v>5</v>
      </c>
      <c r="L229" t="s">
        <v>78</v>
      </c>
      <c r="M229">
        <v>2</v>
      </c>
      <c r="N229">
        <v>1</v>
      </c>
      <c r="O229">
        <v>2</v>
      </c>
      <c r="P229" t="s">
        <v>36</v>
      </c>
      <c r="Q229" t="s">
        <v>85</v>
      </c>
      <c r="R229">
        <v>0</v>
      </c>
      <c r="S229">
        <v>1</v>
      </c>
      <c r="T229" t="s">
        <v>44</v>
      </c>
      <c r="U229" t="s">
        <v>60</v>
      </c>
      <c r="V229" t="s">
        <v>86</v>
      </c>
      <c r="W229" s="2">
        <v>45612</v>
      </c>
      <c r="X229" s="4">
        <f ca="1">TODAY()-DATASET[[#This Row],[Time_of_Purchase]]</f>
        <v>522</v>
      </c>
      <c r="Y229" t="b">
        <v>1</v>
      </c>
      <c r="Z229" t="b">
        <v>0</v>
      </c>
      <c r="AA229" t="s">
        <v>52</v>
      </c>
      <c r="AB229" t="s">
        <v>53</v>
      </c>
      <c r="AC229">
        <v>14</v>
      </c>
    </row>
    <row r="230" spans="1:29" x14ac:dyDescent="0.25">
      <c r="A230" t="s">
        <v>545</v>
      </c>
      <c r="B230">
        <v>34</v>
      </c>
      <c r="C230" t="s">
        <v>274</v>
      </c>
      <c r="D230" t="s">
        <v>44</v>
      </c>
      <c r="E230" t="s">
        <v>55</v>
      </c>
      <c r="F230" t="s">
        <v>32</v>
      </c>
      <c r="G230" t="s">
        <v>44</v>
      </c>
      <c r="H230" t="s">
        <v>546</v>
      </c>
      <c r="I230" t="s">
        <v>107</v>
      </c>
      <c r="J230" s="1">
        <v>182.89</v>
      </c>
      <c r="K230">
        <v>2</v>
      </c>
      <c r="L230" t="s">
        <v>35</v>
      </c>
      <c r="M230">
        <v>5</v>
      </c>
      <c r="N230">
        <v>3</v>
      </c>
      <c r="O230">
        <v>1</v>
      </c>
      <c r="P230" t="s">
        <v>59</v>
      </c>
      <c r="Q230" t="s">
        <v>50</v>
      </c>
      <c r="R230">
        <v>1</v>
      </c>
      <c r="S230">
        <v>9</v>
      </c>
      <c r="T230" t="s">
        <v>59</v>
      </c>
      <c r="U230" t="s">
        <v>60</v>
      </c>
      <c r="V230" t="s">
        <v>51</v>
      </c>
      <c r="W230" s="2">
        <v>45516</v>
      </c>
      <c r="X230" s="4">
        <f ca="1">TODAY()-DATASET[[#This Row],[Time_of_Purchase]]</f>
        <v>618</v>
      </c>
      <c r="Y230" t="b">
        <v>0</v>
      </c>
      <c r="Z230" t="b">
        <v>0</v>
      </c>
      <c r="AA230" t="s">
        <v>52</v>
      </c>
      <c r="AB230" t="s">
        <v>67</v>
      </c>
      <c r="AC230">
        <v>5</v>
      </c>
    </row>
    <row r="231" spans="1:29" x14ac:dyDescent="0.25">
      <c r="A231" t="s">
        <v>547</v>
      </c>
      <c r="B231">
        <v>39</v>
      </c>
      <c r="C231" t="s">
        <v>43</v>
      </c>
      <c r="D231" t="s">
        <v>44</v>
      </c>
      <c r="E231" t="s">
        <v>69</v>
      </c>
      <c r="F231" t="s">
        <v>45</v>
      </c>
      <c r="G231" t="s">
        <v>44</v>
      </c>
      <c r="H231" t="s">
        <v>548</v>
      </c>
      <c r="I231" t="s">
        <v>82</v>
      </c>
      <c r="J231" s="1">
        <v>373.01</v>
      </c>
      <c r="K231">
        <v>5</v>
      </c>
      <c r="L231" t="s">
        <v>48</v>
      </c>
      <c r="M231">
        <v>5</v>
      </c>
      <c r="N231">
        <v>5</v>
      </c>
      <c r="O231">
        <v>1</v>
      </c>
      <c r="P231" t="s">
        <v>59</v>
      </c>
      <c r="Q231" t="s">
        <v>37</v>
      </c>
      <c r="R231">
        <v>1</v>
      </c>
      <c r="S231">
        <v>4</v>
      </c>
      <c r="T231" t="s">
        <v>49</v>
      </c>
      <c r="U231" t="s">
        <v>60</v>
      </c>
      <c r="V231" t="s">
        <v>51</v>
      </c>
      <c r="W231" s="2">
        <v>45500</v>
      </c>
      <c r="X231" s="4">
        <f ca="1">TODAY()-DATASET[[#This Row],[Time_of_Purchase]]</f>
        <v>634</v>
      </c>
      <c r="Y231" t="b">
        <v>0</v>
      </c>
      <c r="Z231" t="b">
        <v>1</v>
      </c>
      <c r="AA231" t="s">
        <v>62</v>
      </c>
      <c r="AB231" t="s">
        <v>67</v>
      </c>
      <c r="AC231">
        <v>8</v>
      </c>
    </row>
    <row r="232" spans="1:29" x14ac:dyDescent="0.25">
      <c r="A232" t="s">
        <v>549</v>
      </c>
      <c r="B232">
        <v>41</v>
      </c>
      <c r="C232" t="s">
        <v>43</v>
      </c>
      <c r="D232" t="s">
        <v>30</v>
      </c>
      <c r="E232" t="s">
        <v>55</v>
      </c>
      <c r="F232" t="s">
        <v>56</v>
      </c>
      <c r="G232" t="s">
        <v>30</v>
      </c>
      <c r="H232" t="s">
        <v>550</v>
      </c>
      <c r="I232" t="s">
        <v>65</v>
      </c>
      <c r="J232" s="1">
        <v>220.77</v>
      </c>
      <c r="K232">
        <v>7</v>
      </c>
      <c r="L232" t="s">
        <v>78</v>
      </c>
      <c r="M232">
        <v>4</v>
      </c>
      <c r="N232">
        <v>2</v>
      </c>
      <c r="O232">
        <v>2</v>
      </c>
      <c r="P232" t="s">
        <v>59</v>
      </c>
      <c r="Q232" t="s">
        <v>50</v>
      </c>
      <c r="R232">
        <v>2</v>
      </c>
      <c r="S232">
        <v>1</v>
      </c>
      <c r="T232" t="s">
        <v>36</v>
      </c>
      <c r="U232" t="s">
        <v>60</v>
      </c>
      <c r="V232" t="s">
        <v>61</v>
      </c>
      <c r="W232" s="2">
        <v>45397</v>
      </c>
      <c r="X232" s="4">
        <f ca="1">TODAY()-DATASET[[#This Row],[Time_of_Purchase]]</f>
        <v>737</v>
      </c>
      <c r="Y232" t="b">
        <v>1</v>
      </c>
      <c r="Z232" t="b">
        <v>1</v>
      </c>
      <c r="AA232" t="s">
        <v>40</v>
      </c>
      <c r="AB232" t="s">
        <v>53</v>
      </c>
      <c r="AC232">
        <v>11</v>
      </c>
    </row>
    <row r="233" spans="1:29" x14ac:dyDescent="0.25">
      <c r="A233" t="s">
        <v>551</v>
      </c>
      <c r="B233">
        <v>27</v>
      </c>
      <c r="C233" t="s">
        <v>43</v>
      </c>
      <c r="D233" t="s">
        <v>30</v>
      </c>
      <c r="E233" t="s">
        <v>31</v>
      </c>
      <c r="F233" t="s">
        <v>56</v>
      </c>
      <c r="G233" t="s">
        <v>44</v>
      </c>
      <c r="H233" t="s">
        <v>552</v>
      </c>
      <c r="I233" t="s">
        <v>107</v>
      </c>
      <c r="J233" s="1">
        <v>291.08999999999997</v>
      </c>
      <c r="K233">
        <v>11</v>
      </c>
      <c r="L233" t="s">
        <v>78</v>
      </c>
      <c r="M233">
        <v>2</v>
      </c>
      <c r="N233">
        <v>2</v>
      </c>
      <c r="O233">
        <v>2</v>
      </c>
      <c r="P233" t="s">
        <v>36</v>
      </c>
      <c r="Q233" t="s">
        <v>37</v>
      </c>
      <c r="R233">
        <v>0</v>
      </c>
      <c r="S233">
        <v>9</v>
      </c>
      <c r="T233" t="s">
        <v>44</v>
      </c>
      <c r="U233" t="s">
        <v>60</v>
      </c>
      <c r="V233" t="s">
        <v>51</v>
      </c>
      <c r="W233" s="2">
        <v>45571</v>
      </c>
      <c r="X233" s="4">
        <f ca="1">TODAY()-DATASET[[#This Row],[Time_of_Purchase]]</f>
        <v>563</v>
      </c>
      <c r="Y233" t="b">
        <v>1</v>
      </c>
      <c r="Z233" t="b">
        <v>0</v>
      </c>
      <c r="AA233" t="s">
        <v>40</v>
      </c>
      <c r="AB233" t="s">
        <v>41</v>
      </c>
      <c r="AC233">
        <v>1</v>
      </c>
    </row>
    <row r="234" spans="1:29" x14ac:dyDescent="0.25">
      <c r="A234" t="s">
        <v>553</v>
      </c>
      <c r="B234">
        <v>23</v>
      </c>
      <c r="C234" t="s">
        <v>274</v>
      </c>
      <c r="D234" t="s">
        <v>44</v>
      </c>
      <c r="E234" t="s">
        <v>31</v>
      </c>
      <c r="F234" t="s">
        <v>32</v>
      </c>
      <c r="G234" t="s">
        <v>30</v>
      </c>
      <c r="H234" t="s">
        <v>554</v>
      </c>
      <c r="I234" t="s">
        <v>120</v>
      </c>
      <c r="J234" s="1">
        <v>414.06</v>
      </c>
      <c r="K234">
        <v>9</v>
      </c>
      <c r="L234" t="s">
        <v>35</v>
      </c>
      <c r="M234">
        <v>1</v>
      </c>
      <c r="N234">
        <v>4</v>
      </c>
      <c r="O234">
        <v>2</v>
      </c>
      <c r="P234" t="s">
        <v>49</v>
      </c>
      <c r="Q234" t="s">
        <v>37</v>
      </c>
      <c r="R234">
        <v>2</v>
      </c>
      <c r="S234">
        <v>4</v>
      </c>
      <c r="T234" t="s">
        <v>44</v>
      </c>
      <c r="U234" t="s">
        <v>79</v>
      </c>
      <c r="V234" t="s">
        <v>51</v>
      </c>
      <c r="W234" s="2">
        <v>45622</v>
      </c>
      <c r="X234" s="4">
        <f ca="1">TODAY()-DATASET[[#This Row],[Time_of_Purchase]]</f>
        <v>512</v>
      </c>
      <c r="Y234" t="b">
        <v>1</v>
      </c>
      <c r="Z234" t="b">
        <v>0</v>
      </c>
      <c r="AA234" t="s">
        <v>74</v>
      </c>
      <c r="AB234" t="s">
        <v>67</v>
      </c>
      <c r="AC234">
        <v>2</v>
      </c>
    </row>
    <row r="235" spans="1:29" x14ac:dyDescent="0.25">
      <c r="A235" t="s">
        <v>555</v>
      </c>
      <c r="B235">
        <v>37</v>
      </c>
      <c r="C235" t="s">
        <v>43</v>
      </c>
      <c r="D235" t="s">
        <v>30</v>
      </c>
      <c r="E235" t="s">
        <v>69</v>
      </c>
      <c r="F235" t="s">
        <v>32</v>
      </c>
      <c r="G235" t="s">
        <v>30</v>
      </c>
      <c r="H235" t="s">
        <v>556</v>
      </c>
      <c r="I235" t="s">
        <v>101</v>
      </c>
      <c r="J235" s="1">
        <v>408.51</v>
      </c>
      <c r="K235">
        <v>9</v>
      </c>
      <c r="L235" t="s">
        <v>78</v>
      </c>
      <c r="M235">
        <v>2</v>
      </c>
      <c r="N235">
        <v>1</v>
      </c>
      <c r="O235">
        <v>2</v>
      </c>
      <c r="P235" t="s">
        <v>44</v>
      </c>
      <c r="Q235" t="s">
        <v>85</v>
      </c>
      <c r="R235">
        <v>0</v>
      </c>
      <c r="S235">
        <v>7</v>
      </c>
      <c r="T235" t="s">
        <v>49</v>
      </c>
      <c r="U235" t="s">
        <v>60</v>
      </c>
      <c r="V235" t="s">
        <v>39</v>
      </c>
      <c r="W235" s="2">
        <v>45438</v>
      </c>
      <c r="X235" s="4">
        <f ca="1">TODAY()-DATASET[[#This Row],[Time_of_Purchase]]</f>
        <v>696</v>
      </c>
      <c r="Y235" t="b">
        <v>1</v>
      </c>
      <c r="Z235" t="b">
        <v>0</v>
      </c>
      <c r="AA235" t="s">
        <v>52</v>
      </c>
      <c r="AB235" t="s">
        <v>67</v>
      </c>
      <c r="AC235">
        <v>1</v>
      </c>
    </row>
    <row r="236" spans="1:29" x14ac:dyDescent="0.25">
      <c r="A236" t="s">
        <v>557</v>
      </c>
      <c r="B236">
        <v>21</v>
      </c>
      <c r="C236" t="s">
        <v>43</v>
      </c>
      <c r="D236" t="s">
        <v>30</v>
      </c>
      <c r="E236" t="s">
        <v>31</v>
      </c>
      <c r="F236" t="s">
        <v>45</v>
      </c>
      <c r="G236" t="s">
        <v>44</v>
      </c>
      <c r="H236" t="s">
        <v>558</v>
      </c>
      <c r="I236" t="s">
        <v>71</v>
      </c>
      <c r="J236" s="1">
        <v>103.4</v>
      </c>
      <c r="K236">
        <v>9</v>
      </c>
      <c r="L236" t="s">
        <v>48</v>
      </c>
      <c r="M236">
        <v>4</v>
      </c>
      <c r="N236">
        <v>1</v>
      </c>
      <c r="O236">
        <v>2</v>
      </c>
      <c r="P236" t="s">
        <v>44</v>
      </c>
      <c r="Q236" t="s">
        <v>50</v>
      </c>
      <c r="R236">
        <v>1</v>
      </c>
      <c r="S236">
        <v>9</v>
      </c>
      <c r="T236" t="s">
        <v>49</v>
      </c>
      <c r="U236" t="s">
        <v>60</v>
      </c>
      <c r="V236" t="s">
        <v>61</v>
      </c>
      <c r="W236" s="2">
        <v>45600</v>
      </c>
      <c r="X236" s="4">
        <f ca="1">TODAY()-DATASET[[#This Row],[Time_of_Purchase]]</f>
        <v>534</v>
      </c>
      <c r="Y236" t="b">
        <v>1</v>
      </c>
      <c r="Z236" t="b">
        <v>0</v>
      </c>
      <c r="AA236" t="s">
        <v>74</v>
      </c>
      <c r="AB236" t="s">
        <v>53</v>
      </c>
      <c r="AC236">
        <v>9</v>
      </c>
    </row>
    <row r="237" spans="1:29" x14ac:dyDescent="0.25">
      <c r="A237" t="s">
        <v>559</v>
      </c>
      <c r="B237">
        <v>47</v>
      </c>
      <c r="C237" t="s">
        <v>43</v>
      </c>
      <c r="D237" t="s">
        <v>30</v>
      </c>
      <c r="E237" t="s">
        <v>55</v>
      </c>
      <c r="F237" t="s">
        <v>45</v>
      </c>
      <c r="G237" t="s">
        <v>44</v>
      </c>
      <c r="H237" t="s">
        <v>560</v>
      </c>
      <c r="I237" t="s">
        <v>71</v>
      </c>
      <c r="J237" s="1">
        <v>67.92</v>
      </c>
      <c r="K237">
        <v>3</v>
      </c>
      <c r="L237" t="s">
        <v>48</v>
      </c>
      <c r="M237">
        <v>1</v>
      </c>
      <c r="N237">
        <v>3</v>
      </c>
      <c r="O237">
        <v>0</v>
      </c>
      <c r="P237" t="s">
        <v>59</v>
      </c>
      <c r="Q237" t="s">
        <v>50</v>
      </c>
      <c r="R237">
        <v>1</v>
      </c>
      <c r="S237">
        <v>8</v>
      </c>
      <c r="T237" t="s">
        <v>59</v>
      </c>
      <c r="U237" t="s">
        <v>38</v>
      </c>
      <c r="V237" t="s">
        <v>86</v>
      </c>
      <c r="W237" s="2">
        <v>45583</v>
      </c>
      <c r="X237" s="4">
        <f ca="1">TODAY()-DATASET[[#This Row],[Time_of_Purchase]]</f>
        <v>551</v>
      </c>
      <c r="Y237" t="b">
        <v>0</v>
      </c>
      <c r="Z237" t="b">
        <v>1</v>
      </c>
      <c r="AA237" t="s">
        <v>62</v>
      </c>
      <c r="AB237" t="s">
        <v>67</v>
      </c>
      <c r="AC237">
        <v>10</v>
      </c>
    </row>
    <row r="238" spans="1:29" x14ac:dyDescent="0.25">
      <c r="A238" t="s">
        <v>561</v>
      </c>
      <c r="B238">
        <v>42</v>
      </c>
      <c r="C238" t="s">
        <v>274</v>
      </c>
      <c r="D238" t="s">
        <v>30</v>
      </c>
      <c r="E238" t="s">
        <v>55</v>
      </c>
      <c r="F238" t="s">
        <v>45</v>
      </c>
      <c r="G238" t="s">
        <v>30</v>
      </c>
      <c r="H238" t="s">
        <v>562</v>
      </c>
      <c r="I238" t="s">
        <v>142</v>
      </c>
      <c r="J238" s="1">
        <v>354.16</v>
      </c>
      <c r="K238">
        <v>8</v>
      </c>
      <c r="L238" t="s">
        <v>48</v>
      </c>
      <c r="M238">
        <v>1</v>
      </c>
      <c r="N238">
        <v>1</v>
      </c>
      <c r="O238">
        <v>1</v>
      </c>
      <c r="P238" t="s">
        <v>59</v>
      </c>
      <c r="Q238" t="s">
        <v>50</v>
      </c>
      <c r="R238">
        <v>2</v>
      </c>
      <c r="S238">
        <v>3</v>
      </c>
      <c r="T238" t="s">
        <v>59</v>
      </c>
      <c r="U238" t="s">
        <v>79</v>
      </c>
      <c r="V238" t="s">
        <v>39</v>
      </c>
      <c r="W238" s="2">
        <v>45456</v>
      </c>
      <c r="X238" s="4">
        <f ca="1">TODAY()-DATASET[[#This Row],[Time_of_Purchase]]</f>
        <v>678</v>
      </c>
      <c r="Y238" t="b">
        <v>1</v>
      </c>
      <c r="Z238" t="b">
        <v>0</v>
      </c>
      <c r="AA238" t="s">
        <v>74</v>
      </c>
      <c r="AB238" t="s">
        <v>67</v>
      </c>
      <c r="AC238">
        <v>5</v>
      </c>
    </row>
    <row r="239" spans="1:29" x14ac:dyDescent="0.25">
      <c r="A239" t="s">
        <v>563</v>
      </c>
      <c r="B239">
        <v>30</v>
      </c>
      <c r="C239" t="s">
        <v>43</v>
      </c>
      <c r="D239" t="s">
        <v>30</v>
      </c>
      <c r="E239" t="s">
        <v>69</v>
      </c>
      <c r="F239" t="s">
        <v>32</v>
      </c>
      <c r="G239" t="s">
        <v>30</v>
      </c>
      <c r="H239" t="s">
        <v>564</v>
      </c>
      <c r="I239" t="s">
        <v>82</v>
      </c>
      <c r="J239" s="1">
        <v>276.77</v>
      </c>
      <c r="K239">
        <v>2</v>
      </c>
      <c r="L239" t="s">
        <v>35</v>
      </c>
      <c r="M239">
        <v>1</v>
      </c>
      <c r="N239">
        <v>1</v>
      </c>
      <c r="O239">
        <v>2</v>
      </c>
      <c r="P239" t="s">
        <v>59</v>
      </c>
      <c r="Q239" t="s">
        <v>85</v>
      </c>
      <c r="R239">
        <v>1</v>
      </c>
      <c r="S239">
        <v>2</v>
      </c>
      <c r="T239" t="s">
        <v>44</v>
      </c>
      <c r="U239" t="s">
        <v>60</v>
      </c>
      <c r="V239" t="s">
        <v>86</v>
      </c>
      <c r="W239" s="2">
        <v>45354</v>
      </c>
      <c r="X239" s="4">
        <f ca="1">TODAY()-DATASET[[#This Row],[Time_of_Purchase]]</f>
        <v>780</v>
      </c>
      <c r="Y239" t="b">
        <v>1</v>
      </c>
      <c r="Z239" t="b">
        <v>1</v>
      </c>
      <c r="AA239" t="s">
        <v>52</v>
      </c>
      <c r="AB239" t="s">
        <v>41</v>
      </c>
      <c r="AC239">
        <v>4</v>
      </c>
    </row>
    <row r="240" spans="1:29" x14ac:dyDescent="0.25">
      <c r="A240" t="s">
        <v>565</v>
      </c>
      <c r="B240">
        <v>49</v>
      </c>
      <c r="C240" t="s">
        <v>43</v>
      </c>
      <c r="D240" t="s">
        <v>30</v>
      </c>
      <c r="E240" t="s">
        <v>55</v>
      </c>
      <c r="F240" t="s">
        <v>45</v>
      </c>
      <c r="G240" t="s">
        <v>30</v>
      </c>
      <c r="H240" t="s">
        <v>566</v>
      </c>
      <c r="I240" t="s">
        <v>104</v>
      </c>
      <c r="J240" s="1">
        <v>190.25</v>
      </c>
      <c r="K240">
        <v>6</v>
      </c>
      <c r="L240" t="s">
        <v>35</v>
      </c>
      <c r="M240">
        <v>4</v>
      </c>
      <c r="N240">
        <v>2</v>
      </c>
      <c r="O240">
        <v>2</v>
      </c>
      <c r="P240" t="s">
        <v>36</v>
      </c>
      <c r="Q240" t="s">
        <v>85</v>
      </c>
      <c r="R240">
        <v>2</v>
      </c>
      <c r="S240">
        <v>9</v>
      </c>
      <c r="T240" t="s">
        <v>36</v>
      </c>
      <c r="U240" t="s">
        <v>38</v>
      </c>
      <c r="V240" t="s">
        <v>51</v>
      </c>
      <c r="W240" s="2">
        <v>45446</v>
      </c>
      <c r="X240" s="4">
        <f ca="1">TODAY()-DATASET[[#This Row],[Time_of_Purchase]]</f>
        <v>688</v>
      </c>
      <c r="Y240" t="b">
        <v>0</v>
      </c>
      <c r="Z240" t="b">
        <v>0</v>
      </c>
      <c r="AA240" t="s">
        <v>74</v>
      </c>
      <c r="AB240" t="s">
        <v>67</v>
      </c>
      <c r="AC240">
        <v>13</v>
      </c>
    </row>
    <row r="241" spans="1:29" x14ac:dyDescent="0.25">
      <c r="A241" t="s">
        <v>567</v>
      </c>
      <c r="B241">
        <v>28</v>
      </c>
      <c r="C241" t="s">
        <v>29</v>
      </c>
      <c r="D241" t="s">
        <v>30</v>
      </c>
      <c r="E241" t="s">
        <v>31</v>
      </c>
      <c r="F241" t="s">
        <v>56</v>
      </c>
      <c r="G241" t="s">
        <v>30</v>
      </c>
      <c r="H241" t="s">
        <v>568</v>
      </c>
      <c r="I241" t="s">
        <v>101</v>
      </c>
      <c r="J241" s="1">
        <v>203.49</v>
      </c>
      <c r="K241">
        <v>7</v>
      </c>
      <c r="L241" t="s">
        <v>48</v>
      </c>
      <c r="M241">
        <v>4</v>
      </c>
      <c r="N241">
        <v>1</v>
      </c>
      <c r="O241">
        <v>2</v>
      </c>
      <c r="P241" t="s">
        <v>49</v>
      </c>
      <c r="Q241" t="s">
        <v>50</v>
      </c>
      <c r="R241">
        <v>1</v>
      </c>
      <c r="S241">
        <v>8</v>
      </c>
      <c r="T241" t="s">
        <v>44</v>
      </c>
      <c r="U241" t="s">
        <v>38</v>
      </c>
      <c r="V241" t="s">
        <v>86</v>
      </c>
      <c r="W241" s="2">
        <v>45514</v>
      </c>
      <c r="X241" s="4">
        <f ca="1">TODAY()-DATASET[[#This Row],[Time_of_Purchase]]</f>
        <v>620</v>
      </c>
      <c r="Y241" t="b">
        <v>0</v>
      </c>
      <c r="Z241" t="b">
        <v>1</v>
      </c>
      <c r="AA241" t="s">
        <v>40</v>
      </c>
      <c r="AB241" t="s">
        <v>67</v>
      </c>
      <c r="AC241">
        <v>11</v>
      </c>
    </row>
    <row r="242" spans="1:29" x14ac:dyDescent="0.25">
      <c r="A242" t="s">
        <v>569</v>
      </c>
      <c r="B242">
        <v>24</v>
      </c>
      <c r="C242" t="s">
        <v>43</v>
      </c>
      <c r="D242" t="s">
        <v>30</v>
      </c>
      <c r="E242" t="s">
        <v>55</v>
      </c>
      <c r="F242" t="s">
        <v>45</v>
      </c>
      <c r="G242" t="s">
        <v>44</v>
      </c>
      <c r="H242" t="s">
        <v>570</v>
      </c>
      <c r="I242" t="s">
        <v>142</v>
      </c>
      <c r="J242" s="1">
        <v>263.5</v>
      </c>
      <c r="K242">
        <v>6</v>
      </c>
      <c r="L242" t="s">
        <v>35</v>
      </c>
      <c r="M242">
        <v>3</v>
      </c>
      <c r="N242">
        <v>2</v>
      </c>
      <c r="O242">
        <v>2</v>
      </c>
      <c r="P242" t="s">
        <v>36</v>
      </c>
      <c r="Q242" t="s">
        <v>50</v>
      </c>
      <c r="R242">
        <v>0</v>
      </c>
      <c r="S242">
        <v>8</v>
      </c>
      <c r="T242" t="s">
        <v>59</v>
      </c>
      <c r="U242" t="s">
        <v>38</v>
      </c>
      <c r="V242" t="s">
        <v>61</v>
      </c>
      <c r="W242" s="2">
        <v>45614</v>
      </c>
      <c r="X242" s="4">
        <f ca="1">TODAY()-DATASET[[#This Row],[Time_of_Purchase]]</f>
        <v>520</v>
      </c>
      <c r="Y242" t="b">
        <v>0</v>
      </c>
      <c r="Z242" t="b">
        <v>0</v>
      </c>
      <c r="AA242" t="s">
        <v>74</v>
      </c>
      <c r="AB242" t="s">
        <v>53</v>
      </c>
      <c r="AC242">
        <v>1</v>
      </c>
    </row>
    <row r="243" spans="1:29" x14ac:dyDescent="0.25">
      <c r="A243" t="s">
        <v>571</v>
      </c>
      <c r="B243">
        <v>40</v>
      </c>
      <c r="C243" t="s">
        <v>29</v>
      </c>
      <c r="D243" t="s">
        <v>44</v>
      </c>
      <c r="E243" t="s">
        <v>76</v>
      </c>
      <c r="F243" t="s">
        <v>32</v>
      </c>
      <c r="G243" t="s">
        <v>30</v>
      </c>
      <c r="H243" t="s">
        <v>572</v>
      </c>
      <c r="I243" t="s">
        <v>135</v>
      </c>
      <c r="J243" s="1">
        <v>247.3</v>
      </c>
      <c r="K243">
        <v>2</v>
      </c>
      <c r="L243" t="s">
        <v>48</v>
      </c>
      <c r="M243">
        <v>4</v>
      </c>
      <c r="N243">
        <v>4</v>
      </c>
      <c r="O243">
        <v>2</v>
      </c>
      <c r="P243" t="s">
        <v>59</v>
      </c>
      <c r="Q243" t="s">
        <v>85</v>
      </c>
      <c r="R243">
        <v>0</v>
      </c>
      <c r="S243">
        <v>1</v>
      </c>
      <c r="T243" t="s">
        <v>49</v>
      </c>
      <c r="U243" t="s">
        <v>79</v>
      </c>
      <c r="V243" t="s">
        <v>39</v>
      </c>
      <c r="W243" s="2">
        <v>45330</v>
      </c>
      <c r="X243" s="4">
        <f ca="1">TODAY()-DATASET[[#This Row],[Time_of_Purchase]]</f>
        <v>804</v>
      </c>
      <c r="Y243" t="b">
        <v>1</v>
      </c>
      <c r="Z243" t="b">
        <v>1</v>
      </c>
      <c r="AA243" t="s">
        <v>52</v>
      </c>
      <c r="AB243" t="s">
        <v>41</v>
      </c>
      <c r="AC243">
        <v>11</v>
      </c>
    </row>
    <row r="244" spans="1:29" x14ac:dyDescent="0.25">
      <c r="A244" t="s">
        <v>573</v>
      </c>
      <c r="B244">
        <v>18</v>
      </c>
      <c r="C244" t="s">
        <v>43</v>
      </c>
      <c r="D244" t="s">
        <v>44</v>
      </c>
      <c r="E244" t="s">
        <v>31</v>
      </c>
      <c r="F244" t="s">
        <v>32</v>
      </c>
      <c r="G244" t="s">
        <v>30</v>
      </c>
      <c r="H244" t="s">
        <v>574</v>
      </c>
      <c r="I244" t="s">
        <v>126</v>
      </c>
      <c r="J244" s="1">
        <v>50.71</v>
      </c>
      <c r="K244">
        <v>12</v>
      </c>
      <c r="L244" t="s">
        <v>78</v>
      </c>
      <c r="M244">
        <v>4</v>
      </c>
      <c r="N244">
        <v>3</v>
      </c>
      <c r="O244">
        <v>0.3</v>
      </c>
      <c r="P244" t="s">
        <v>36</v>
      </c>
      <c r="Q244" t="s">
        <v>50</v>
      </c>
      <c r="R244">
        <v>0</v>
      </c>
      <c r="S244">
        <v>9</v>
      </c>
      <c r="T244" t="s">
        <v>49</v>
      </c>
      <c r="U244" t="s">
        <v>60</v>
      </c>
      <c r="V244" t="s">
        <v>61</v>
      </c>
      <c r="W244" s="2">
        <v>45368</v>
      </c>
      <c r="X244" s="4">
        <f ca="1">TODAY()-DATASET[[#This Row],[Time_of_Purchase]]</f>
        <v>766</v>
      </c>
      <c r="Y244" t="b">
        <v>1</v>
      </c>
      <c r="Z244" t="b">
        <v>1</v>
      </c>
      <c r="AA244" t="s">
        <v>52</v>
      </c>
      <c r="AB244" t="s">
        <v>41</v>
      </c>
      <c r="AC244">
        <v>8</v>
      </c>
    </row>
    <row r="245" spans="1:29" x14ac:dyDescent="0.25">
      <c r="A245" t="s">
        <v>575</v>
      </c>
      <c r="B245">
        <v>42</v>
      </c>
      <c r="C245" t="s">
        <v>43</v>
      </c>
      <c r="D245" t="s">
        <v>44</v>
      </c>
      <c r="E245" t="s">
        <v>31</v>
      </c>
      <c r="F245" t="s">
        <v>45</v>
      </c>
      <c r="G245" t="s">
        <v>30</v>
      </c>
      <c r="H245" t="s">
        <v>576</v>
      </c>
      <c r="I245" t="s">
        <v>58</v>
      </c>
      <c r="J245" s="1">
        <v>131.85</v>
      </c>
      <c r="K245">
        <v>4</v>
      </c>
      <c r="L245" t="s">
        <v>35</v>
      </c>
      <c r="M245">
        <v>5</v>
      </c>
      <c r="N245">
        <v>4</v>
      </c>
      <c r="O245">
        <v>2</v>
      </c>
      <c r="P245" t="s">
        <v>59</v>
      </c>
      <c r="Q245" t="s">
        <v>37</v>
      </c>
      <c r="R245">
        <v>1</v>
      </c>
      <c r="S245">
        <v>5</v>
      </c>
      <c r="T245" t="s">
        <v>49</v>
      </c>
      <c r="U245" t="s">
        <v>60</v>
      </c>
      <c r="V245" t="s">
        <v>61</v>
      </c>
      <c r="W245" s="2">
        <v>45295</v>
      </c>
      <c r="X245" s="4">
        <f ca="1">TODAY()-DATASET[[#This Row],[Time_of_Purchase]]</f>
        <v>839</v>
      </c>
      <c r="Y245" t="b">
        <v>1</v>
      </c>
      <c r="Z245" t="b">
        <v>0</v>
      </c>
      <c r="AA245" t="s">
        <v>40</v>
      </c>
      <c r="AB245" t="s">
        <v>41</v>
      </c>
      <c r="AC245">
        <v>6</v>
      </c>
    </row>
    <row r="246" spans="1:29" x14ac:dyDescent="0.25">
      <c r="A246" t="s">
        <v>577</v>
      </c>
      <c r="B246">
        <v>19</v>
      </c>
      <c r="C246" t="s">
        <v>43</v>
      </c>
      <c r="D246" t="s">
        <v>44</v>
      </c>
      <c r="E246" t="s">
        <v>31</v>
      </c>
      <c r="F246" t="s">
        <v>56</v>
      </c>
      <c r="G246" t="s">
        <v>44</v>
      </c>
      <c r="H246" t="s">
        <v>578</v>
      </c>
      <c r="I246" t="s">
        <v>188</v>
      </c>
      <c r="J246" s="1">
        <v>459.39</v>
      </c>
      <c r="K246">
        <v>6</v>
      </c>
      <c r="L246" t="s">
        <v>35</v>
      </c>
      <c r="M246">
        <v>2</v>
      </c>
      <c r="N246">
        <v>2</v>
      </c>
      <c r="O246">
        <v>0.3</v>
      </c>
      <c r="P246" t="s">
        <v>59</v>
      </c>
      <c r="Q246" t="s">
        <v>85</v>
      </c>
      <c r="R246">
        <v>2</v>
      </c>
      <c r="S246">
        <v>4</v>
      </c>
      <c r="T246" t="s">
        <v>44</v>
      </c>
      <c r="U246" t="s">
        <v>38</v>
      </c>
      <c r="V246" t="s">
        <v>39</v>
      </c>
      <c r="W246" s="2">
        <v>45564</v>
      </c>
      <c r="X246" s="4">
        <f ca="1">TODAY()-DATASET[[#This Row],[Time_of_Purchase]]</f>
        <v>570</v>
      </c>
      <c r="Y246" t="b">
        <v>0</v>
      </c>
      <c r="Z246" t="b">
        <v>0</v>
      </c>
      <c r="AA246" t="s">
        <v>74</v>
      </c>
      <c r="AB246" t="s">
        <v>41</v>
      </c>
      <c r="AC246">
        <v>14</v>
      </c>
    </row>
    <row r="247" spans="1:29" x14ac:dyDescent="0.25">
      <c r="A247" t="s">
        <v>579</v>
      </c>
      <c r="B247">
        <v>36</v>
      </c>
      <c r="C247" t="s">
        <v>29</v>
      </c>
      <c r="D247" t="s">
        <v>44</v>
      </c>
      <c r="E247" t="s">
        <v>76</v>
      </c>
      <c r="F247" t="s">
        <v>45</v>
      </c>
      <c r="G247" t="s">
        <v>30</v>
      </c>
      <c r="H247" t="s">
        <v>580</v>
      </c>
      <c r="I247" t="s">
        <v>58</v>
      </c>
      <c r="J247" s="1">
        <v>383.33</v>
      </c>
      <c r="K247">
        <v>6</v>
      </c>
      <c r="L247" t="s">
        <v>78</v>
      </c>
      <c r="M247">
        <v>3</v>
      </c>
      <c r="N247">
        <v>4</v>
      </c>
      <c r="O247">
        <v>2</v>
      </c>
      <c r="P247" t="s">
        <v>49</v>
      </c>
      <c r="Q247" t="s">
        <v>85</v>
      </c>
      <c r="R247">
        <v>1</v>
      </c>
      <c r="S247">
        <v>3</v>
      </c>
      <c r="T247" t="s">
        <v>36</v>
      </c>
      <c r="U247" t="s">
        <v>60</v>
      </c>
      <c r="V247" t="s">
        <v>39</v>
      </c>
      <c r="W247" s="2">
        <v>45509</v>
      </c>
      <c r="X247" s="4">
        <f ca="1">TODAY()-DATASET[[#This Row],[Time_of_Purchase]]</f>
        <v>625</v>
      </c>
      <c r="Y247" t="b">
        <v>0</v>
      </c>
      <c r="Z247" t="b">
        <v>0</v>
      </c>
      <c r="AA247" t="s">
        <v>74</v>
      </c>
      <c r="AB247" t="s">
        <v>53</v>
      </c>
      <c r="AC247">
        <v>12</v>
      </c>
    </row>
    <row r="248" spans="1:29" x14ac:dyDescent="0.25">
      <c r="A248" t="s">
        <v>581</v>
      </c>
      <c r="B248">
        <v>26</v>
      </c>
      <c r="C248" t="s">
        <v>29</v>
      </c>
      <c r="D248" t="s">
        <v>44</v>
      </c>
      <c r="E248" t="s">
        <v>69</v>
      </c>
      <c r="F248" t="s">
        <v>32</v>
      </c>
      <c r="G248" t="s">
        <v>44</v>
      </c>
      <c r="H248" t="s">
        <v>582</v>
      </c>
      <c r="I248" t="s">
        <v>126</v>
      </c>
      <c r="J248" s="1">
        <v>212.08</v>
      </c>
      <c r="K248">
        <v>8</v>
      </c>
      <c r="L248" t="s">
        <v>48</v>
      </c>
      <c r="M248">
        <v>5</v>
      </c>
      <c r="N248">
        <v>5</v>
      </c>
      <c r="O248">
        <v>2</v>
      </c>
      <c r="P248" t="s">
        <v>59</v>
      </c>
      <c r="Q248" t="s">
        <v>85</v>
      </c>
      <c r="R248">
        <v>1</v>
      </c>
      <c r="S248">
        <v>9</v>
      </c>
      <c r="T248" t="s">
        <v>36</v>
      </c>
      <c r="U248" t="s">
        <v>38</v>
      </c>
      <c r="V248" t="s">
        <v>39</v>
      </c>
      <c r="W248" s="2">
        <v>45419</v>
      </c>
      <c r="X248" s="4">
        <f ca="1">TODAY()-DATASET[[#This Row],[Time_of_Purchase]]</f>
        <v>715</v>
      </c>
      <c r="Y248" t="b">
        <v>0</v>
      </c>
      <c r="Z248" t="b">
        <v>0</v>
      </c>
      <c r="AA248" t="s">
        <v>40</v>
      </c>
      <c r="AB248" t="s">
        <v>53</v>
      </c>
      <c r="AC248">
        <v>13</v>
      </c>
    </row>
    <row r="249" spans="1:29" x14ac:dyDescent="0.25">
      <c r="A249" t="s">
        <v>583</v>
      </c>
      <c r="B249">
        <v>35</v>
      </c>
      <c r="C249" t="s">
        <v>29</v>
      </c>
      <c r="D249" t="s">
        <v>44</v>
      </c>
      <c r="E249" t="s">
        <v>31</v>
      </c>
      <c r="F249" t="s">
        <v>56</v>
      </c>
      <c r="G249" t="s">
        <v>44</v>
      </c>
      <c r="H249" t="s">
        <v>584</v>
      </c>
      <c r="I249" t="s">
        <v>135</v>
      </c>
      <c r="J249" s="1">
        <v>370.73</v>
      </c>
      <c r="K249">
        <v>7</v>
      </c>
      <c r="L249" t="s">
        <v>78</v>
      </c>
      <c r="M249">
        <v>3</v>
      </c>
      <c r="N249">
        <v>2</v>
      </c>
      <c r="O249">
        <v>1</v>
      </c>
      <c r="P249" t="s">
        <v>44</v>
      </c>
      <c r="Q249" t="s">
        <v>50</v>
      </c>
      <c r="R249">
        <v>0</v>
      </c>
      <c r="S249">
        <v>9</v>
      </c>
      <c r="T249" t="s">
        <v>44</v>
      </c>
      <c r="U249" t="s">
        <v>60</v>
      </c>
      <c r="V249" t="s">
        <v>61</v>
      </c>
      <c r="W249" s="2">
        <v>45522</v>
      </c>
      <c r="X249" s="4">
        <f ca="1">TODAY()-DATASET[[#This Row],[Time_of_Purchase]]</f>
        <v>612</v>
      </c>
      <c r="Y249" t="b">
        <v>0</v>
      </c>
      <c r="Z249" t="b">
        <v>1</v>
      </c>
      <c r="AA249" t="s">
        <v>40</v>
      </c>
      <c r="AB249" t="s">
        <v>41</v>
      </c>
      <c r="AC249">
        <v>7</v>
      </c>
    </row>
    <row r="250" spans="1:29" x14ac:dyDescent="0.25">
      <c r="A250" t="s">
        <v>585</v>
      </c>
      <c r="B250">
        <v>39</v>
      </c>
      <c r="C250" t="s">
        <v>43</v>
      </c>
      <c r="D250" t="s">
        <v>44</v>
      </c>
      <c r="E250" t="s">
        <v>76</v>
      </c>
      <c r="F250" t="s">
        <v>56</v>
      </c>
      <c r="G250" t="s">
        <v>30</v>
      </c>
      <c r="H250" t="s">
        <v>586</v>
      </c>
      <c r="I250" t="s">
        <v>183</v>
      </c>
      <c r="J250" s="1">
        <v>319.66000000000003</v>
      </c>
      <c r="K250">
        <v>7</v>
      </c>
      <c r="L250" t="s">
        <v>35</v>
      </c>
      <c r="M250">
        <v>4</v>
      </c>
      <c r="N250">
        <v>2</v>
      </c>
      <c r="O250">
        <v>1</v>
      </c>
      <c r="P250" t="s">
        <v>44</v>
      </c>
      <c r="Q250" t="s">
        <v>50</v>
      </c>
      <c r="R250">
        <v>1</v>
      </c>
      <c r="S250">
        <v>10</v>
      </c>
      <c r="T250" t="s">
        <v>36</v>
      </c>
      <c r="U250" t="s">
        <v>79</v>
      </c>
      <c r="V250" t="s">
        <v>61</v>
      </c>
      <c r="W250" s="2">
        <v>45340</v>
      </c>
      <c r="X250" s="4">
        <f ca="1">TODAY()-DATASET[[#This Row],[Time_of_Purchase]]</f>
        <v>794</v>
      </c>
      <c r="Y250" t="b">
        <v>0</v>
      </c>
      <c r="Z250" t="b">
        <v>0</v>
      </c>
      <c r="AA250" t="s">
        <v>52</v>
      </c>
      <c r="AB250" t="s">
        <v>67</v>
      </c>
      <c r="AC250">
        <v>3</v>
      </c>
    </row>
    <row r="251" spans="1:29" x14ac:dyDescent="0.25">
      <c r="A251" t="s">
        <v>587</v>
      </c>
      <c r="B251">
        <v>44</v>
      </c>
      <c r="C251" t="s">
        <v>29</v>
      </c>
      <c r="D251" t="s">
        <v>30</v>
      </c>
      <c r="E251" t="s">
        <v>69</v>
      </c>
      <c r="F251" t="s">
        <v>32</v>
      </c>
      <c r="G251" t="s">
        <v>44</v>
      </c>
      <c r="H251" t="s">
        <v>588</v>
      </c>
      <c r="I251" t="s">
        <v>246</v>
      </c>
      <c r="J251" s="1">
        <v>373.05</v>
      </c>
      <c r="K251">
        <v>3</v>
      </c>
      <c r="L251" t="s">
        <v>48</v>
      </c>
      <c r="M251">
        <v>3</v>
      </c>
      <c r="N251">
        <v>4</v>
      </c>
      <c r="O251">
        <v>0.3</v>
      </c>
      <c r="P251" t="s">
        <v>59</v>
      </c>
      <c r="Q251" t="s">
        <v>50</v>
      </c>
      <c r="R251">
        <v>1</v>
      </c>
      <c r="S251">
        <v>10</v>
      </c>
      <c r="T251" t="s">
        <v>49</v>
      </c>
      <c r="U251" t="s">
        <v>38</v>
      </c>
      <c r="V251" t="s">
        <v>86</v>
      </c>
      <c r="W251" s="2">
        <v>45365</v>
      </c>
      <c r="X251" s="4">
        <f ca="1">TODAY()-DATASET[[#This Row],[Time_of_Purchase]]</f>
        <v>769</v>
      </c>
      <c r="Y251" t="b">
        <v>0</v>
      </c>
      <c r="Z251" t="b">
        <v>1</v>
      </c>
      <c r="AA251" t="s">
        <v>74</v>
      </c>
      <c r="AB251" t="s">
        <v>53</v>
      </c>
      <c r="AC251">
        <v>7</v>
      </c>
    </row>
    <row r="252" spans="1:29" x14ac:dyDescent="0.25">
      <c r="A252" t="s">
        <v>589</v>
      </c>
      <c r="B252">
        <v>19</v>
      </c>
      <c r="C252" t="s">
        <v>29</v>
      </c>
      <c r="D252" t="s">
        <v>44</v>
      </c>
      <c r="E252" t="s">
        <v>31</v>
      </c>
      <c r="F252" t="s">
        <v>32</v>
      </c>
      <c r="G252" t="s">
        <v>44</v>
      </c>
      <c r="H252" t="s">
        <v>590</v>
      </c>
      <c r="I252" t="s">
        <v>90</v>
      </c>
      <c r="J252" s="1">
        <v>393.78</v>
      </c>
      <c r="K252">
        <v>6</v>
      </c>
      <c r="L252" t="s">
        <v>78</v>
      </c>
      <c r="M252">
        <v>3</v>
      </c>
      <c r="N252">
        <v>4</v>
      </c>
      <c r="O252">
        <v>1</v>
      </c>
      <c r="P252" t="s">
        <v>49</v>
      </c>
      <c r="Q252" t="s">
        <v>85</v>
      </c>
      <c r="R252">
        <v>0</v>
      </c>
      <c r="S252">
        <v>5</v>
      </c>
      <c r="T252" t="s">
        <v>59</v>
      </c>
      <c r="U252" t="s">
        <v>38</v>
      </c>
      <c r="V252" t="s">
        <v>66</v>
      </c>
      <c r="W252" s="2">
        <v>45376</v>
      </c>
      <c r="X252" s="4">
        <f ca="1">TODAY()-DATASET[[#This Row],[Time_of_Purchase]]</f>
        <v>758</v>
      </c>
      <c r="Y252" t="b">
        <v>1</v>
      </c>
      <c r="Z252" t="b">
        <v>0</v>
      </c>
      <c r="AA252" t="s">
        <v>40</v>
      </c>
      <c r="AB252" t="s">
        <v>41</v>
      </c>
      <c r="AC252">
        <v>14</v>
      </c>
    </row>
    <row r="253" spans="1:29" x14ac:dyDescent="0.25">
      <c r="A253" t="s">
        <v>591</v>
      </c>
      <c r="B253">
        <v>27</v>
      </c>
      <c r="C253" t="s">
        <v>29</v>
      </c>
      <c r="D253" t="s">
        <v>44</v>
      </c>
      <c r="E253" t="s">
        <v>69</v>
      </c>
      <c r="F253" t="s">
        <v>56</v>
      </c>
      <c r="G253" t="s">
        <v>44</v>
      </c>
      <c r="H253" t="s">
        <v>592</v>
      </c>
      <c r="I253" t="s">
        <v>183</v>
      </c>
      <c r="J253" s="1">
        <v>245.04</v>
      </c>
      <c r="K253">
        <v>4</v>
      </c>
      <c r="L253" t="s">
        <v>78</v>
      </c>
      <c r="M253">
        <v>3</v>
      </c>
      <c r="N253">
        <v>2</v>
      </c>
      <c r="O253">
        <v>0</v>
      </c>
      <c r="P253" t="s">
        <v>44</v>
      </c>
      <c r="Q253" t="s">
        <v>50</v>
      </c>
      <c r="R253">
        <v>2</v>
      </c>
      <c r="S253">
        <v>6</v>
      </c>
      <c r="T253" t="s">
        <v>44</v>
      </c>
      <c r="U253" t="s">
        <v>38</v>
      </c>
      <c r="V253" t="s">
        <v>66</v>
      </c>
      <c r="W253" s="2">
        <v>45629</v>
      </c>
      <c r="X253" s="4">
        <f ca="1">TODAY()-DATASET[[#This Row],[Time_of_Purchase]]</f>
        <v>505</v>
      </c>
      <c r="Y253" t="b">
        <v>1</v>
      </c>
      <c r="Z253" t="b">
        <v>1</v>
      </c>
      <c r="AA253" t="s">
        <v>40</v>
      </c>
      <c r="AB253" t="s">
        <v>53</v>
      </c>
      <c r="AC253">
        <v>10</v>
      </c>
    </row>
    <row r="254" spans="1:29" x14ac:dyDescent="0.25">
      <c r="A254" t="s">
        <v>593</v>
      </c>
      <c r="B254">
        <v>26</v>
      </c>
      <c r="C254" t="s">
        <v>29</v>
      </c>
      <c r="D254" t="s">
        <v>44</v>
      </c>
      <c r="E254" t="s">
        <v>76</v>
      </c>
      <c r="F254" t="s">
        <v>56</v>
      </c>
      <c r="G254" t="s">
        <v>30</v>
      </c>
      <c r="H254" t="s">
        <v>594</v>
      </c>
      <c r="I254" t="s">
        <v>188</v>
      </c>
      <c r="J254" s="1">
        <v>111.27</v>
      </c>
      <c r="K254">
        <v>3</v>
      </c>
      <c r="L254" t="s">
        <v>78</v>
      </c>
      <c r="M254">
        <v>1</v>
      </c>
      <c r="N254">
        <v>3</v>
      </c>
      <c r="O254">
        <v>1</v>
      </c>
      <c r="P254" t="s">
        <v>44</v>
      </c>
      <c r="Q254" t="s">
        <v>85</v>
      </c>
      <c r="R254">
        <v>2</v>
      </c>
      <c r="S254">
        <v>10</v>
      </c>
      <c r="T254" t="s">
        <v>36</v>
      </c>
      <c r="U254" t="s">
        <v>60</v>
      </c>
      <c r="V254" t="s">
        <v>51</v>
      </c>
      <c r="W254" s="2">
        <v>45425</v>
      </c>
      <c r="X254" s="4">
        <f ca="1">TODAY()-DATASET[[#This Row],[Time_of_Purchase]]</f>
        <v>709</v>
      </c>
      <c r="Y254" t="b">
        <v>0</v>
      </c>
      <c r="Z254" t="b">
        <v>0</v>
      </c>
      <c r="AA254" t="s">
        <v>62</v>
      </c>
      <c r="AB254" t="s">
        <v>41</v>
      </c>
      <c r="AC254">
        <v>12</v>
      </c>
    </row>
    <row r="255" spans="1:29" x14ac:dyDescent="0.25">
      <c r="A255" t="s">
        <v>595</v>
      </c>
      <c r="B255">
        <v>26</v>
      </c>
      <c r="C255" t="s">
        <v>29</v>
      </c>
      <c r="D255" t="s">
        <v>44</v>
      </c>
      <c r="E255" t="s">
        <v>55</v>
      </c>
      <c r="F255" t="s">
        <v>32</v>
      </c>
      <c r="G255" t="s">
        <v>30</v>
      </c>
      <c r="H255" t="s">
        <v>596</v>
      </c>
      <c r="I255" t="s">
        <v>123</v>
      </c>
      <c r="J255" s="1">
        <v>93.29</v>
      </c>
      <c r="K255">
        <v>11</v>
      </c>
      <c r="L255" t="s">
        <v>78</v>
      </c>
      <c r="M255">
        <v>2</v>
      </c>
      <c r="N255">
        <v>2</v>
      </c>
      <c r="O255">
        <v>0</v>
      </c>
      <c r="P255" t="s">
        <v>44</v>
      </c>
      <c r="Q255" t="s">
        <v>85</v>
      </c>
      <c r="R255">
        <v>0</v>
      </c>
      <c r="S255">
        <v>7</v>
      </c>
      <c r="T255" t="s">
        <v>59</v>
      </c>
      <c r="U255" t="s">
        <v>38</v>
      </c>
      <c r="V255" t="s">
        <v>66</v>
      </c>
      <c r="W255" s="2">
        <v>45498</v>
      </c>
      <c r="X255" s="4">
        <f ca="1">TODAY()-DATASET[[#This Row],[Time_of_Purchase]]</f>
        <v>636</v>
      </c>
      <c r="Y255" t="b">
        <v>1</v>
      </c>
      <c r="Z255" t="b">
        <v>0</v>
      </c>
      <c r="AA255" t="s">
        <v>62</v>
      </c>
      <c r="AB255" t="s">
        <v>41</v>
      </c>
      <c r="AC255">
        <v>9</v>
      </c>
    </row>
    <row r="256" spans="1:29" x14ac:dyDescent="0.25">
      <c r="A256" t="s">
        <v>597</v>
      </c>
      <c r="B256">
        <v>27</v>
      </c>
      <c r="C256" t="s">
        <v>29</v>
      </c>
      <c r="D256" t="s">
        <v>44</v>
      </c>
      <c r="E256" t="s">
        <v>31</v>
      </c>
      <c r="F256" t="s">
        <v>45</v>
      </c>
      <c r="G256" t="s">
        <v>30</v>
      </c>
      <c r="H256" t="s">
        <v>598</v>
      </c>
      <c r="I256" t="s">
        <v>107</v>
      </c>
      <c r="J256" s="1">
        <v>156.5</v>
      </c>
      <c r="K256">
        <v>5</v>
      </c>
      <c r="L256" t="s">
        <v>35</v>
      </c>
      <c r="M256">
        <v>1</v>
      </c>
      <c r="N256">
        <v>1</v>
      </c>
      <c r="O256">
        <v>1</v>
      </c>
      <c r="P256" t="s">
        <v>44</v>
      </c>
      <c r="Q256" t="s">
        <v>85</v>
      </c>
      <c r="R256">
        <v>0</v>
      </c>
      <c r="S256">
        <v>3</v>
      </c>
      <c r="T256" t="s">
        <v>44</v>
      </c>
      <c r="U256" t="s">
        <v>79</v>
      </c>
      <c r="V256" t="s">
        <v>66</v>
      </c>
      <c r="W256" s="2">
        <v>45301</v>
      </c>
      <c r="X256" s="4">
        <f ca="1">TODAY()-DATASET[[#This Row],[Time_of_Purchase]]</f>
        <v>833</v>
      </c>
      <c r="Y256" t="b">
        <v>1</v>
      </c>
      <c r="Z256" t="b">
        <v>0</v>
      </c>
      <c r="AA256" t="s">
        <v>52</v>
      </c>
      <c r="AB256" t="s">
        <v>53</v>
      </c>
      <c r="AC256">
        <v>14</v>
      </c>
    </row>
    <row r="257" spans="1:29" x14ac:dyDescent="0.25">
      <c r="A257" t="s">
        <v>599</v>
      </c>
      <c r="B257">
        <v>37</v>
      </c>
      <c r="C257" t="s">
        <v>43</v>
      </c>
      <c r="D257" t="s">
        <v>30</v>
      </c>
      <c r="E257" t="s">
        <v>55</v>
      </c>
      <c r="F257" t="s">
        <v>56</v>
      </c>
      <c r="G257" t="s">
        <v>30</v>
      </c>
      <c r="H257" t="s">
        <v>600</v>
      </c>
      <c r="I257" t="s">
        <v>114</v>
      </c>
      <c r="J257" s="1">
        <v>290.11</v>
      </c>
      <c r="K257">
        <v>8</v>
      </c>
      <c r="L257" t="s">
        <v>35</v>
      </c>
      <c r="M257">
        <v>4</v>
      </c>
      <c r="N257">
        <v>4</v>
      </c>
      <c r="O257">
        <v>1</v>
      </c>
      <c r="P257" t="s">
        <v>49</v>
      </c>
      <c r="Q257" t="s">
        <v>85</v>
      </c>
      <c r="R257">
        <v>1</v>
      </c>
      <c r="S257">
        <v>4</v>
      </c>
      <c r="T257" t="s">
        <v>49</v>
      </c>
      <c r="U257" t="s">
        <v>60</v>
      </c>
      <c r="V257" t="s">
        <v>51</v>
      </c>
      <c r="W257" s="2">
        <v>45595</v>
      </c>
      <c r="X257" s="4">
        <f ca="1">TODAY()-DATASET[[#This Row],[Time_of_Purchase]]</f>
        <v>539</v>
      </c>
      <c r="Y257" t="b">
        <v>0</v>
      </c>
      <c r="Z257" t="b">
        <v>0</v>
      </c>
      <c r="AA257" t="s">
        <v>62</v>
      </c>
      <c r="AB257" t="s">
        <v>41</v>
      </c>
      <c r="AC257">
        <v>14</v>
      </c>
    </row>
    <row r="258" spans="1:29" x14ac:dyDescent="0.25">
      <c r="A258" t="s">
        <v>601</v>
      </c>
      <c r="B258">
        <v>23</v>
      </c>
      <c r="C258" t="s">
        <v>29</v>
      </c>
      <c r="D258" t="s">
        <v>30</v>
      </c>
      <c r="E258" t="s">
        <v>55</v>
      </c>
      <c r="F258" t="s">
        <v>32</v>
      </c>
      <c r="G258" t="s">
        <v>30</v>
      </c>
      <c r="H258" t="s">
        <v>289</v>
      </c>
      <c r="I258" t="s">
        <v>120</v>
      </c>
      <c r="J258" s="1">
        <v>355.28</v>
      </c>
      <c r="K258">
        <v>3</v>
      </c>
      <c r="L258" t="s">
        <v>35</v>
      </c>
      <c r="M258">
        <v>5</v>
      </c>
      <c r="N258">
        <v>5</v>
      </c>
      <c r="O258">
        <v>0</v>
      </c>
      <c r="P258" t="s">
        <v>59</v>
      </c>
      <c r="Q258" t="s">
        <v>85</v>
      </c>
      <c r="R258">
        <v>1</v>
      </c>
      <c r="S258">
        <v>4</v>
      </c>
      <c r="T258" t="s">
        <v>59</v>
      </c>
      <c r="U258" t="s">
        <v>60</v>
      </c>
      <c r="V258" t="s">
        <v>39</v>
      </c>
      <c r="W258" s="2">
        <v>45552</v>
      </c>
      <c r="X258" s="4">
        <f ca="1">TODAY()-DATASET[[#This Row],[Time_of_Purchase]]</f>
        <v>582</v>
      </c>
      <c r="Y258" t="b">
        <v>1</v>
      </c>
      <c r="Z258" t="b">
        <v>1</v>
      </c>
      <c r="AA258" t="s">
        <v>74</v>
      </c>
      <c r="AB258" t="s">
        <v>41</v>
      </c>
      <c r="AC258">
        <v>5</v>
      </c>
    </row>
    <row r="259" spans="1:29" x14ac:dyDescent="0.25">
      <c r="A259" t="s">
        <v>602</v>
      </c>
      <c r="B259">
        <v>31</v>
      </c>
      <c r="C259" t="s">
        <v>88</v>
      </c>
      <c r="D259" t="s">
        <v>30</v>
      </c>
      <c r="E259" t="s">
        <v>55</v>
      </c>
      <c r="F259" t="s">
        <v>32</v>
      </c>
      <c r="G259" t="s">
        <v>44</v>
      </c>
      <c r="H259" t="s">
        <v>603</v>
      </c>
      <c r="I259" t="s">
        <v>34</v>
      </c>
      <c r="J259" s="1">
        <v>73.739999999999995</v>
      </c>
      <c r="K259">
        <v>7</v>
      </c>
      <c r="L259" t="s">
        <v>78</v>
      </c>
      <c r="M259">
        <v>4</v>
      </c>
      <c r="N259">
        <v>2</v>
      </c>
      <c r="O259">
        <v>0.3</v>
      </c>
      <c r="P259" t="s">
        <v>44</v>
      </c>
      <c r="Q259" t="s">
        <v>50</v>
      </c>
      <c r="R259">
        <v>1</v>
      </c>
      <c r="S259">
        <v>3</v>
      </c>
      <c r="T259" t="s">
        <v>49</v>
      </c>
      <c r="U259" t="s">
        <v>60</v>
      </c>
      <c r="V259" t="s">
        <v>66</v>
      </c>
      <c r="W259" s="2">
        <v>45521</v>
      </c>
      <c r="X259" s="4">
        <f ca="1">TODAY()-DATASET[[#This Row],[Time_of_Purchase]]</f>
        <v>613</v>
      </c>
      <c r="Y259" t="b">
        <v>0</v>
      </c>
      <c r="Z259" t="b">
        <v>0</v>
      </c>
      <c r="AA259" t="s">
        <v>52</v>
      </c>
      <c r="AB259" t="s">
        <v>53</v>
      </c>
      <c r="AC259">
        <v>13</v>
      </c>
    </row>
    <row r="260" spans="1:29" x14ac:dyDescent="0.25">
      <c r="A260" t="s">
        <v>604</v>
      </c>
      <c r="B260">
        <v>21</v>
      </c>
      <c r="C260" t="s">
        <v>29</v>
      </c>
      <c r="D260" t="s">
        <v>30</v>
      </c>
      <c r="E260" t="s">
        <v>69</v>
      </c>
      <c r="F260" t="s">
        <v>56</v>
      </c>
      <c r="G260" t="s">
        <v>30</v>
      </c>
      <c r="H260" t="s">
        <v>605</v>
      </c>
      <c r="I260" t="s">
        <v>90</v>
      </c>
      <c r="J260" s="1">
        <v>170.35</v>
      </c>
      <c r="K260">
        <v>10</v>
      </c>
      <c r="L260" t="s">
        <v>48</v>
      </c>
      <c r="M260">
        <v>2</v>
      </c>
      <c r="N260">
        <v>1</v>
      </c>
      <c r="O260">
        <v>1</v>
      </c>
      <c r="P260" t="s">
        <v>49</v>
      </c>
      <c r="Q260" t="s">
        <v>85</v>
      </c>
      <c r="R260">
        <v>1</v>
      </c>
      <c r="S260">
        <v>10</v>
      </c>
      <c r="T260" t="s">
        <v>59</v>
      </c>
      <c r="U260" t="s">
        <v>79</v>
      </c>
      <c r="V260" t="s">
        <v>86</v>
      </c>
      <c r="W260" s="2">
        <v>45446</v>
      </c>
      <c r="X260" s="4">
        <f ca="1">TODAY()-DATASET[[#This Row],[Time_of_Purchase]]</f>
        <v>688</v>
      </c>
      <c r="Y260" t="b">
        <v>1</v>
      </c>
      <c r="Z260" t="b">
        <v>1</v>
      </c>
      <c r="AA260" t="s">
        <v>40</v>
      </c>
      <c r="AB260" t="s">
        <v>53</v>
      </c>
      <c r="AC260">
        <v>1</v>
      </c>
    </row>
    <row r="261" spans="1:29" x14ac:dyDescent="0.25">
      <c r="A261" t="s">
        <v>606</v>
      </c>
      <c r="B261">
        <v>36</v>
      </c>
      <c r="C261" t="s">
        <v>29</v>
      </c>
      <c r="D261" t="s">
        <v>44</v>
      </c>
      <c r="E261" t="s">
        <v>55</v>
      </c>
      <c r="F261" t="s">
        <v>56</v>
      </c>
      <c r="G261" t="s">
        <v>30</v>
      </c>
      <c r="H261" t="s">
        <v>607</v>
      </c>
      <c r="I261" t="s">
        <v>65</v>
      </c>
      <c r="J261" s="1">
        <v>123.7</v>
      </c>
      <c r="K261">
        <v>6</v>
      </c>
      <c r="L261" t="s">
        <v>78</v>
      </c>
      <c r="M261">
        <v>2</v>
      </c>
      <c r="N261">
        <v>5</v>
      </c>
      <c r="O261">
        <v>0</v>
      </c>
      <c r="P261" t="s">
        <v>44</v>
      </c>
      <c r="Q261" t="s">
        <v>85</v>
      </c>
      <c r="R261">
        <v>1</v>
      </c>
      <c r="S261">
        <v>5</v>
      </c>
      <c r="T261" t="s">
        <v>36</v>
      </c>
      <c r="U261" t="s">
        <v>60</v>
      </c>
      <c r="V261" t="s">
        <v>66</v>
      </c>
      <c r="W261" s="2">
        <v>45501</v>
      </c>
      <c r="X261" s="4">
        <f ca="1">TODAY()-DATASET[[#This Row],[Time_of_Purchase]]</f>
        <v>633</v>
      </c>
      <c r="Y261" t="b">
        <v>0</v>
      </c>
      <c r="Z261" t="b">
        <v>0</v>
      </c>
      <c r="AA261" t="s">
        <v>62</v>
      </c>
      <c r="AB261" t="s">
        <v>67</v>
      </c>
      <c r="AC261">
        <v>2</v>
      </c>
    </row>
    <row r="262" spans="1:29" x14ac:dyDescent="0.25">
      <c r="A262" t="s">
        <v>608</v>
      </c>
      <c r="B262">
        <v>21</v>
      </c>
      <c r="C262" t="s">
        <v>29</v>
      </c>
      <c r="D262" t="s">
        <v>30</v>
      </c>
      <c r="E262" t="s">
        <v>55</v>
      </c>
      <c r="F262" t="s">
        <v>56</v>
      </c>
      <c r="G262" t="s">
        <v>44</v>
      </c>
      <c r="H262" t="s">
        <v>609</v>
      </c>
      <c r="I262" t="s">
        <v>34</v>
      </c>
      <c r="J262" s="1">
        <v>201.6</v>
      </c>
      <c r="K262">
        <v>9</v>
      </c>
      <c r="L262" t="s">
        <v>48</v>
      </c>
      <c r="M262">
        <v>1</v>
      </c>
      <c r="N262">
        <v>4</v>
      </c>
      <c r="O262">
        <v>2</v>
      </c>
      <c r="P262" t="s">
        <v>49</v>
      </c>
      <c r="Q262" t="s">
        <v>85</v>
      </c>
      <c r="R262">
        <v>1</v>
      </c>
      <c r="S262">
        <v>4</v>
      </c>
      <c r="T262" t="s">
        <v>44</v>
      </c>
      <c r="U262" t="s">
        <v>60</v>
      </c>
      <c r="V262" t="s">
        <v>51</v>
      </c>
      <c r="W262" s="2">
        <v>45589</v>
      </c>
      <c r="X262" s="4">
        <f ca="1">TODAY()-DATASET[[#This Row],[Time_of_Purchase]]</f>
        <v>545</v>
      </c>
      <c r="Y262" t="b">
        <v>0</v>
      </c>
      <c r="Z262" t="b">
        <v>0</v>
      </c>
      <c r="AA262" t="s">
        <v>62</v>
      </c>
      <c r="AB262" t="s">
        <v>67</v>
      </c>
      <c r="AC262">
        <v>14</v>
      </c>
    </row>
    <row r="263" spans="1:29" x14ac:dyDescent="0.25">
      <c r="A263" t="s">
        <v>610</v>
      </c>
      <c r="B263">
        <v>27</v>
      </c>
      <c r="C263" t="s">
        <v>29</v>
      </c>
      <c r="D263" t="s">
        <v>30</v>
      </c>
      <c r="E263" t="s">
        <v>55</v>
      </c>
      <c r="F263" t="s">
        <v>56</v>
      </c>
      <c r="G263" t="s">
        <v>44</v>
      </c>
      <c r="H263" t="s">
        <v>611</v>
      </c>
      <c r="I263" t="s">
        <v>71</v>
      </c>
      <c r="J263" s="1">
        <v>116.14</v>
      </c>
      <c r="K263">
        <v>11</v>
      </c>
      <c r="L263" t="s">
        <v>35</v>
      </c>
      <c r="M263">
        <v>1</v>
      </c>
      <c r="N263">
        <v>4</v>
      </c>
      <c r="O263">
        <v>1</v>
      </c>
      <c r="P263" t="s">
        <v>44</v>
      </c>
      <c r="Q263" t="s">
        <v>37</v>
      </c>
      <c r="R263">
        <v>0</v>
      </c>
      <c r="S263">
        <v>8</v>
      </c>
      <c r="T263" t="s">
        <v>49</v>
      </c>
      <c r="U263" t="s">
        <v>79</v>
      </c>
      <c r="V263" t="s">
        <v>39</v>
      </c>
      <c r="W263" s="2">
        <v>45383</v>
      </c>
      <c r="X263" s="4">
        <f ca="1">TODAY()-DATASET[[#This Row],[Time_of_Purchase]]</f>
        <v>751</v>
      </c>
      <c r="Y263" t="b">
        <v>0</v>
      </c>
      <c r="Z263" t="b">
        <v>1</v>
      </c>
      <c r="AA263" t="s">
        <v>52</v>
      </c>
      <c r="AB263" t="s">
        <v>67</v>
      </c>
      <c r="AC263">
        <v>14</v>
      </c>
    </row>
    <row r="264" spans="1:29" x14ac:dyDescent="0.25">
      <c r="A264" t="s">
        <v>612</v>
      </c>
      <c r="B264">
        <v>29</v>
      </c>
      <c r="C264" t="s">
        <v>29</v>
      </c>
      <c r="D264" t="s">
        <v>30</v>
      </c>
      <c r="E264" t="s">
        <v>55</v>
      </c>
      <c r="F264" t="s">
        <v>56</v>
      </c>
      <c r="G264" t="s">
        <v>44</v>
      </c>
      <c r="H264" t="s">
        <v>613</v>
      </c>
      <c r="I264" t="s">
        <v>246</v>
      </c>
      <c r="J264" s="1">
        <v>483.38</v>
      </c>
      <c r="K264">
        <v>9</v>
      </c>
      <c r="L264" t="s">
        <v>78</v>
      </c>
      <c r="M264">
        <v>2</v>
      </c>
      <c r="N264">
        <v>1</v>
      </c>
      <c r="O264">
        <v>0</v>
      </c>
      <c r="P264" t="s">
        <v>44</v>
      </c>
      <c r="Q264" t="s">
        <v>37</v>
      </c>
      <c r="R264">
        <v>2</v>
      </c>
      <c r="S264">
        <v>3</v>
      </c>
      <c r="T264" t="s">
        <v>44</v>
      </c>
      <c r="U264" t="s">
        <v>79</v>
      </c>
      <c r="V264" t="s">
        <v>66</v>
      </c>
      <c r="W264" s="2">
        <v>45452</v>
      </c>
      <c r="X264" s="4">
        <f ca="1">TODAY()-DATASET[[#This Row],[Time_of_Purchase]]</f>
        <v>682</v>
      </c>
      <c r="Y264" t="b">
        <v>0</v>
      </c>
      <c r="Z264" t="b">
        <v>1</v>
      </c>
      <c r="AA264" t="s">
        <v>40</v>
      </c>
      <c r="AB264" t="s">
        <v>53</v>
      </c>
      <c r="AC264">
        <v>8</v>
      </c>
    </row>
    <row r="265" spans="1:29" x14ac:dyDescent="0.25">
      <c r="A265" t="s">
        <v>614</v>
      </c>
      <c r="B265">
        <v>24</v>
      </c>
      <c r="C265" t="s">
        <v>43</v>
      </c>
      <c r="D265" t="s">
        <v>30</v>
      </c>
      <c r="E265" t="s">
        <v>55</v>
      </c>
      <c r="F265" t="s">
        <v>45</v>
      </c>
      <c r="G265" t="s">
        <v>30</v>
      </c>
      <c r="H265" t="s">
        <v>615</v>
      </c>
      <c r="I265" t="s">
        <v>142</v>
      </c>
      <c r="J265" s="1">
        <v>418.62</v>
      </c>
      <c r="K265">
        <v>9</v>
      </c>
      <c r="L265" t="s">
        <v>48</v>
      </c>
      <c r="M265">
        <v>1</v>
      </c>
      <c r="N265">
        <v>2</v>
      </c>
      <c r="O265">
        <v>0</v>
      </c>
      <c r="P265" t="s">
        <v>59</v>
      </c>
      <c r="Q265" t="s">
        <v>50</v>
      </c>
      <c r="R265">
        <v>0</v>
      </c>
      <c r="S265">
        <v>9</v>
      </c>
      <c r="T265" t="s">
        <v>36</v>
      </c>
      <c r="U265" t="s">
        <v>60</v>
      </c>
      <c r="V265" t="s">
        <v>66</v>
      </c>
      <c r="W265" s="2">
        <v>45610</v>
      </c>
      <c r="X265" s="4">
        <f ca="1">TODAY()-DATASET[[#This Row],[Time_of_Purchase]]</f>
        <v>524</v>
      </c>
      <c r="Y265" t="b">
        <v>1</v>
      </c>
      <c r="Z265" t="b">
        <v>0</v>
      </c>
      <c r="AA265" t="s">
        <v>40</v>
      </c>
      <c r="AB265" t="s">
        <v>53</v>
      </c>
      <c r="AC265">
        <v>11</v>
      </c>
    </row>
    <row r="266" spans="1:29" x14ac:dyDescent="0.25">
      <c r="A266" t="s">
        <v>616</v>
      </c>
      <c r="B266">
        <v>33</v>
      </c>
      <c r="C266" t="s">
        <v>29</v>
      </c>
      <c r="D266" t="s">
        <v>30</v>
      </c>
      <c r="E266" t="s">
        <v>76</v>
      </c>
      <c r="F266" t="s">
        <v>32</v>
      </c>
      <c r="G266" t="s">
        <v>30</v>
      </c>
      <c r="H266" t="s">
        <v>617</v>
      </c>
      <c r="I266" t="s">
        <v>82</v>
      </c>
      <c r="J266" s="1">
        <v>139.83000000000001</v>
      </c>
      <c r="K266">
        <v>12</v>
      </c>
      <c r="L266" t="s">
        <v>78</v>
      </c>
      <c r="M266">
        <v>2</v>
      </c>
      <c r="N266">
        <v>4</v>
      </c>
      <c r="O266">
        <v>2</v>
      </c>
      <c r="P266" t="s">
        <v>36</v>
      </c>
      <c r="Q266" t="s">
        <v>50</v>
      </c>
      <c r="R266">
        <v>0</v>
      </c>
      <c r="S266">
        <v>1</v>
      </c>
      <c r="T266" t="s">
        <v>36</v>
      </c>
      <c r="U266" t="s">
        <v>38</v>
      </c>
      <c r="V266" t="s">
        <v>86</v>
      </c>
      <c r="W266" s="2">
        <v>45573</v>
      </c>
      <c r="X266" s="4">
        <f ca="1">TODAY()-DATASET[[#This Row],[Time_of_Purchase]]</f>
        <v>561</v>
      </c>
      <c r="Y266" t="b">
        <v>0</v>
      </c>
      <c r="Z266" t="b">
        <v>0</v>
      </c>
      <c r="AA266" t="s">
        <v>62</v>
      </c>
      <c r="AB266" t="s">
        <v>67</v>
      </c>
      <c r="AC266">
        <v>10</v>
      </c>
    </row>
    <row r="267" spans="1:29" x14ac:dyDescent="0.25">
      <c r="A267" t="s">
        <v>618</v>
      </c>
      <c r="B267">
        <v>38</v>
      </c>
      <c r="C267" t="s">
        <v>29</v>
      </c>
      <c r="D267" t="s">
        <v>44</v>
      </c>
      <c r="E267" t="s">
        <v>31</v>
      </c>
      <c r="F267" t="s">
        <v>56</v>
      </c>
      <c r="G267" t="s">
        <v>30</v>
      </c>
      <c r="H267" t="s">
        <v>619</v>
      </c>
      <c r="I267" t="s">
        <v>135</v>
      </c>
      <c r="J267" s="1">
        <v>54.17</v>
      </c>
      <c r="K267">
        <v>4</v>
      </c>
      <c r="L267" t="s">
        <v>35</v>
      </c>
      <c r="M267">
        <v>4</v>
      </c>
      <c r="N267">
        <v>5</v>
      </c>
      <c r="O267">
        <v>0</v>
      </c>
      <c r="P267" t="s">
        <v>49</v>
      </c>
      <c r="Q267" t="s">
        <v>37</v>
      </c>
      <c r="R267">
        <v>2</v>
      </c>
      <c r="S267">
        <v>2</v>
      </c>
      <c r="T267" t="s">
        <v>49</v>
      </c>
      <c r="U267" t="s">
        <v>79</v>
      </c>
      <c r="V267" t="s">
        <v>39</v>
      </c>
      <c r="W267" s="2">
        <v>45302</v>
      </c>
      <c r="X267" s="4">
        <f ca="1">TODAY()-DATASET[[#This Row],[Time_of_Purchase]]</f>
        <v>832</v>
      </c>
      <c r="Y267" t="b">
        <v>0</v>
      </c>
      <c r="Z267" t="b">
        <v>1</v>
      </c>
      <c r="AA267" t="s">
        <v>74</v>
      </c>
      <c r="AB267" t="s">
        <v>41</v>
      </c>
      <c r="AC267">
        <v>7</v>
      </c>
    </row>
    <row r="268" spans="1:29" x14ac:dyDescent="0.25">
      <c r="A268" t="s">
        <v>620</v>
      </c>
      <c r="B268">
        <v>47</v>
      </c>
      <c r="C268" t="s">
        <v>43</v>
      </c>
      <c r="D268" t="s">
        <v>44</v>
      </c>
      <c r="E268" t="s">
        <v>76</v>
      </c>
      <c r="F268" t="s">
        <v>56</v>
      </c>
      <c r="G268" t="s">
        <v>44</v>
      </c>
      <c r="H268" t="s">
        <v>621</v>
      </c>
      <c r="I268" t="s">
        <v>246</v>
      </c>
      <c r="J268" s="1">
        <v>437.59</v>
      </c>
      <c r="K268">
        <v>10</v>
      </c>
      <c r="L268" t="s">
        <v>48</v>
      </c>
      <c r="M268">
        <v>1</v>
      </c>
      <c r="N268">
        <v>4</v>
      </c>
      <c r="O268">
        <v>0</v>
      </c>
      <c r="P268" t="s">
        <v>36</v>
      </c>
      <c r="Q268" t="s">
        <v>85</v>
      </c>
      <c r="R268">
        <v>0</v>
      </c>
      <c r="S268">
        <v>4</v>
      </c>
      <c r="T268" t="s">
        <v>44</v>
      </c>
      <c r="U268" t="s">
        <v>38</v>
      </c>
      <c r="V268" t="s">
        <v>39</v>
      </c>
      <c r="W268" s="2">
        <v>45348</v>
      </c>
      <c r="X268" s="4">
        <f ca="1">TODAY()-DATASET[[#This Row],[Time_of_Purchase]]</f>
        <v>786</v>
      </c>
      <c r="Y268" t="b">
        <v>1</v>
      </c>
      <c r="Z268" t="b">
        <v>1</v>
      </c>
      <c r="AA268" t="s">
        <v>62</v>
      </c>
      <c r="AB268" t="s">
        <v>67</v>
      </c>
      <c r="AC268">
        <v>9</v>
      </c>
    </row>
    <row r="269" spans="1:29" x14ac:dyDescent="0.25">
      <c r="A269" t="s">
        <v>622</v>
      </c>
      <c r="B269">
        <v>32</v>
      </c>
      <c r="C269" t="s">
        <v>43</v>
      </c>
      <c r="D269" t="s">
        <v>30</v>
      </c>
      <c r="E269" t="s">
        <v>69</v>
      </c>
      <c r="F269" t="s">
        <v>32</v>
      </c>
      <c r="G269" t="s">
        <v>44</v>
      </c>
      <c r="H269" t="s">
        <v>623</v>
      </c>
      <c r="I269" t="s">
        <v>107</v>
      </c>
      <c r="J269" s="1">
        <v>113.57</v>
      </c>
      <c r="K269">
        <v>5</v>
      </c>
      <c r="L269" t="s">
        <v>78</v>
      </c>
      <c r="M269">
        <v>4</v>
      </c>
      <c r="N269">
        <v>4</v>
      </c>
      <c r="O269">
        <v>2</v>
      </c>
      <c r="P269" t="s">
        <v>49</v>
      </c>
      <c r="Q269" t="s">
        <v>85</v>
      </c>
      <c r="R269">
        <v>1</v>
      </c>
      <c r="S269">
        <v>1</v>
      </c>
      <c r="T269" t="s">
        <v>44</v>
      </c>
      <c r="U269" t="s">
        <v>38</v>
      </c>
      <c r="V269" t="s">
        <v>86</v>
      </c>
      <c r="W269" s="2">
        <v>45597</v>
      </c>
      <c r="X269" s="4">
        <f ca="1">TODAY()-DATASET[[#This Row],[Time_of_Purchase]]</f>
        <v>537</v>
      </c>
      <c r="Y269" t="b">
        <v>0</v>
      </c>
      <c r="Z269" t="b">
        <v>1</v>
      </c>
      <c r="AA269" t="s">
        <v>52</v>
      </c>
      <c r="AB269" t="s">
        <v>53</v>
      </c>
      <c r="AC269">
        <v>8</v>
      </c>
    </row>
    <row r="270" spans="1:29" x14ac:dyDescent="0.25">
      <c r="A270" t="s">
        <v>624</v>
      </c>
      <c r="B270">
        <v>21</v>
      </c>
      <c r="C270" t="s">
        <v>88</v>
      </c>
      <c r="D270" t="s">
        <v>44</v>
      </c>
      <c r="E270" t="s">
        <v>55</v>
      </c>
      <c r="F270" t="s">
        <v>45</v>
      </c>
      <c r="G270" t="s">
        <v>44</v>
      </c>
      <c r="H270" t="s">
        <v>625</v>
      </c>
      <c r="I270" t="s">
        <v>114</v>
      </c>
      <c r="J270" s="1">
        <v>305.54000000000002</v>
      </c>
      <c r="K270">
        <v>6</v>
      </c>
      <c r="L270" t="s">
        <v>48</v>
      </c>
      <c r="M270">
        <v>3</v>
      </c>
      <c r="N270">
        <v>5</v>
      </c>
      <c r="O270">
        <v>0</v>
      </c>
      <c r="P270" t="s">
        <v>49</v>
      </c>
      <c r="Q270" t="s">
        <v>37</v>
      </c>
      <c r="R270">
        <v>0</v>
      </c>
      <c r="S270">
        <v>5</v>
      </c>
      <c r="T270" t="s">
        <v>49</v>
      </c>
      <c r="U270" t="s">
        <v>60</v>
      </c>
      <c r="V270" t="s">
        <v>66</v>
      </c>
      <c r="W270" s="2">
        <v>45379</v>
      </c>
      <c r="X270" s="4">
        <f ca="1">TODAY()-DATASET[[#This Row],[Time_of_Purchase]]</f>
        <v>755</v>
      </c>
      <c r="Y270" t="b">
        <v>1</v>
      </c>
      <c r="Z270" t="b">
        <v>0</v>
      </c>
      <c r="AA270" t="s">
        <v>52</v>
      </c>
      <c r="AB270" t="s">
        <v>41</v>
      </c>
      <c r="AC270">
        <v>7</v>
      </c>
    </row>
    <row r="271" spans="1:29" x14ac:dyDescent="0.25">
      <c r="A271" t="s">
        <v>626</v>
      </c>
      <c r="B271">
        <v>23</v>
      </c>
      <c r="C271" t="s">
        <v>29</v>
      </c>
      <c r="D271" t="s">
        <v>44</v>
      </c>
      <c r="E271" t="s">
        <v>76</v>
      </c>
      <c r="F271" t="s">
        <v>45</v>
      </c>
      <c r="G271" t="s">
        <v>44</v>
      </c>
      <c r="H271" t="s">
        <v>627</v>
      </c>
      <c r="I271" t="s">
        <v>47</v>
      </c>
      <c r="J271" s="1">
        <v>339.12</v>
      </c>
      <c r="K271">
        <v>2</v>
      </c>
      <c r="L271" t="s">
        <v>48</v>
      </c>
      <c r="M271">
        <v>4</v>
      </c>
      <c r="N271">
        <v>4</v>
      </c>
      <c r="O271">
        <v>0</v>
      </c>
      <c r="P271" t="s">
        <v>49</v>
      </c>
      <c r="Q271" t="s">
        <v>50</v>
      </c>
      <c r="R271">
        <v>0</v>
      </c>
      <c r="S271">
        <v>5</v>
      </c>
      <c r="T271" t="s">
        <v>59</v>
      </c>
      <c r="U271" t="s">
        <v>60</v>
      </c>
      <c r="V271" t="s">
        <v>51</v>
      </c>
      <c r="W271" s="2">
        <v>45299</v>
      </c>
      <c r="X271" s="4">
        <f ca="1">TODAY()-DATASET[[#This Row],[Time_of_Purchase]]</f>
        <v>835</v>
      </c>
      <c r="Y271" t="b">
        <v>0</v>
      </c>
      <c r="Z271" t="b">
        <v>0</v>
      </c>
      <c r="AA271" t="s">
        <v>62</v>
      </c>
      <c r="AB271" t="s">
        <v>41</v>
      </c>
      <c r="AC271">
        <v>1</v>
      </c>
    </row>
    <row r="272" spans="1:29" x14ac:dyDescent="0.25">
      <c r="A272" t="s">
        <v>628</v>
      </c>
      <c r="B272">
        <v>45</v>
      </c>
      <c r="C272" t="s">
        <v>190</v>
      </c>
      <c r="D272" t="s">
        <v>30</v>
      </c>
      <c r="E272" t="s">
        <v>76</v>
      </c>
      <c r="F272" t="s">
        <v>32</v>
      </c>
      <c r="G272" t="s">
        <v>44</v>
      </c>
      <c r="H272" t="s">
        <v>629</v>
      </c>
      <c r="I272" t="s">
        <v>246</v>
      </c>
      <c r="J272" s="1">
        <v>323.39999999999998</v>
      </c>
      <c r="K272">
        <v>11</v>
      </c>
      <c r="L272" t="s">
        <v>35</v>
      </c>
      <c r="M272">
        <v>2</v>
      </c>
      <c r="N272">
        <v>3</v>
      </c>
      <c r="O272">
        <v>2</v>
      </c>
      <c r="P272" t="s">
        <v>59</v>
      </c>
      <c r="Q272" t="s">
        <v>85</v>
      </c>
      <c r="R272">
        <v>0</v>
      </c>
      <c r="S272">
        <v>8</v>
      </c>
      <c r="T272" t="s">
        <v>36</v>
      </c>
      <c r="U272" t="s">
        <v>60</v>
      </c>
      <c r="V272" t="s">
        <v>39</v>
      </c>
      <c r="W272" s="2">
        <v>45350</v>
      </c>
      <c r="X272" s="4">
        <f ca="1">TODAY()-DATASET[[#This Row],[Time_of_Purchase]]</f>
        <v>784</v>
      </c>
      <c r="Y272" t="b">
        <v>1</v>
      </c>
      <c r="Z272" t="b">
        <v>1</v>
      </c>
      <c r="AA272" t="s">
        <v>40</v>
      </c>
      <c r="AB272" t="s">
        <v>53</v>
      </c>
      <c r="AC272">
        <v>10</v>
      </c>
    </row>
    <row r="273" spans="1:29" x14ac:dyDescent="0.25">
      <c r="A273" t="s">
        <v>630</v>
      </c>
      <c r="B273">
        <v>24</v>
      </c>
      <c r="C273" t="s">
        <v>148</v>
      </c>
      <c r="D273" t="s">
        <v>30</v>
      </c>
      <c r="E273" t="s">
        <v>31</v>
      </c>
      <c r="F273" t="s">
        <v>45</v>
      </c>
      <c r="G273" t="s">
        <v>30</v>
      </c>
      <c r="H273" t="s">
        <v>631</v>
      </c>
      <c r="I273" t="s">
        <v>183</v>
      </c>
      <c r="J273" s="1">
        <v>472.61</v>
      </c>
      <c r="K273">
        <v>9</v>
      </c>
      <c r="L273" t="s">
        <v>48</v>
      </c>
      <c r="M273">
        <v>5</v>
      </c>
      <c r="N273">
        <v>5</v>
      </c>
      <c r="O273">
        <v>2</v>
      </c>
      <c r="P273" t="s">
        <v>36</v>
      </c>
      <c r="Q273" t="s">
        <v>85</v>
      </c>
      <c r="R273">
        <v>1</v>
      </c>
      <c r="S273">
        <v>4</v>
      </c>
      <c r="T273" t="s">
        <v>36</v>
      </c>
      <c r="U273" t="s">
        <v>60</v>
      </c>
      <c r="V273" t="s">
        <v>51</v>
      </c>
      <c r="W273" s="2">
        <v>45550</v>
      </c>
      <c r="X273" s="4">
        <f ca="1">TODAY()-DATASET[[#This Row],[Time_of_Purchase]]</f>
        <v>584</v>
      </c>
      <c r="Y273" t="b">
        <v>1</v>
      </c>
      <c r="Z273" t="b">
        <v>1</v>
      </c>
      <c r="AA273" t="s">
        <v>62</v>
      </c>
      <c r="AB273" t="s">
        <v>67</v>
      </c>
      <c r="AC273">
        <v>5</v>
      </c>
    </row>
    <row r="274" spans="1:29" x14ac:dyDescent="0.25">
      <c r="A274" t="s">
        <v>632</v>
      </c>
      <c r="B274">
        <v>20</v>
      </c>
      <c r="C274" t="s">
        <v>29</v>
      </c>
      <c r="D274" t="s">
        <v>30</v>
      </c>
      <c r="E274" t="s">
        <v>69</v>
      </c>
      <c r="F274" t="s">
        <v>45</v>
      </c>
      <c r="G274" t="s">
        <v>30</v>
      </c>
      <c r="H274" t="s">
        <v>633</v>
      </c>
      <c r="I274" t="s">
        <v>71</v>
      </c>
      <c r="J274" s="1">
        <v>68.02</v>
      </c>
      <c r="K274">
        <v>10</v>
      </c>
      <c r="L274" t="s">
        <v>78</v>
      </c>
      <c r="M274">
        <v>3</v>
      </c>
      <c r="N274">
        <v>2</v>
      </c>
      <c r="O274">
        <v>1</v>
      </c>
      <c r="P274" t="s">
        <v>36</v>
      </c>
      <c r="Q274" t="s">
        <v>85</v>
      </c>
      <c r="R274">
        <v>1</v>
      </c>
      <c r="S274">
        <v>6</v>
      </c>
      <c r="T274" t="s">
        <v>36</v>
      </c>
      <c r="U274" t="s">
        <v>38</v>
      </c>
      <c r="V274" t="s">
        <v>39</v>
      </c>
      <c r="W274" s="2">
        <v>45597</v>
      </c>
      <c r="X274" s="4">
        <f ca="1">TODAY()-DATASET[[#This Row],[Time_of_Purchase]]</f>
        <v>537</v>
      </c>
      <c r="Y274" t="b">
        <v>1</v>
      </c>
      <c r="Z274" t="b">
        <v>1</v>
      </c>
      <c r="AA274" t="s">
        <v>40</v>
      </c>
      <c r="AB274" t="s">
        <v>67</v>
      </c>
      <c r="AC274">
        <v>6</v>
      </c>
    </row>
    <row r="275" spans="1:29" x14ac:dyDescent="0.25">
      <c r="A275" t="s">
        <v>634</v>
      </c>
      <c r="B275">
        <v>27</v>
      </c>
      <c r="C275" t="s">
        <v>43</v>
      </c>
      <c r="D275" t="s">
        <v>44</v>
      </c>
      <c r="E275" t="s">
        <v>55</v>
      </c>
      <c r="F275" t="s">
        <v>56</v>
      </c>
      <c r="G275" t="s">
        <v>30</v>
      </c>
      <c r="H275" t="s">
        <v>635</v>
      </c>
      <c r="I275" t="s">
        <v>126</v>
      </c>
      <c r="J275" s="1">
        <v>199.44</v>
      </c>
      <c r="K275">
        <v>7</v>
      </c>
      <c r="L275" t="s">
        <v>78</v>
      </c>
      <c r="M275">
        <v>2</v>
      </c>
      <c r="N275">
        <v>1</v>
      </c>
      <c r="O275">
        <v>2</v>
      </c>
      <c r="P275" t="s">
        <v>36</v>
      </c>
      <c r="Q275" t="s">
        <v>85</v>
      </c>
      <c r="R275">
        <v>0</v>
      </c>
      <c r="S275">
        <v>3</v>
      </c>
      <c r="T275" t="s">
        <v>36</v>
      </c>
      <c r="U275" t="s">
        <v>38</v>
      </c>
      <c r="V275" t="s">
        <v>86</v>
      </c>
      <c r="W275" s="2">
        <v>45487</v>
      </c>
      <c r="X275" s="4">
        <f ca="1">TODAY()-DATASET[[#This Row],[Time_of_Purchase]]</f>
        <v>647</v>
      </c>
      <c r="Y275" t="b">
        <v>0</v>
      </c>
      <c r="Z275" t="b">
        <v>1</v>
      </c>
      <c r="AA275" t="s">
        <v>40</v>
      </c>
      <c r="AB275" t="s">
        <v>53</v>
      </c>
      <c r="AC275">
        <v>1</v>
      </c>
    </row>
    <row r="276" spans="1:29" x14ac:dyDescent="0.25">
      <c r="A276" t="s">
        <v>636</v>
      </c>
      <c r="B276">
        <v>47</v>
      </c>
      <c r="C276" t="s">
        <v>43</v>
      </c>
      <c r="D276" t="s">
        <v>44</v>
      </c>
      <c r="E276" t="s">
        <v>76</v>
      </c>
      <c r="F276" t="s">
        <v>45</v>
      </c>
      <c r="G276" t="s">
        <v>30</v>
      </c>
      <c r="H276" t="s">
        <v>637</v>
      </c>
      <c r="I276" t="s">
        <v>90</v>
      </c>
      <c r="J276" s="1">
        <v>250.73</v>
      </c>
      <c r="K276">
        <v>4</v>
      </c>
      <c r="L276" t="s">
        <v>78</v>
      </c>
      <c r="M276">
        <v>3</v>
      </c>
      <c r="N276">
        <v>2</v>
      </c>
      <c r="O276">
        <v>1</v>
      </c>
      <c r="P276" t="s">
        <v>59</v>
      </c>
      <c r="Q276" t="s">
        <v>37</v>
      </c>
      <c r="R276">
        <v>1</v>
      </c>
      <c r="S276">
        <v>10</v>
      </c>
      <c r="T276" t="s">
        <v>36</v>
      </c>
      <c r="U276" t="s">
        <v>79</v>
      </c>
      <c r="V276" t="s">
        <v>86</v>
      </c>
      <c r="W276" s="2">
        <v>45406</v>
      </c>
      <c r="X276" s="4">
        <f ca="1">TODAY()-DATASET[[#This Row],[Time_of_Purchase]]</f>
        <v>728</v>
      </c>
      <c r="Y276" t="b">
        <v>0</v>
      </c>
      <c r="Z276" t="b">
        <v>1</v>
      </c>
      <c r="AA276" t="s">
        <v>74</v>
      </c>
      <c r="AB276" t="s">
        <v>41</v>
      </c>
      <c r="AC276">
        <v>10</v>
      </c>
    </row>
    <row r="277" spans="1:29" x14ac:dyDescent="0.25">
      <c r="A277" t="s">
        <v>638</v>
      </c>
      <c r="B277">
        <v>34</v>
      </c>
      <c r="C277" t="s">
        <v>43</v>
      </c>
      <c r="D277" t="s">
        <v>30</v>
      </c>
      <c r="E277" t="s">
        <v>55</v>
      </c>
      <c r="F277" t="s">
        <v>45</v>
      </c>
      <c r="G277" t="s">
        <v>30</v>
      </c>
      <c r="H277" t="s">
        <v>639</v>
      </c>
      <c r="I277" t="s">
        <v>183</v>
      </c>
      <c r="J277" s="1">
        <v>372.49</v>
      </c>
      <c r="K277">
        <v>12</v>
      </c>
      <c r="L277" t="s">
        <v>78</v>
      </c>
      <c r="M277">
        <v>4</v>
      </c>
      <c r="N277">
        <v>3</v>
      </c>
      <c r="O277">
        <v>0</v>
      </c>
      <c r="P277" t="s">
        <v>44</v>
      </c>
      <c r="Q277" t="s">
        <v>85</v>
      </c>
      <c r="R277">
        <v>0</v>
      </c>
      <c r="S277">
        <v>5</v>
      </c>
      <c r="T277" t="s">
        <v>49</v>
      </c>
      <c r="U277" t="s">
        <v>79</v>
      </c>
      <c r="V277" t="s">
        <v>61</v>
      </c>
      <c r="W277" s="2">
        <v>45526</v>
      </c>
      <c r="X277" s="4">
        <f ca="1">TODAY()-DATASET[[#This Row],[Time_of_Purchase]]</f>
        <v>608</v>
      </c>
      <c r="Y277" t="b">
        <v>1</v>
      </c>
      <c r="Z277" t="b">
        <v>0</v>
      </c>
      <c r="AA277" t="s">
        <v>74</v>
      </c>
      <c r="AB277" t="s">
        <v>41</v>
      </c>
      <c r="AC277">
        <v>7</v>
      </c>
    </row>
    <row r="278" spans="1:29" x14ac:dyDescent="0.25">
      <c r="A278" t="s">
        <v>640</v>
      </c>
      <c r="B278">
        <v>41</v>
      </c>
      <c r="C278" t="s">
        <v>43</v>
      </c>
      <c r="D278" t="s">
        <v>44</v>
      </c>
      <c r="E278" t="s">
        <v>69</v>
      </c>
      <c r="F278" t="s">
        <v>45</v>
      </c>
      <c r="G278" t="s">
        <v>44</v>
      </c>
      <c r="H278" t="s">
        <v>641</v>
      </c>
      <c r="I278" t="s">
        <v>82</v>
      </c>
      <c r="J278" s="1">
        <v>186.85</v>
      </c>
      <c r="K278">
        <v>2</v>
      </c>
      <c r="L278" t="s">
        <v>78</v>
      </c>
      <c r="M278">
        <v>3</v>
      </c>
      <c r="N278">
        <v>1</v>
      </c>
      <c r="O278">
        <v>2</v>
      </c>
      <c r="P278" t="s">
        <v>44</v>
      </c>
      <c r="Q278" t="s">
        <v>50</v>
      </c>
      <c r="R278">
        <v>2</v>
      </c>
      <c r="S278">
        <v>8</v>
      </c>
      <c r="T278" t="s">
        <v>59</v>
      </c>
      <c r="U278" t="s">
        <v>60</v>
      </c>
      <c r="V278" t="s">
        <v>66</v>
      </c>
      <c r="W278" s="2">
        <v>45342</v>
      </c>
      <c r="X278" s="4">
        <f ca="1">TODAY()-DATASET[[#This Row],[Time_of_Purchase]]</f>
        <v>792</v>
      </c>
      <c r="Y278" t="b">
        <v>1</v>
      </c>
      <c r="Z278" t="b">
        <v>0</v>
      </c>
      <c r="AA278" t="s">
        <v>62</v>
      </c>
      <c r="AB278" t="s">
        <v>67</v>
      </c>
      <c r="AC278">
        <v>12</v>
      </c>
    </row>
    <row r="279" spans="1:29" x14ac:dyDescent="0.25">
      <c r="A279" t="s">
        <v>642</v>
      </c>
      <c r="B279">
        <v>26</v>
      </c>
      <c r="C279" t="s">
        <v>43</v>
      </c>
      <c r="D279" t="s">
        <v>44</v>
      </c>
      <c r="E279" t="s">
        <v>69</v>
      </c>
      <c r="F279" t="s">
        <v>56</v>
      </c>
      <c r="G279" t="s">
        <v>30</v>
      </c>
      <c r="H279" t="s">
        <v>643</v>
      </c>
      <c r="I279" t="s">
        <v>90</v>
      </c>
      <c r="J279" s="1">
        <v>73.319999999999993</v>
      </c>
      <c r="K279">
        <v>10</v>
      </c>
      <c r="L279" t="s">
        <v>48</v>
      </c>
      <c r="M279">
        <v>5</v>
      </c>
      <c r="N279">
        <v>1</v>
      </c>
      <c r="O279">
        <v>1</v>
      </c>
      <c r="P279" t="s">
        <v>36</v>
      </c>
      <c r="Q279" t="s">
        <v>50</v>
      </c>
      <c r="R279">
        <v>1</v>
      </c>
      <c r="S279">
        <v>1</v>
      </c>
      <c r="T279" t="s">
        <v>49</v>
      </c>
      <c r="U279" t="s">
        <v>60</v>
      </c>
      <c r="V279" t="s">
        <v>61</v>
      </c>
      <c r="W279" s="2">
        <v>45318</v>
      </c>
      <c r="X279" s="4">
        <f ca="1">TODAY()-DATASET[[#This Row],[Time_of_Purchase]]</f>
        <v>816</v>
      </c>
      <c r="Y279" t="b">
        <v>1</v>
      </c>
      <c r="Z279" t="b">
        <v>0</v>
      </c>
      <c r="AA279" t="s">
        <v>52</v>
      </c>
      <c r="AB279" t="s">
        <v>53</v>
      </c>
      <c r="AC279">
        <v>14</v>
      </c>
    </row>
    <row r="280" spans="1:29" x14ac:dyDescent="0.25">
      <c r="A280" t="s">
        <v>644</v>
      </c>
      <c r="B280">
        <v>49</v>
      </c>
      <c r="C280" t="s">
        <v>43</v>
      </c>
      <c r="D280" t="s">
        <v>30</v>
      </c>
      <c r="E280" t="s">
        <v>69</v>
      </c>
      <c r="F280" t="s">
        <v>32</v>
      </c>
      <c r="G280" t="s">
        <v>30</v>
      </c>
      <c r="H280" t="s">
        <v>645</v>
      </c>
      <c r="I280" t="s">
        <v>183</v>
      </c>
      <c r="J280" s="1">
        <v>214.59</v>
      </c>
      <c r="K280">
        <v>6</v>
      </c>
      <c r="L280" t="s">
        <v>78</v>
      </c>
      <c r="M280">
        <v>1</v>
      </c>
      <c r="N280">
        <v>1</v>
      </c>
      <c r="O280">
        <v>0</v>
      </c>
      <c r="P280" t="s">
        <v>36</v>
      </c>
      <c r="Q280" t="s">
        <v>37</v>
      </c>
      <c r="R280">
        <v>1</v>
      </c>
      <c r="S280">
        <v>8</v>
      </c>
      <c r="T280" t="s">
        <v>59</v>
      </c>
      <c r="U280" t="s">
        <v>38</v>
      </c>
      <c r="V280" t="s">
        <v>66</v>
      </c>
      <c r="W280" s="2">
        <v>45331</v>
      </c>
      <c r="X280" s="4">
        <f ca="1">TODAY()-DATASET[[#This Row],[Time_of_Purchase]]</f>
        <v>803</v>
      </c>
      <c r="Y280" t="b">
        <v>1</v>
      </c>
      <c r="Z280" t="b">
        <v>0</v>
      </c>
      <c r="AA280" t="s">
        <v>52</v>
      </c>
      <c r="AB280" t="s">
        <v>53</v>
      </c>
      <c r="AC280">
        <v>9</v>
      </c>
    </row>
    <row r="281" spans="1:29" x14ac:dyDescent="0.25">
      <c r="A281" t="s">
        <v>646</v>
      </c>
      <c r="B281">
        <v>47</v>
      </c>
      <c r="C281" t="s">
        <v>29</v>
      </c>
      <c r="D281" t="s">
        <v>30</v>
      </c>
      <c r="E281" t="s">
        <v>69</v>
      </c>
      <c r="F281" t="s">
        <v>45</v>
      </c>
      <c r="G281" t="s">
        <v>30</v>
      </c>
      <c r="H281" t="s">
        <v>647</v>
      </c>
      <c r="I281" t="s">
        <v>71</v>
      </c>
      <c r="J281" s="1">
        <v>467.32</v>
      </c>
      <c r="K281">
        <v>12</v>
      </c>
      <c r="L281" t="s">
        <v>48</v>
      </c>
      <c r="M281">
        <v>4</v>
      </c>
      <c r="N281">
        <v>4</v>
      </c>
      <c r="O281">
        <v>2</v>
      </c>
      <c r="P281" t="s">
        <v>49</v>
      </c>
      <c r="Q281" t="s">
        <v>37</v>
      </c>
      <c r="R281">
        <v>2</v>
      </c>
      <c r="S281">
        <v>4</v>
      </c>
      <c r="T281" t="s">
        <v>59</v>
      </c>
      <c r="U281" t="s">
        <v>60</v>
      </c>
      <c r="V281" t="s">
        <v>51</v>
      </c>
      <c r="W281" s="2">
        <v>45319</v>
      </c>
      <c r="X281" s="4">
        <f ca="1">TODAY()-DATASET[[#This Row],[Time_of_Purchase]]</f>
        <v>815</v>
      </c>
      <c r="Y281" t="b">
        <v>0</v>
      </c>
      <c r="Z281" t="b">
        <v>1</v>
      </c>
      <c r="AA281" t="s">
        <v>40</v>
      </c>
      <c r="AB281" t="s">
        <v>41</v>
      </c>
      <c r="AC281">
        <v>11</v>
      </c>
    </row>
    <row r="282" spans="1:29" x14ac:dyDescent="0.25">
      <c r="A282" t="s">
        <v>648</v>
      </c>
      <c r="B282">
        <v>18</v>
      </c>
      <c r="C282" t="s">
        <v>43</v>
      </c>
      <c r="D282" t="s">
        <v>30</v>
      </c>
      <c r="E282" t="s">
        <v>31</v>
      </c>
      <c r="F282" t="s">
        <v>56</v>
      </c>
      <c r="G282" t="s">
        <v>30</v>
      </c>
      <c r="H282" t="s">
        <v>649</v>
      </c>
      <c r="I282" t="s">
        <v>194</v>
      </c>
      <c r="J282" s="1">
        <v>475.65</v>
      </c>
      <c r="K282">
        <v>4</v>
      </c>
      <c r="L282" t="s">
        <v>48</v>
      </c>
      <c r="M282">
        <v>4</v>
      </c>
      <c r="N282">
        <v>5</v>
      </c>
      <c r="O282">
        <v>0</v>
      </c>
      <c r="P282" t="s">
        <v>44</v>
      </c>
      <c r="Q282" t="s">
        <v>37</v>
      </c>
      <c r="R282">
        <v>2</v>
      </c>
      <c r="S282">
        <v>6</v>
      </c>
      <c r="T282" t="s">
        <v>59</v>
      </c>
      <c r="U282" t="s">
        <v>60</v>
      </c>
      <c r="V282" t="s">
        <v>51</v>
      </c>
      <c r="W282" s="2">
        <v>45466</v>
      </c>
      <c r="X282" s="4">
        <f ca="1">TODAY()-DATASET[[#This Row],[Time_of_Purchase]]</f>
        <v>668</v>
      </c>
      <c r="Y282" t="b">
        <v>1</v>
      </c>
      <c r="Z282" t="b">
        <v>1</v>
      </c>
      <c r="AA282" t="s">
        <v>52</v>
      </c>
      <c r="AB282" t="s">
        <v>67</v>
      </c>
      <c r="AC282">
        <v>14</v>
      </c>
    </row>
    <row r="283" spans="1:29" x14ac:dyDescent="0.25">
      <c r="A283" t="s">
        <v>650</v>
      </c>
      <c r="B283">
        <v>48</v>
      </c>
      <c r="C283" t="s">
        <v>29</v>
      </c>
      <c r="D283" t="s">
        <v>30</v>
      </c>
      <c r="E283" t="s">
        <v>69</v>
      </c>
      <c r="F283" t="s">
        <v>56</v>
      </c>
      <c r="G283" t="s">
        <v>44</v>
      </c>
      <c r="H283" t="s">
        <v>651</v>
      </c>
      <c r="I283" t="s">
        <v>101</v>
      </c>
      <c r="J283" s="1">
        <v>161.38</v>
      </c>
      <c r="K283">
        <v>11</v>
      </c>
      <c r="L283" t="s">
        <v>35</v>
      </c>
      <c r="M283">
        <v>5</v>
      </c>
      <c r="N283">
        <v>3</v>
      </c>
      <c r="O283">
        <v>0</v>
      </c>
      <c r="P283" t="s">
        <v>36</v>
      </c>
      <c r="Q283" t="s">
        <v>85</v>
      </c>
      <c r="R283">
        <v>1</v>
      </c>
      <c r="S283">
        <v>10</v>
      </c>
      <c r="T283" t="s">
        <v>44</v>
      </c>
      <c r="U283" t="s">
        <v>38</v>
      </c>
      <c r="V283" t="s">
        <v>61</v>
      </c>
      <c r="W283" s="2">
        <v>45524</v>
      </c>
      <c r="X283" s="4">
        <f ca="1">TODAY()-DATASET[[#This Row],[Time_of_Purchase]]</f>
        <v>610</v>
      </c>
      <c r="Y283" t="b">
        <v>1</v>
      </c>
      <c r="Z283" t="b">
        <v>1</v>
      </c>
      <c r="AA283" t="s">
        <v>62</v>
      </c>
      <c r="AB283" t="s">
        <v>53</v>
      </c>
      <c r="AC283">
        <v>10</v>
      </c>
    </row>
    <row r="284" spans="1:29" x14ac:dyDescent="0.25">
      <c r="A284" t="s">
        <v>652</v>
      </c>
      <c r="B284">
        <v>19</v>
      </c>
      <c r="C284" t="s">
        <v>43</v>
      </c>
      <c r="D284" t="s">
        <v>30</v>
      </c>
      <c r="E284" t="s">
        <v>55</v>
      </c>
      <c r="F284" t="s">
        <v>32</v>
      </c>
      <c r="G284" t="s">
        <v>30</v>
      </c>
      <c r="H284" t="s">
        <v>653</v>
      </c>
      <c r="I284" t="s">
        <v>123</v>
      </c>
      <c r="J284" s="1">
        <v>249.78</v>
      </c>
      <c r="K284">
        <v>4</v>
      </c>
      <c r="L284" t="s">
        <v>48</v>
      </c>
      <c r="M284">
        <v>5</v>
      </c>
      <c r="N284">
        <v>4</v>
      </c>
      <c r="O284">
        <v>0</v>
      </c>
      <c r="P284" t="s">
        <v>59</v>
      </c>
      <c r="Q284" t="s">
        <v>85</v>
      </c>
      <c r="R284">
        <v>0</v>
      </c>
      <c r="S284">
        <v>1</v>
      </c>
      <c r="T284" t="s">
        <v>36</v>
      </c>
      <c r="U284" t="s">
        <v>79</v>
      </c>
      <c r="V284" t="s">
        <v>51</v>
      </c>
      <c r="W284" s="2">
        <v>45620</v>
      </c>
      <c r="X284" s="4">
        <f ca="1">TODAY()-DATASET[[#This Row],[Time_of_Purchase]]</f>
        <v>514</v>
      </c>
      <c r="Y284" t="b">
        <v>0</v>
      </c>
      <c r="Z284" t="b">
        <v>0</v>
      </c>
      <c r="AA284" t="s">
        <v>52</v>
      </c>
      <c r="AB284" t="s">
        <v>41</v>
      </c>
      <c r="AC284">
        <v>11</v>
      </c>
    </row>
    <row r="285" spans="1:29" x14ac:dyDescent="0.25">
      <c r="A285" t="s">
        <v>654</v>
      </c>
      <c r="B285">
        <v>39</v>
      </c>
      <c r="C285" t="s">
        <v>29</v>
      </c>
      <c r="D285" t="s">
        <v>30</v>
      </c>
      <c r="E285" t="s">
        <v>76</v>
      </c>
      <c r="F285" t="s">
        <v>45</v>
      </c>
      <c r="G285" t="s">
        <v>44</v>
      </c>
      <c r="H285" t="s">
        <v>655</v>
      </c>
      <c r="I285" t="s">
        <v>183</v>
      </c>
      <c r="J285" s="1">
        <v>149.88</v>
      </c>
      <c r="K285">
        <v>9</v>
      </c>
      <c r="L285" t="s">
        <v>35</v>
      </c>
      <c r="M285">
        <v>3</v>
      </c>
      <c r="N285">
        <v>2</v>
      </c>
      <c r="O285">
        <v>0</v>
      </c>
      <c r="P285" t="s">
        <v>59</v>
      </c>
      <c r="Q285" t="s">
        <v>37</v>
      </c>
      <c r="R285">
        <v>1</v>
      </c>
      <c r="S285">
        <v>10</v>
      </c>
      <c r="T285" t="s">
        <v>59</v>
      </c>
      <c r="U285" t="s">
        <v>60</v>
      </c>
      <c r="V285" t="s">
        <v>61</v>
      </c>
      <c r="W285" s="2">
        <v>45401</v>
      </c>
      <c r="X285" s="4">
        <f ca="1">TODAY()-DATASET[[#This Row],[Time_of_Purchase]]</f>
        <v>733</v>
      </c>
      <c r="Y285" t="b">
        <v>0</v>
      </c>
      <c r="Z285" t="b">
        <v>0</v>
      </c>
      <c r="AA285" t="s">
        <v>62</v>
      </c>
      <c r="AB285" t="s">
        <v>53</v>
      </c>
      <c r="AC285">
        <v>4</v>
      </c>
    </row>
    <row r="286" spans="1:29" x14ac:dyDescent="0.25">
      <c r="A286" t="s">
        <v>656</v>
      </c>
      <c r="B286">
        <v>48</v>
      </c>
      <c r="C286" t="s">
        <v>29</v>
      </c>
      <c r="D286" t="s">
        <v>44</v>
      </c>
      <c r="E286" t="s">
        <v>76</v>
      </c>
      <c r="F286" t="s">
        <v>56</v>
      </c>
      <c r="G286" t="s">
        <v>30</v>
      </c>
      <c r="H286" t="s">
        <v>657</v>
      </c>
      <c r="I286" t="s">
        <v>246</v>
      </c>
      <c r="J286" s="1">
        <v>347.09</v>
      </c>
      <c r="K286">
        <v>5</v>
      </c>
      <c r="L286" t="s">
        <v>48</v>
      </c>
      <c r="M286">
        <v>5</v>
      </c>
      <c r="N286">
        <v>2</v>
      </c>
      <c r="O286">
        <v>0</v>
      </c>
      <c r="P286" t="s">
        <v>49</v>
      </c>
      <c r="Q286" t="s">
        <v>37</v>
      </c>
      <c r="R286">
        <v>2</v>
      </c>
      <c r="S286">
        <v>1</v>
      </c>
      <c r="T286" t="s">
        <v>36</v>
      </c>
      <c r="U286" t="s">
        <v>60</v>
      </c>
      <c r="V286" t="s">
        <v>66</v>
      </c>
      <c r="W286" s="2">
        <v>45317</v>
      </c>
      <c r="X286" s="4">
        <f ca="1">TODAY()-DATASET[[#This Row],[Time_of_Purchase]]</f>
        <v>817</v>
      </c>
      <c r="Y286" t="b">
        <v>0</v>
      </c>
      <c r="Z286" t="b">
        <v>0</v>
      </c>
      <c r="AA286" t="s">
        <v>74</v>
      </c>
      <c r="AB286" t="s">
        <v>41</v>
      </c>
      <c r="AC286">
        <v>7</v>
      </c>
    </row>
    <row r="287" spans="1:29" x14ac:dyDescent="0.25">
      <c r="A287" t="s">
        <v>658</v>
      </c>
      <c r="B287">
        <v>43</v>
      </c>
      <c r="C287" t="s">
        <v>29</v>
      </c>
      <c r="D287" t="s">
        <v>44</v>
      </c>
      <c r="E287" t="s">
        <v>69</v>
      </c>
      <c r="F287" t="s">
        <v>56</v>
      </c>
      <c r="G287" t="s">
        <v>44</v>
      </c>
      <c r="H287" t="s">
        <v>659</v>
      </c>
      <c r="I287" t="s">
        <v>104</v>
      </c>
      <c r="J287" s="1">
        <v>345.49</v>
      </c>
      <c r="K287">
        <v>9</v>
      </c>
      <c r="L287" t="s">
        <v>35</v>
      </c>
      <c r="M287">
        <v>3</v>
      </c>
      <c r="N287">
        <v>1</v>
      </c>
      <c r="O287">
        <v>2</v>
      </c>
      <c r="P287" t="s">
        <v>44</v>
      </c>
      <c r="Q287" t="s">
        <v>50</v>
      </c>
      <c r="R287">
        <v>0</v>
      </c>
      <c r="S287">
        <v>10</v>
      </c>
      <c r="T287" t="s">
        <v>49</v>
      </c>
      <c r="U287" t="s">
        <v>38</v>
      </c>
      <c r="V287" t="s">
        <v>51</v>
      </c>
      <c r="W287" s="2">
        <v>45541</v>
      </c>
      <c r="X287" s="4">
        <f ca="1">TODAY()-DATASET[[#This Row],[Time_of_Purchase]]</f>
        <v>593</v>
      </c>
      <c r="Y287" t="b">
        <v>1</v>
      </c>
      <c r="Z287" t="b">
        <v>0</v>
      </c>
      <c r="AA287" t="s">
        <v>62</v>
      </c>
      <c r="AB287" t="s">
        <v>67</v>
      </c>
      <c r="AC287">
        <v>3</v>
      </c>
    </row>
    <row r="288" spans="1:29" x14ac:dyDescent="0.25">
      <c r="A288" t="s">
        <v>660</v>
      </c>
      <c r="B288">
        <v>31</v>
      </c>
      <c r="C288" t="s">
        <v>29</v>
      </c>
      <c r="D288" t="s">
        <v>44</v>
      </c>
      <c r="E288" t="s">
        <v>76</v>
      </c>
      <c r="F288" t="s">
        <v>32</v>
      </c>
      <c r="G288" t="s">
        <v>44</v>
      </c>
      <c r="H288" t="s">
        <v>661</v>
      </c>
      <c r="I288" t="s">
        <v>104</v>
      </c>
      <c r="J288" s="1">
        <v>297.24</v>
      </c>
      <c r="K288">
        <v>2</v>
      </c>
      <c r="L288" t="s">
        <v>35</v>
      </c>
      <c r="M288">
        <v>1</v>
      </c>
      <c r="N288">
        <v>4</v>
      </c>
      <c r="O288">
        <v>0</v>
      </c>
      <c r="P288" t="s">
        <v>49</v>
      </c>
      <c r="Q288" t="s">
        <v>50</v>
      </c>
      <c r="R288">
        <v>0</v>
      </c>
      <c r="S288">
        <v>9</v>
      </c>
      <c r="T288" t="s">
        <v>44</v>
      </c>
      <c r="U288" t="s">
        <v>79</v>
      </c>
      <c r="V288" t="s">
        <v>51</v>
      </c>
      <c r="W288" s="2">
        <v>45472</v>
      </c>
      <c r="X288" s="4">
        <f ca="1">TODAY()-DATASET[[#This Row],[Time_of_Purchase]]</f>
        <v>662</v>
      </c>
      <c r="Y288" t="b">
        <v>1</v>
      </c>
      <c r="Z288" t="b">
        <v>1</v>
      </c>
      <c r="AA288" t="s">
        <v>74</v>
      </c>
      <c r="AB288" t="s">
        <v>67</v>
      </c>
      <c r="AC288">
        <v>7</v>
      </c>
    </row>
    <row r="289" spans="1:29" x14ac:dyDescent="0.25">
      <c r="A289" t="s">
        <v>662</v>
      </c>
      <c r="B289">
        <v>28</v>
      </c>
      <c r="C289" t="s">
        <v>29</v>
      </c>
      <c r="D289" t="s">
        <v>30</v>
      </c>
      <c r="E289" t="s">
        <v>76</v>
      </c>
      <c r="F289" t="s">
        <v>32</v>
      </c>
      <c r="G289" t="s">
        <v>44</v>
      </c>
      <c r="H289" t="s">
        <v>663</v>
      </c>
      <c r="I289" t="s">
        <v>65</v>
      </c>
      <c r="J289" s="1">
        <v>494.34</v>
      </c>
      <c r="K289">
        <v>12</v>
      </c>
      <c r="L289" t="s">
        <v>78</v>
      </c>
      <c r="M289">
        <v>5</v>
      </c>
      <c r="N289">
        <v>3</v>
      </c>
      <c r="O289">
        <v>0.25</v>
      </c>
      <c r="P289" t="s">
        <v>44</v>
      </c>
      <c r="Q289" t="s">
        <v>85</v>
      </c>
      <c r="R289">
        <v>1</v>
      </c>
      <c r="S289">
        <v>8</v>
      </c>
      <c r="T289" t="s">
        <v>59</v>
      </c>
      <c r="U289" t="s">
        <v>79</v>
      </c>
      <c r="V289" t="s">
        <v>61</v>
      </c>
      <c r="W289" s="2">
        <v>45354</v>
      </c>
      <c r="X289" s="4">
        <f ca="1">TODAY()-DATASET[[#This Row],[Time_of_Purchase]]</f>
        <v>780</v>
      </c>
      <c r="Y289" t="b">
        <v>0</v>
      </c>
      <c r="Z289" t="b">
        <v>0</v>
      </c>
      <c r="AA289" t="s">
        <v>52</v>
      </c>
      <c r="AB289" t="s">
        <v>67</v>
      </c>
      <c r="AC289">
        <v>3</v>
      </c>
    </row>
    <row r="290" spans="1:29" x14ac:dyDescent="0.25">
      <c r="A290" t="s">
        <v>664</v>
      </c>
      <c r="B290">
        <v>29</v>
      </c>
      <c r="C290" t="s">
        <v>352</v>
      </c>
      <c r="D290" t="s">
        <v>30</v>
      </c>
      <c r="E290" t="s">
        <v>31</v>
      </c>
      <c r="F290" t="s">
        <v>56</v>
      </c>
      <c r="G290" t="s">
        <v>44</v>
      </c>
      <c r="H290" t="s">
        <v>665</v>
      </c>
      <c r="I290" t="s">
        <v>101</v>
      </c>
      <c r="J290" s="1">
        <v>443.52</v>
      </c>
      <c r="K290">
        <v>5</v>
      </c>
      <c r="L290" t="s">
        <v>48</v>
      </c>
      <c r="M290">
        <v>5</v>
      </c>
      <c r="N290">
        <v>3</v>
      </c>
      <c r="O290">
        <v>0</v>
      </c>
      <c r="P290" t="s">
        <v>36</v>
      </c>
      <c r="Q290" t="s">
        <v>37</v>
      </c>
      <c r="R290">
        <v>0</v>
      </c>
      <c r="S290">
        <v>7</v>
      </c>
      <c r="T290" t="s">
        <v>59</v>
      </c>
      <c r="U290" t="s">
        <v>38</v>
      </c>
      <c r="V290" t="s">
        <v>86</v>
      </c>
      <c r="W290" s="2">
        <v>45422</v>
      </c>
      <c r="X290" s="4">
        <f ca="1">TODAY()-DATASET[[#This Row],[Time_of_Purchase]]</f>
        <v>712</v>
      </c>
      <c r="Y290" t="b">
        <v>1</v>
      </c>
      <c r="Z290" t="b">
        <v>0</v>
      </c>
      <c r="AA290" t="s">
        <v>40</v>
      </c>
      <c r="AB290" t="s">
        <v>53</v>
      </c>
      <c r="AC290">
        <v>9</v>
      </c>
    </row>
    <row r="291" spans="1:29" x14ac:dyDescent="0.25">
      <c r="A291" t="s">
        <v>666</v>
      </c>
      <c r="B291">
        <v>45</v>
      </c>
      <c r="C291" t="s">
        <v>148</v>
      </c>
      <c r="D291" t="s">
        <v>30</v>
      </c>
      <c r="E291" t="s">
        <v>76</v>
      </c>
      <c r="F291" t="s">
        <v>45</v>
      </c>
      <c r="G291" t="s">
        <v>44</v>
      </c>
      <c r="H291" t="s">
        <v>667</v>
      </c>
      <c r="I291" t="s">
        <v>246</v>
      </c>
      <c r="J291" s="1">
        <v>457.18</v>
      </c>
      <c r="K291">
        <v>7</v>
      </c>
      <c r="L291" t="s">
        <v>48</v>
      </c>
      <c r="M291">
        <v>4</v>
      </c>
      <c r="N291">
        <v>3</v>
      </c>
      <c r="O291">
        <v>2</v>
      </c>
      <c r="P291" t="s">
        <v>44</v>
      </c>
      <c r="Q291" t="s">
        <v>85</v>
      </c>
      <c r="R291">
        <v>2</v>
      </c>
      <c r="S291">
        <v>6</v>
      </c>
      <c r="T291" t="s">
        <v>49</v>
      </c>
      <c r="U291" t="s">
        <v>60</v>
      </c>
      <c r="V291" t="s">
        <v>66</v>
      </c>
      <c r="W291" s="2">
        <v>45524</v>
      </c>
      <c r="X291" s="4">
        <f ca="1">TODAY()-DATASET[[#This Row],[Time_of_Purchase]]</f>
        <v>610</v>
      </c>
      <c r="Y291" t="b">
        <v>1</v>
      </c>
      <c r="Z291" t="b">
        <v>1</v>
      </c>
      <c r="AA291" t="s">
        <v>52</v>
      </c>
      <c r="AB291" t="s">
        <v>67</v>
      </c>
      <c r="AC291">
        <v>10</v>
      </c>
    </row>
    <row r="292" spans="1:29" x14ac:dyDescent="0.25">
      <c r="A292" t="s">
        <v>668</v>
      </c>
      <c r="B292">
        <v>38</v>
      </c>
      <c r="C292" t="s">
        <v>43</v>
      </c>
      <c r="D292" t="s">
        <v>30</v>
      </c>
      <c r="E292" t="s">
        <v>55</v>
      </c>
      <c r="F292" t="s">
        <v>56</v>
      </c>
      <c r="G292" t="s">
        <v>44</v>
      </c>
      <c r="H292" t="s">
        <v>669</v>
      </c>
      <c r="I292" t="s">
        <v>82</v>
      </c>
      <c r="J292" s="1">
        <v>407.88</v>
      </c>
      <c r="K292">
        <v>4</v>
      </c>
      <c r="L292" t="s">
        <v>48</v>
      </c>
      <c r="M292">
        <v>1</v>
      </c>
      <c r="N292">
        <v>3</v>
      </c>
      <c r="O292">
        <v>1</v>
      </c>
      <c r="P292" t="s">
        <v>36</v>
      </c>
      <c r="Q292" t="s">
        <v>85</v>
      </c>
      <c r="R292">
        <v>1</v>
      </c>
      <c r="S292">
        <v>10</v>
      </c>
      <c r="T292" t="s">
        <v>49</v>
      </c>
      <c r="U292" t="s">
        <v>38</v>
      </c>
      <c r="V292" t="s">
        <v>86</v>
      </c>
      <c r="W292" s="2">
        <v>45607</v>
      </c>
      <c r="X292" s="4">
        <f ca="1">TODAY()-DATASET[[#This Row],[Time_of_Purchase]]</f>
        <v>527</v>
      </c>
      <c r="Y292" t="b">
        <v>0</v>
      </c>
      <c r="Z292" t="b">
        <v>0</v>
      </c>
      <c r="AA292" t="s">
        <v>74</v>
      </c>
      <c r="AB292" t="s">
        <v>53</v>
      </c>
      <c r="AC292">
        <v>14</v>
      </c>
    </row>
    <row r="293" spans="1:29" x14ac:dyDescent="0.25">
      <c r="A293" t="s">
        <v>670</v>
      </c>
      <c r="B293">
        <v>30</v>
      </c>
      <c r="C293" t="s">
        <v>43</v>
      </c>
      <c r="D293" t="s">
        <v>30</v>
      </c>
      <c r="E293" t="s">
        <v>69</v>
      </c>
      <c r="F293" t="s">
        <v>32</v>
      </c>
      <c r="G293" t="s">
        <v>30</v>
      </c>
      <c r="H293" t="s">
        <v>671</v>
      </c>
      <c r="I293" t="s">
        <v>82</v>
      </c>
      <c r="J293" s="1">
        <v>448.68</v>
      </c>
      <c r="K293">
        <v>8</v>
      </c>
      <c r="L293" t="s">
        <v>48</v>
      </c>
      <c r="M293">
        <v>4</v>
      </c>
      <c r="N293">
        <v>4</v>
      </c>
      <c r="O293">
        <v>2</v>
      </c>
      <c r="P293" t="s">
        <v>44</v>
      </c>
      <c r="Q293" t="s">
        <v>37</v>
      </c>
      <c r="R293">
        <v>1</v>
      </c>
      <c r="S293">
        <v>3</v>
      </c>
      <c r="T293" t="s">
        <v>49</v>
      </c>
      <c r="U293" t="s">
        <v>38</v>
      </c>
      <c r="V293" t="s">
        <v>61</v>
      </c>
      <c r="W293" s="2">
        <v>45437</v>
      </c>
      <c r="X293" s="4">
        <f ca="1">TODAY()-DATASET[[#This Row],[Time_of_Purchase]]</f>
        <v>697</v>
      </c>
      <c r="Y293" t="b">
        <v>1</v>
      </c>
      <c r="Z293" t="b">
        <v>0</v>
      </c>
      <c r="AA293" t="s">
        <v>52</v>
      </c>
      <c r="AB293" t="s">
        <v>67</v>
      </c>
      <c r="AC293">
        <v>8</v>
      </c>
    </row>
    <row r="294" spans="1:29" x14ac:dyDescent="0.25">
      <c r="A294" t="s">
        <v>672</v>
      </c>
      <c r="B294">
        <v>40</v>
      </c>
      <c r="C294" t="s">
        <v>29</v>
      </c>
      <c r="D294" t="s">
        <v>44</v>
      </c>
      <c r="E294" t="s">
        <v>69</v>
      </c>
      <c r="F294" t="s">
        <v>32</v>
      </c>
      <c r="G294" t="s">
        <v>44</v>
      </c>
      <c r="H294" t="s">
        <v>673</v>
      </c>
      <c r="I294" t="s">
        <v>117</v>
      </c>
      <c r="J294" s="1">
        <v>255.96</v>
      </c>
      <c r="K294">
        <v>7</v>
      </c>
      <c r="L294" t="s">
        <v>78</v>
      </c>
      <c r="M294">
        <v>5</v>
      </c>
      <c r="N294">
        <v>1</v>
      </c>
      <c r="O294">
        <v>1</v>
      </c>
      <c r="P294" t="s">
        <v>44</v>
      </c>
      <c r="Q294" t="s">
        <v>85</v>
      </c>
      <c r="R294">
        <v>0</v>
      </c>
      <c r="S294">
        <v>10</v>
      </c>
      <c r="T294" t="s">
        <v>36</v>
      </c>
      <c r="U294" t="s">
        <v>38</v>
      </c>
      <c r="V294" t="s">
        <v>86</v>
      </c>
      <c r="W294" s="2">
        <v>45649</v>
      </c>
      <c r="X294" s="4">
        <f ca="1">TODAY()-DATASET[[#This Row],[Time_of_Purchase]]</f>
        <v>485</v>
      </c>
      <c r="Y294" t="b">
        <v>0</v>
      </c>
      <c r="Z294" t="b">
        <v>0</v>
      </c>
      <c r="AA294" t="s">
        <v>40</v>
      </c>
      <c r="AB294" t="s">
        <v>41</v>
      </c>
      <c r="AC294">
        <v>13</v>
      </c>
    </row>
    <row r="295" spans="1:29" x14ac:dyDescent="0.25">
      <c r="A295" t="s">
        <v>674</v>
      </c>
      <c r="B295">
        <v>45</v>
      </c>
      <c r="C295" t="s">
        <v>43</v>
      </c>
      <c r="D295" t="s">
        <v>30</v>
      </c>
      <c r="E295" t="s">
        <v>31</v>
      </c>
      <c r="F295" t="s">
        <v>45</v>
      </c>
      <c r="G295" t="s">
        <v>44</v>
      </c>
      <c r="H295" t="s">
        <v>675</v>
      </c>
      <c r="I295" t="s">
        <v>98</v>
      </c>
      <c r="J295" s="1">
        <v>146.07</v>
      </c>
      <c r="K295">
        <v>7</v>
      </c>
      <c r="L295" t="s">
        <v>48</v>
      </c>
      <c r="M295">
        <v>4</v>
      </c>
      <c r="N295">
        <v>2</v>
      </c>
      <c r="O295">
        <v>1</v>
      </c>
      <c r="P295" t="s">
        <v>59</v>
      </c>
      <c r="Q295" t="s">
        <v>85</v>
      </c>
      <c r="R295">
        <v>1</v>
      </c>
      <c r="S295">
        <v>6</v>
      </c>
      <c r="T295" t="s">
        <v>36</v>
      </c>
      <c r="U295" t="s">
        <v>38</v>
      </c>
      <c r="V295" t="s">
        <v>39</v>
      </c>
      <c r="W295" s="2">
        <v>45480</v>
      </c>
      <c r="X295" s="4">
        <f ca="1">TODAY()-DATASET[[#This Row],[Time_of_Purchase]]</f>
        <v>654</v>
      </c>
      <c r="Y295" t="b">
        <v>1</v>
      </c>
      <c r="Z295" t="b">
        <v>1</v>
      </c>
      <c r="AA295" t="s">
        <v>40</v>
      </c>
      <c r="AB295" t="s">
        <v>53</v>
      </c>
      <c r="AC295">
        <v>1</v>
      </c>
    </row>
    <row r="296" spans="1:29" x14ac:dyDescent="0.25">
      <c r="A296" t="s">
        <v>676</v>
      </c>
      <c r="B296">
        <v>44</v>
      </c>
      <c r="C296" t="s">
        <v>29</v>
      </c>
      <c r="D296" t="s">
        <v>44</v>
      </c>
      <c r="E296" t="s">
        <v>55</v>
      </c>
      <c r="F296" t="s">
        <v>45</v>
      </c>
      <c r="G296" t="s">
        <v>30</v>
      </c>
      <c r="H296" t="s">
        <v>677</v>
      </c>
      <c r="I296" t="s">
        <v>142</v>
      </c>
      <c r="J296" s="1">
        <v>311.89999999999998</v>
      </c>
      <c r="K296">
        <v>4</v>
      </c>
      <c r="L296" t="s">
        <v>48</v>
      </c>
      <c r="M296">
        <v>2</v>
      </c>
      <c r="N296">
        <v>4</v>
      </c>
      <c r="O296">
        <v>2</v>
      </c>
      <c r="P296" t="s">
        <v>59</v>
      </c>
      <c r="Q296" t="s">
        <v>85</v>
      </c>
      <c r="R296">
        <v>0</v>
      </c>
      <c r="S296">
        <v>6</v>
      </c>
      <c r="T296" t="s">
        <v>44</v>
      </c>
      <c r="U296" t="s">
        <v>60</v>
      </c>
      <c r="V296" t="s">
        <v>39</v>
      </c>
      <c r="W296" s="2">
        <v>45656</v>
      </c>
      <c r="X296" s="4">
        <f ca="1">TODAY()-DATASET[[#This Row],[Time_of_Purchase]]</f>
        <v>478</v>
      </c>
      <c r="Y296" t="b">
        <v>0</v>
      </c>
      <c r="Z296" t="b">
        <v>1</v>
      </c>
      <c r="AA296" t="s">
        <v>74</v>
      </c>
      <c r="AB296" t="s">
        <v>41</v>
      </c>
      <c r="AC296">
        <v>2</v>
      </c>
    </row>
    <row r="297" spans="1:29" x14ac:dyDescent="0.25">
      <c r="A297" t="s">
        <v>678</v>
      </c>
      <c r="B297">
        <v>38</v>
      </c>
      <c r="C297" t="s">
        <v>29</v>
      </c>
      <c r="D297" t="s">
        <v>30</v>
      </c>
      <c r="E297" t="s">
        <v>69</v>
      </c>
      <c r="F297" t="s">
        <v>45</v>
      </c>
      <c r="G297" t="s">
        <v>30</v>
      </c>
      <c r="H297" t="s">
        <v>679</v>
      </c>
      <c r="I297" t="s">
        <v>34</v>
      </c>
      <c r="J297" s="1">
        <v>301.60000000000002</v>
      </c>
      <c r="K297">
        <v>4</v>
      </c>
      <c r="L297" t="s">
        <v>35</v>
      </c>
      <c r="M297">
        <v>4</v>
      </c>
      <c r="N297">
        <v>5</v>
      </c>
      <c r="O297">
        <v>1</v>
      </c>
      <c r="P297" t="s">
        <v>59</v>
      </c>
      <c r="Q297" t="s">
        <v>50</v>
      </c>
      <c r="R297">
        <v>2</v>
      </c>
      <c r="S297">
        <v>10</v>
      </c>
      <c r="T297" t="s">
        <v>44</v>
      </c>
      <c r="U297" t="s">
        <v>79</v>
      </c>
      <c r="V297" t="s">
        <v>39</v>
      </c>
      <c r="W297" s="2">
        <v>45362</v>
      </c>
      <c r="X297" s="4">
        <f ca="1">TODAY()-DATASET[[#This Row],[Time_of_Purchase]]</f>
        <v>772</v>
      </c>
      <c r="Y297" t="b">
        <v>0</v>
      </c>
      <c r="Z297" t="b">
        <v>0</v>
      </c>
      <c r="AA297" t="s">
        <v>62</v>
      </c>
      <c r="AB297" t="s">
        <v>53</v>
      </c>
      <c r="AC297">
        <v>13</v>
      </c>
    </row>
    <row r="298" spans="1:29" x14ac:dyDescent="0.25">
      <c r="A298" t="s">
        <v>680</v>
      </c>
      <c r="B298">
        <v>23</v>
      </c>
      <c r="C298" t="s">
        <v>212</v>
      </c>
      <c r="D298" t="s">
        <v>30</v>
      </c>
      <c r="E298" t="s">
        <v>69</v>
      </c>
      <c r="F298" t="s">
        <v>32</v>
      </c>
      <c r="G298" t="s">
        <v>44</v>
      </c>
      <c r="H298" t="s">
        <v>681</v>
      </c>
      <c r="I298" t="s">
        <v>120</v>
      </c>
      <c r="J298" s="1">
        <v>297.45</v>
      </c>
      <c r="K298">
        <v>3</v>
      </c>
      <c r="L298" t="s">
        <v>35</v>
      </c>
      <c r="M298">
        <v>1</v>
      </c>
      <c r="N298">
        <v>5</v>
      </c>
      <c r="O298">
        <v>0</v>
      </c>
      <c r="P298" t="s">
        <v>49</v>
      </c>
      <c r="Q298" t="s">
        <v>85</v>
      </c>
      <c r="R298">
        <v>0</v>
      </c>
      <c r="S298">
        <v>7</v>
      </c>
      <c r="T298" t="s">
        <v>59</v>
      </c>
      <c r="U298" t="s">
        <v>38</v>
      </c>
      <c r="V298" t="s">
        <v>61</v>
      </c>
      <c r="W298" s="2">
        <v>45480</v>
      </c>
      <c r="X298" s="4">
        <f ca="1">TODAY()-DATASET[[#This Row],[Time_of_Purchase]]</f>
        <v>654</v>
      </c>
      <c r="Y298" t="b">
        <v>0</v>
      </c>
      <c r="Z298" t="b">
        <v>0</v>
      </c>
      <c r="AA298" t="s">
        <v>74</v>
      </c>
      <c r="AB298" t="s">
        <v>41</v>
      </c>
      <c r="AC298">
        <v>4</v>
      </c>
    </row>
    <row r="299" spans="1:29" x14ac:dyDescent="0.25">
      <c r="A299" t="s">
        <v>682</v>
      </c>
      <c r="B299">
        <v>30</v>
      </c>
      <c r="C299" t="s">
        <v>352</v>
      </c>
      <c r="D299" t="s">
        <v>44</v>
      </c>
      <c r="E299" t="s">
        <v>69</v>
      </c>
      <c r="F299" t="s">
        <v>32</v>
      </c>
      <c r="G299" t="s">
        <v>44</v>
      </c>
      <c r="H299" t="s">
        <v>683</v>
      </c>
      <c r="I299" t="s">
        <v>90</v>
      </c>
      <c r="J299" s="1">
        <v>157.26</v>
      </c>
      <c r="K299">
        <v>3</v>
      </c>
      <c r="L299" t="s">
        <v>78</v>
      </c>
      <c r="M299">
        <v>1</v>
      </c>
      <c r="N299">
        <v>3</v>
      </c>
      <c r="O299">
        <v>1</v>
      </c>
      <c r="P299" t="s">
        <v>49</v>
      </c>
      <c r="Q299" t="s">
        <v>50</v>
      </c>
      <c r="R299">
        <v>1</v>
      </c>
      <c r="S299">
        <v>1</v>
      </c>
      <c r="T299" t="s">
        <v>36</v>
      </c>
      <c r="U299" t="s">
        <v>79</v>
      </c>
      <c r="V299" t="s">
        <v>86</v>
      </c>
      <c r="W299" s="2">
        <v>45497</v>
      </c>
      <c r="X299" s="4">
        <f ca="1">TODAY()-DATASET[[#This Row],[Time_of_Purchase]]</f>
        <v>637</v>
      </c>
      <c r="Y299" t="b">
        <v>0</v>
      </c>
      <c r="Z299" t="b">
        <v>0</v>
      </c>
      <c r="AA299" t="s">
        <v>40</v>
      </c>
      <c r="AB299" t="s">
        <v>53</v>
      </c>
      <c r="AC299">
        <v>8</v>
      </c>
    </row>
    <row r="300" spans="1:29" x14ac:dyDescent="0.25">
      <c r="A300" t="s">
        <v>684</v>
      </c>
      <c r="B300">
        <v>42</v>
      </c>
      <c r="C300" t="s">
        <v>43</v>
      </c>
      <c r="D300" t="s">
        <v>44</v>
      </c>
      <c r="E300" t="s">
        <v>69</v>
      </c>
      <c r="F300" t="s">
        <v>56</v>
      </c>
      <c r="G300" t="s">
        <v>30</v>
      </c>
      <c r="H300" t="s">
        <v>685</v>
      </c>
      <c r="I300" t="s">
        <v>142</v>
      </c>
      <c r="J300" s="1">
        <v>239.46</v>
      </c>
      <c r="K300">
        <v>3</v>
      </c>
      <c r="L300" t="s">
        <v>35</v>
      </c>
      <c r="M300">
        <v>3</v>
      </c>
      <c r="N300">
        <v>1</v>
      </c>
      <c r="O300">
        <v>0</v>
      </c>
      <c r="P300" t="s">
        <v>59</v>
      </c>
      <c r="Q300" t="s">
        <v>50</v>
      </c>
      <c r="R300">
        <v>2</v>
      </c>
      <c r="S300">
        <v>8</v>
      </c>
      <c r="T300" t="s">
        <v>44</v>
      </c>
      <c r="U300" t="s">
        <v>79</v>
      </c>
      <c r="V300" t="s">
        <v>66</v>
      </c>
      <c r="W300" s="2">
        <v>45508</v>
      </c>
      <c r="X300" s="4">
        <f ca="1">TODAY()-DATASET[[#This Row],[Time_of_Purchase]]</f>
        <v>626</v>
      </c>
      <c r="Y300" t="b">
        <v>1</v>
      </c>
      <c r="Z300" t="b">
        <v>1</v>
      </c>
      <c r="AA300" t="s">
        <v>74</v>
      </c>
      <c r="AB300" t="s">
        <v>53</v>
      </c>
      <c r="AC300">
        <v>7</v>
      </c>
    </row>
    <row r="301" spans="1:29" x14ac:dyDescent="0.25">
      <c r="A301" t="s">
        <v>686</v>
      </c>
      <c r="B301">
        <v>28</v>
      </c>
      <c r="C301" t="s">
        <v>29</v>
      </c>
      <c r="D301" t="s">
        <v>44</v>
      </c>
      <c r="E301" t="s">
        <v>69</v>
      </c>
      <c r="F301" t="s">
        <v>45</v>
      </c>
      <c r="G301" t="s">
        <v>44</v>
      </c>
      <c r="H301" t="s">
        <v>687</v>
      </c>
      <c r="I301" t="s">
        <v>34</v>
      </c>
      <c r="J301" s="1">
        <v>240.82</v>
      </c>
      <c r="K301">
        <v>10</v>
      </c>
      <c r="L301" t="s">
        <v>35</v>
      </c>
      <c r="M301">
        <v>1</v>
      </c>
      <c r="N301">
        <v>3</v>
      </c>
      <c r="O301">
        <v>2</v>
      </c>
      <c r="P301" t="s">
        <v>44</v>
      </c>
      <c r="Q301" t="s">
        <v>37</v>
      </c>
      <c r="R301">
        <v>0</v>
      </c>
      <c r="S301">
        <v>3</v>
      </c>
      <c r="T301" t="s">
        <v>49</v>
      </c>
      <c r="U301" t="s">
        <v>38</v>
      </c>
      <c r="V301" t="s">
        <v>51</v>
      </c>
      <c r="W301" s="2">
        <v>45293</v>
      </c>
      <c r="X301" s="4">
        <f ca="1">TODAY()-DATASET[[#This Row],[Time_of_Purchase]]</f>
        <v>841</v>
      </c>
      <c r="Y301" t="b">
        <v>1</v>
      </c>
      <c r="Z301" t="b">
        <v>0</v>
      </c>
      <c r="AA301" t="s">
        <v>74</v>
      </c>
      <c r="AB301" t="s">
        <v>41</v>
      </c>
      <c r="AC301">
        <v>8</v>
      </c>
    </row>
    <row r="302" spans="1:29" x14ac:dyDescent="0.25">
      <c r="A302" t="s">
        <v>688</v>
      </c>
      <c r="B302">
        <v>44</v>
      </c>
      <c r="C302" t="s">
        <v>29</v>
      </c>
      <c r="D302" t="s">
        <v>30</v>
      </c>
      <c r="E302" t="s">
        <v>55</v>
      </c>
      <c r="F302" t="s">
        <v>56</v>
      </c>
      <c r="G302" t="s">
        <v>44</v>
      </c>
      <c r="H302" t="s">
        <v>689</v>
      </c>
      <c r="I302" t="s">
        <v>90</v>
      </c>
      <c r="J302" s="1">
        <v>302.07</v>
      </c>
      <c r="K302">
        <v>6</v>
      </c>
      <c r="L302" t="s">
        <v>35</v>
      </c>
      <c r="M302">
        <v>1</v>
      </c>
      <c r="N302">
        <v>5</v>
      </c>
      <c r="O302">
        <v>1</v>
      </c>
      <c r="P302" t="s">
        <v>49</v>
      </c>
      <c r="Q302" t="s">
        <v>50</v>
      </c>
      <c r="R302">
        <v>2</v>
      </c>
      <c r="S302">
        <v>5</v>
      </c>
      <c r="T302" t="s">
        <v>49</v>
      </c>
      <c r="U302" t="s">
        <v>79</v>
      </c>
      <c r="V302" t="s">
        <v>66</v>
      </c>
      <c r="W302" s="2">
        <v>45391</v>
      </c>
      <c r="X302" s="4">
        <f ca="1">TODAY()-DATASET[[#This Row],[Time_of_Purchase]]</f>
        <v>743</v>
      </c>
      <c r="Y302" t="b">
        <v>1</v>
      </c>
      <c r="Z302" t="b">
        <v>0</v>
      </c>
      <c r="AA302" t="s">
        <v>74</v>
      </c>
      <c r="AB302" t="s">
        <v>67</v>
      </c>
      <c r="AC302">
        <v>13</v>
      </c>
    </row>
    <row r="303" spans="1:29" x14ac:dyDescent="0.25">
      <c r="A303" t="s">
        <v>690</v>
      </c>
      <c r="B303">
        <v>45</v>
      </c>
      <c r="C303" t="s">
        <v>43</v>
      </c>
      <c r="D303" t="s">
        <v>30</v>
      </c>
      <c r="E303" t="s">
        <v>69</v>
      </c>
      <c r="F303" t="s">
        <v>32</v>
      </c>
      <c r="G303" t="s">
        <v>30</v>
      </c>
      <c r="H303" t="s">
        <v>691</v>
      </c>
      <c r="I303" t="s">
        <v>120</v>
      </c>
      <c r="J303" s="1">
        <v>367.99</v>
      </c>
      <c r="K303">
        <v>2</v>
      </c>
      <c r="L303" t="s">
        <v>78</v>
      </c>
      <c r="M303">
        <v>2</v>
      </c>
      <c r="N303">
        <v>5</v>
      </c>
      <c r="O303">
        <v>1</v>
      </c>
      <c r="P303" t="s">
        <v>36</v>
      </c>
      <c r="Q303" t="s">
        <v>50</v>
      </c>
      <c r="R303">
        <v>2</v>
      </c>
      <c r="S303">
        <v>2</v>
      </c>
      <c r="T303" t="s">
        <v>44</v>
      </c>
      <c r="U303" t="s">
        <v>60</v>
      </c>
      <c r="V303" t="s">
        <v>61</v>
      </c>
      <c r="W303" s="2">
        <v>45580</v>
      </c>
      <c r="X303" s="4">
        <f ca="1">TODAY()-DATASET[[#This Row],[Time_of_Purchase]]</f>
        <v>554</v>
      </c>
      <c r="Y303" t="b">
        <v>0</v>
      </c>
      <c r="Z303" t="b">
        <v>0</v>
      </c>
      <c r="AA303" t="s">
        <v>74</v>
      </c>
      <c r="AB303" t="s">
        <v>67</v>
      </c>
      <c r="AC303">
        <v>8</v>
      </c>
    </row>
    <row r="304" spans="1:29" x14ac:dyDescent="0.25">
      <c r="A304" t="s">
        <v>692</v>
      </c>
      <c r="B304">
        <v>46</v>
      </c>
      <c r="C304" t="s">
        <v>29</v>
      </c>
      <c r="D304" t="s">
        <v>44</v>
      </c>
      <c r="E304" t="s">
        <v>31</v>
      </c>
      <c r="F304" t="s">
        <v>56</v>
      </c>
      <c r="G304" t="s">
        <v>30</v>
      </c>
      <c r="H304" t="s">
        <v>693</v>
      </c>
      <c r="I304" t="s">
        <v>158</v>
      </c>
      <c r="J304" s="1">
        <v>359.75</v>
      </c>
      <c r="K304">
        <v>7</v>
      </c>
      <c r="L304" t="s">
        <v>48</v>
      </c>
      <c r="M304">
        <v>5</v>
      </c>
      <c r="N304">
        <v>1</v>
      </c>
      <c r="O304">
        <v>1</v>
      </c>
      <c r="P304" t="s">
        <v>44</v>
      </c>
      <c r="Q304" t="s">
        <v>50</v>
      </c>
      <c r="R304">
        <v>1</v>
      </c>
      <c r="S304">
        <v>6</v>
      </c>
      <c r="T304" t="s">
        <v>59</v>
      </c>
      <c r="U304" t="s">
        <v>38</v>
      </c>
      <c r="V304" t="s">
        <v>66</v>
      </c>
      <c r="W304" s="2">
        <v>45314</v>
      </c>
      <c r="X304" s="4">
        <f ca="1">TODAY()-DATASET[[#This Row],[Time_of_Purchase]]</f>
        <v>820</v>
      </c>
      <c r="Y304" t="b">
        <v>0</v>
      </c>
      <c r="Z304" t="b">
        <v>0</v>
      </c>
      <c r="AA304" t="s">
        <v>52</v>
      </c>
      <c r="AB304" t="s">
        <v>53</v>
      </c>
      <c r="AC304">
        <v>3</v>
      </c>
    </row>
    <row r="305" spans="1:29" x14ac:dyDescent="0.25">
      <c r="A305" t="s">
        <v>694</v>
      </c>
      <c r="B305">
        <v>28</v>
      </c>
      <c r="C305" t="s">
        <v>29</v>
      </c>
      <c r="D305" t="s">
        <v>30</v>
      </c>
      <c r="E305" t="s">
        <v>76</v>
      </c>
      <c r="F305" t="s">
        <v>32</v>
      </c>
      <c r="G305" t="s">
        <v>44</v>
      </c>
      <c r="H305" t="s">
        <v>695</v>
      </c>
      <c r="I305" t="s">
        <v>114</v>
      </c>
      <c r="J305" s="1">
        <v>204.44</v>
      </c>
      <c r="K305">
        <v>2</v>
      </c>
      <c r="L305" t="s">
        <v>35</v>
      </c>
      <c r="M305">
        <v>5</v>
      </c>
      <c r="N305">
        <v>3</v>
      </c>
      <c r="O305">
        <v>2</v>
      </c>
      <c r="P305" t="s">
        <v>36</v>
      </c>
      <c r="Q305" t="s">
        <v>37</v>
      </c>
      <c r="R305">
        <v>1</v>
      </c>
      <c r="S305">
        <v>3</v>
      </c>
      <c r="T305" t="s">
        <v>44</v>
      </c>
      <c r="U305" t="s">
        <v>79</v>
      </c>
      <c r="V305" t="s">
        <v>61</v>
      </c>
      <c r="W305" s="2">
        <v>45627</v>
      </c>
      <c r="X305" s="4">
        <f ca="1">TODAY()-DATASET[[#This Row],[Time_of_Purchase]]</f>
        <v>507</v>
      </c>
      <c r="Y305" t="b">
        <v>0</v>
      </c>
      <c r="Z305" t="b">
        <v>1</v>
      </c>
      <c r="AA305" t="s">
        <v>62</v>
      </c>
      <c r="AB305" t="s">
        <v>53</v>
      </c>
      <c r="AC305">
        <v>13</v>
      </c>
    </row>
    <row r="306" spans="1:29" x14ac:dyDescent="0.25">
      <c r="A306" t="s">
        <v>696</v>
      </c>
      <c r="B306">
        <v>27</v>
      </c>
      <c r="C306" t="s">
        <v>43</v>
      </c>
      <c r="D306" t="s">
        <v>44</v>
      </c>
      <c r="E306" t="s">
        <v>55</v>
      </c>
      <c r="F306" t="s">
        <v>56</v>
      </c>
      <c r="G306" t="s">
        <v>44</v>
      </c>
      <c r="H306" t="s">
        <v>697</v>
      </c>
      <c r="I306" t="s">
        <v>34</v>
      </c>
      <c r="J306" s="1">
        <v>228.93</v>
      </c>
      <c r="K306">
        <v>7</v>
      </c>
      <c r="L306" t="s">
        <v>78</v>
      </c>
      <c r="M306">
        <v>1</v>
      </c>
      <c r="N306">
        <v>1</v>
      </c>
      <c r="O306">
        <v>2</v>
      </c>
      <c r="P306" t="s">
        <v>59</v>
      </c>
      <c r="Q306" t="s">
        <v>50</v>
      </c>
      <c r="R306">
        <v>2</v>
      </c>
      <c r="S306">
        <v>2</v>
      </c>
      <c r="T306" t="s">
        <v>49</v>
      </c>
      <c r="U306" t="s">
        <v>79</v>
      </c>
      <c r="V306" t="s">
        <v>51</v>
      </c>
      <c r="W306" s="2">
        <v>45341</v>
      </c>
      <c r="X306" s="4">
        <f ca="1">TODAY()-DATASET[[#This Row],[Time_of_Purchase]]</f>
        <v>793</v>
      </c>
      <c r="Y306" t="b">
        <v>1</v>
      </c>
      <c r="Z306" t="b">
        <v>1</v>
      </c>
      <c r="AA306" t="s">
        <v>62</v>
      </c>
      <c r="AB306" t="s">
        <v>67</v>
      </c>
      <c r="AC306">
        <v>11</v>
      </c>
    </row>
    <row r="307" spans="1:29" x14ac:dyDescent="0.25">
      <c r="A307" t="s">
        <v>698</v>
      </c>
      <c r="B307">
        <v>20</v>
      </c>
      <c r="C307" t="s">
        <v>29</v>
      </c>
      <c r="D307" t="s">
        <v>44</v>
      </c>
      <c r="E307" t="s">
        <v>55</v>
      </c>
      <c r="F307" t="s">
        <v>45</v>
      </c>
      <c r="G307" t="s">
        <v>30</v>
      </c>
      <c r="H307" t="s">
        <v>546</v>
      </c>
      <c r="I307" t="s">
        <v>58</v>
      </c>
      <c r="J307" s="1">
        <v>355.31</v>
      </c>
      <c r="K307">
        <v>11</v>
      </c>
      <c r="L307" t="s">
        <v>78</v>
      </c>
      <c r="M307">
        <v>1</v>
      </c>
      <c r="N307">
        <v>1</v>
      </c>
      <c r="O307">
        <v>0</v>
      </c>
      <c r="P307" t="s">
        <v>44</v>
      </c>
      <c r="Q307" t="s">
        <v>50</v>
      </c>
      <c r="R307">
        <v>1</v>
      </c>
      <c r="S307">
        <v>2</v>
      </c>
      <c r="T307" t="s">
        <v>49</v>
      </c>
      <c r="U307" t="s">
        <v>79</v>
      </c>
      <c r="V307" t="s">
        <v>61</v>
      </c>
      <c r="W307" s="2">
        <v>45523</v>
      </c>
      <c r="X307" s="4">
        <f ca="1">TODAY()-DATASET[[#This Row],[Time_of_Purchase]]</f>
        <v>611</v>
      </c>
      <c r="Y307" t="b">
        <v>0</v>
      </c>
      <c r="Z307" t="b">
        <v>1</v>
      </c>
      <c r="AA307" t="s">
        <v>62</v>
      </c>
      <c r="AB307" t="s">
        <v>67</v>
      </c>
      <c r="AC307">
        <v>12</v>
      </c>
    </row>
    <row r="308" spans="1:29" x14ac:dyDescent="0.25">
      <c r="A308" t="s">
        <v>699</v>
      </c>
      <c r="B308">
        <v>40</v>
      </c>
      <c r="C308" t="s">
        <v>43</v>
      </c>
      <c r="D308" t="s">
        <v>44</v>
      </c>
      <c r="E308" t="s">
        <v>31</v>
      </c>
      <c r="F308" t="s">
        <v>45</v>
      </c>
      <c r="G308" t="s">
        <v>44</v>
      </c>
      <c r="H308" t="s">
        <v>700</v>
      </c>
      <c r="I308" t="s">
        <v>101</v>
      </c>
      <c r="J308" s="1">
        <v>334.67</v>
      </c>
      <c r="K308">
        <v>12</v>
      </c>
      <c r="L308" t="s">
        <v>48</v>
      </c>
      <c r="M308">
        <v>2</v>
      </c>
      <c r="N308">
        <v>1</v>
      </c>
      <c r="O308">
        <v>2</v>
      </c>
      <c r="P308" t="s">
        <v>36</v>
      </c>
      <c r="Q308" t="s">
        <v>37</v>
      </c>
      <c r="R308">
        <v>2</v>
      </c>
      <c r="S308">
        <v>5</v>
      </c>
      <c r="T308" t="s">
        <v>36</v>
      </c>
      <c r="U308" t="s">
        <v>38</v>
      </c>
      <c r="V308" t="s">
        <v>61</v>
      </c>
      <c r="W308" s="2">
        <v>45614</v>
      </c>
      <c r="X308" s="4">
        <f ca="1">TODAY()-DATASET[[#This Row],[Time_of_Purchase]]</f>
        <v>520</v>
      </c>
      <c r="Y308" t="b">
        <v>1</v>
      </c>
      <c r="Z308" t="b">
        <v>0</v>
      </c>
      <c r="AA308" t="s">
        <v>40</v>
      </c>
      <c r="AB308" t="s">
        <v>53</v>
      </c>
      <c r="AC308">
        <v>13</v>
      </c>
    </row>
    <row r="309" spans="1:29" x14ac:dyDescent="0.25">
      <c r="A309" t="s">
        <v>701</v>
      </c>
      <c r="B309">
        <v>36</v>
      </c>
      <c r="C309" t="s">
        <v>43</v>
      </c>
      <c r="D309" t="s">
        <v>30</v>
      </c>
      <c r="E309" t="s">
        <v>69</v>
      </c>
      <c r="F309" t="s">
        <v>56</v>
      </c>
      <c r="G309" t="s">
        <v>30</v>
      </c>
      <c r="H309" t="s">
        <v>702</v>
      </c>
      <c r="I309" t="s">
        <v>82</v>
      </c>
      <c r="J309" s="1">
        <v>182.72</v>
      </c>
      <c r="K309">
        <v>5</v>
      </c>
      <c r="L309" t="s">
        <v>78</v>
      </c>
      <c r="M309">
        <v>2</v>
      </c>
      <c r="N309">
        <v>1</v>
      </c>
      <c r="O309">
        <v>2</v>
      </c>
      <c r="P309" t="s">
        <v>44</v>
      </c>
      <c r="Q309" t="s">
        <v>85</v>
      </c>
      <c r="R309">
        <v>1</v>
      </c>
      <c r="S309">
        <v>7</v>
      </c>
      <c r="T309" t="s">
        <v>36</v>
      </c>
      <c r="U309" t="s">
        <v>79</v>
      </c>
      <c r="V309" t="s">
        <v>66</v>
      </c>
      <c r="W309" s="2">
        <v>45447</v>
      </c>
      <c r="X309" s="4">
        <f ca="1">TODAY()-DATASET[[#This Row],[Time_of_Purchase]]</f>
        <v>687</v>
      </c>
      <c r="Y309" t="b">
        <v>0</v>
      </c>
      <c r="Z309" t="b">
        <v>0</v>
      </c>
      <c r="AA309" t="s">
        <v>62</v>
      </c>
      <c r="AB309" t="s">
        <v>41</v>
      </c>
      <c r="AC309">
        <v>13</v>
      </c>
    </row>
    <row r="310" spans="1:29" x14ac:dyDescent="0.25">
      <c r="A310" t="s">
        <v>703</v>
      </c>
      <c r="B310">
        <v>43</v>
      </c>
      <c r="C310" t="s">
        <v>43</v>
      </c>
      <c r="D310" t="s">
        <v>44</v>
      </c>
      <c r="E310" t="s">
        <v>69</v>
      </c>
      <c r="F310" t="s">
        <v>45</v>
      </c>
      <c r="G310" t="s">
        <v>30</v>
      </c>
      <c r="H310" t="s">
        <v>704</v>
      </c>
      <c r="I310" t="s">
        <v>246</v>
      </c>
      <c r="J310" s="1">
        <v>260.22000000000003</v>
      </c>
      <c r="K310">
        <v>11</v>
      </c>
      <c r="L310" t="s">
        <v>48</v>
      </c>
      <c r="M310">
        <v>4</v>
      </c>
      <c r="N310">
        <v>3</v>
      </c>
      <c r="O310">
        <v>0</v>
      </c>
      <c r="P310" t="s">
        <v>36</v>
      </c>
      <c r="Q310" t="s">
        <v>50</v>
      </c>
      <c r="R310">
        <v>2</v>
      </c>
      <c r="S310">
        <v>5</v>
      </c>
      <c r="T310" t="s">
        <v>44</v>
      </c>
      <c r="U310" t="s">
        <v>79</v>
      </c>
      <c r="V310" t="s">
        <v>39</v>
      </c>
      <c r="W310" s="2">
        <v>45616</v>
      </c>
      <c r="X310" s="4">
        <f ca="1">TODAY()-DATASET[[#This Row],[Time_of_Purchase]]</f>
        <v>518</v>
      </c>
      <c r="Y310" t="b">
        <v>0</v>
      </c>
      <c r="Z310" t="b">
        <v>1</v>
      </c>
      <c r="AA310" t="s">
        <v>40</v>
      </c>
      <c r="AB310" t="s">
        <v>67</v>
      </c>
      <c r="AC310">
        <v>13</v>
      </c>
    </row>
    <row r="311" spans="1:29" x14ac:dyDescent="0.25">
      <c r="A311" t="s">
        <v>705</v>
      </c>
      <c r="B311">
        <v>26</v>
      </c>
      <c r="C311" t="s">
        <v>29</v>
      </c>
      <c r="D311" t="s">
        <v>44</v>
      </c>
      <c r="E311" t="s">
        <v>55</v>
      </c>
      <c r="F311" t="s">
        <v>45</v>
      </c>
      <c r="G311" t="s">
        <v>30</v>
      </c>
      <c r="H311" t="s">
        <v>706</v>
      </c>
      <c r="I311" t="s">
        <v>47</v>
      </c>
      <c r="J311" s="1">
        <v>454.93</v>
      </c>
      <c r="K311">
        <v>8</v>
      </c>
      <c r="L311" t="s">
        <v>78</v>
      </c>
      <c r="M311">
        <v>3</v>
      </c>
      <c r="N311">
        <v>5</v>
      </c>
      <c r="O311">
        <v>0</v>
      </c>
      <c r="P311" t="s">
        <v>59</v>
      </c>
      <c r="Q311" t="s">
        <v>37</v>
      </c>
      <c r="R311">
        <v>2</v>
      </c>
      <c r="S311">
        <v>7</v>
      </c>
      <c r="T311" t="s">
        <v>49</v>
      </c>
      <c r="U311" t="s">
        <v>79</v>
      </c>
      <c r="V311" t="s">
        <v>61</v>
      </c>
      <c r="W311" s="2">
        <v>45403</v>
      </c>
      <c r="X311" s="4">
        <f ca="1">TODAY()-DATASET[[#This Row],[Time_of_Purchase]]</f>
        <v>731</v>
      </c>
      <c r="Y311" t="b">
        <v>0</v>
      </c>
      <c r="Z311" t="b">
        <v>0</v>
      </c>
      <c r="AA311" t="s">
        <v>52</v>
      </c>
      <c r="AB311" t="s">
        <v>41</v>
      </c>
      <c r="AC311">
        <v>11</v>
      </c>
    </row>
    <row r="312" spans="1:29" x14ac:dyDescent="0.25">
      <c r="A312" t="s">
        <v>707</v>
      </c>
      <c r="B312">
        <v>29</v>
      </c>
      <c r="C312" t="s">
        <v>43</v>
      </c>
      <c r="D312" t="s">
        <v>30</v>
      </c>
      <c r="E312" t="s">
        <v>69</v>
      </c>
      <c r="F312" t="s">
        <v>32</v>
      </c>
      <c r="G312" t="s">
        <v>44</v>
      </c>
      <c r="H312" t="s">
        <v>708</v>
      </c>
      <c r="I312" t="s">
        <v>188</v>
      </c>
      <c r="J312" s="1">
        <v>325.42</v>
      </c>
      <c r="K312">
        <v>11</v>
      </c>
      <c r="L312" t="s">
        <v>48</v>
      </c>
      <c r="M312">
        <v>2</v>
      </c>
      <c r="N312">
        <v>4</v>
      </c>
      <c r="O312">
        <v>2</v>
      </c>
      <c r="P312" t="s">
        <v>59</v>
      </c>
      <c r="Q312" t="s">
        <v>50</v>
      </c>
      <c r="R312">
        <v>1</v>
      </c>
      <c r="S312">
        <v>1</v>
      </c>
      <c r="T312" t="s">
        <v>44</v>
      </c>
      <c r="U312" t="s">
        <v>79</v>
      </c>
      <c r="V312" t="s">
        <v>66</v>
      </c>
      <c r="W312" s="2">
        <v>45585</v>
      </c>
      <c r="X312" s="4">
        <f ca="1">TODAY()-DATASET[[#This Row],[Time_of_Purchase]]</f>
        <v>549</v>
      </c>
      <c r="Y312" t="b">
        <v>1</v>
      </c>
      <c r="Z312" t="b">
        <v>0</v>
      </c>
      <c r="AA312" t="s">
        <v>62</v>
      </c>
      <c r="AB312" t="s">
        <v>67</v>
      </c>
      <c r="AC312">
        <v>7</v>
      </c>
    </row>
    <row r="313" spans="1:29" x14ac:dyDescent="0.25">
      <c r="A313" t="s">
        <v>709</v>
      </c>
      <c r="B313">
        <v>34</v>
      </c>
      <c r="C313" t="s">
        <v>29</v>
      </c>
      <c r="D313" t="s">
        <v>30</v>
      </c>
      <c r="E313" t="s">
        <v>69</v>
      </c>
      <c r="F313" t="s">
        <v>45</v>
      </c>
      <c r="G313" t="s">
        <v>44</v>
      </c>
      <c r="H313" t="s">
        <v>710</v>
      </c>
      <c r="I313" t="s">
        <v>246</v>
      </c>
      <c r="J313" s="1">
        <v>351.36</v>
      </c>
      <c r="K313">
        <v>2</v>
      </c>
      <c r="L313" t="s">
        <v>48</v>
      </c>
      <c r="M313">
        <v>5</v>
      </c>
      <c r="N313">
        <v>3</v>
      </c>
      <c r="O313">
        <v>2</v>
      </c>
      <c r="P313" t="s">
        <v>44</v>
      </c>
      <c r="Q313" t="s">
        <v>85</v>
      </c>
      <c r="R313">
        <v>2</v>
      </c>
      <c r="S313">
        <v>6</v>
      </c>
      <c r="T313" t="s">
        <v>36</v>
      </c>
      <c r="U313" t="s">
        <v>79</v>
      </c>
      <c r="V313" t="s">
        <v>66</v>
      </c>
      <c r="W313" s="2">
        <v>45331</v>
      </c>
      <c r="X313" s="4">
        <f ca="1">TODAY()-DATASET[[#This Row],[Time_of_Purchase]]</f>
        <v>803</v>
      </c>
      <c r="Y313" t="b">
        <v>0</v>
      </c>
      <c r="Z313" t="b">
        <v>1</v>
      </c>
      <c r="AA313" t="s">
        <v>40</v>
      </c>
      <c r="AB313" t="s">
        <v>53</v>
      </c>
      <c r="AC313">
        <v>7</v>
      </c>
    </row>
    <row r="314" spans="1:29" x14ac:dyDescent="0.25">
      <c r="A314" t="s">
        <v>711</v>
      </c>
      <c r="B314">
        <v>40</v>
      </c>
      <c r="C314" t="s">
        <v>43</v>
      </c>
      <c r="D314" t="s">
        <v>44</v>
      </c>
      <c r="E314" t="s">
        <v>55</v>
      </c>
      <c r="F314" t="s">
        <v>32</v>
      </c>
      <c r="G314" t="s">
        <v>30</v>
      </c>
      <c r="H314" t="s">
        <v>712</v>
      </c>
      <c r="I314" t="s">
        <v>123</v>
      </c>
      <c r="J314" s="1">
        <v>333.63</v>
      </c>
      <c r="K314">
        <v>8</v>
      </c>
      <c r="L314" t="s">
        <v>35</v>
      </c>
      <c r="M314">
        <v>4</v>
      </c>
      <c r="N314">
        <v>5</v>
      </c>
      <c r="O314">
        <v>2</v>
      </c>
      <c r="P314" t="s">
        <v>36</v>
      </c>
      <c r="Q314" t="s">
        <v>85</v>
      </c>
      <c r="R314">
        <v>2</v>
      </c>
      <c r="S314">
        <v>2</v>
      </c>
      <c r="T314" t="s">
        <v>44</v>
      </c>
      <c r="U314" t="s">
        <v>60</v>
      </c>
      <c r="V314" t="s">
        <v>66</v>
      </c>
      <c r="W314" s="2">
        <v>45631</v>
      </c>
      <c r="X314" s="4">
        <f ca="1">TODAY()-DATASET[[#This Row],[Time_of_Purchase]]</f>
        <v>503</v>
      </c>
      <c r="Y314" t="b">
        <v>0</v>
      </c>
      <c r="Z314" t="b">
        <v>0</v>
      </c>
      <c r="AA314" t="s">
        <v>40</v>
      </c>
      <c r="AB314" t="s">
        <v>67</v>
      </c>
      <c r="AC314">
        <v>14</v>
      </c>
    </row>
    <row r="315" spans="1:29" x14ac:dyDescent="0.25">
      <c r="A315" t="s">
        <v>713</v>
      </c>
      <c r="B315">
        <v>42</v>
      </c>
      <c r="C315" t="s">
        <v>29</v>
      </c>
      <c r="D315" t="s">
        <v>44</v>
      </c>
      <c r="E315" t="s">
        <v>31</v>
      </c>
      <c r="F315" t="s">
        <v>32</v>
      </c>
      <c r="G315" t="s">
        <v>30</v>
      </c>
      <c r="H315" t="s">
        <v>714</v>
      </c>
      <c r="I315" t="s">
        <v>188</v>
      </c>
      <c r="J315" s="1">
        <v>469.9</v>
      </c>
      <c r="K315">
        <v>4</v>
      </c>
      <c r="L315" t="s">
        <v>35</v>
      </c>
      <c r="M315">
        <v>2</v>
      </c>
      <c r="N315">
        <v>5</v>
      </c>
      <c r="O315">
        <v>1</v>
      </c>
      <c r="P315" t="s">
        <v>59</v>
      </c>
      <c r="Q315" t="s">
        <v>50</v>
      </c>
      <c r="R315">
        <v>1</v>
      </c>
      <c r="S315">
        <v>7</v>
      </c>
      <c r="T315" t="s">
        <v>36</v>
      </c>
      <c r="U315" t="s">
        <v>79</v>
      </c>
      <c r="V315" t="s">
        <v>86</v>
      </c>
      <c r="W315" s="2">
        <v>45471</v>
      </c>
      <c r="X315" s="4">
        <f ca="1">TODAY()-DATASET[[#This Row],[Time_of_Purchase]]</f>
        <v>663</v>
      </c>
      <c r="Y315" t="b">
        <v>0</v>
      </c>
      <c r="Z315" t="b">
        <v>0</v>
      </c>
      <c r="AA315" t="s">
        <v>74</v>
      </c>
      <c r="AB315" t="s">
        <v>41</v>
      </c>
      <c r="AC315">
        <v>7</v>
      </c>
    </row>
    <row r="316" spans="1:29" x14ac:dyDescent="0.25">
      <c r="A316" t="s">
        <v>715</v>
      </c>
      <c r="B316">
        <v>28</v>
      </c>
      <c r="C316" t="s">
        <v>43</v>
      </c>
      <c r="D316" t="s">
        <v>44</v>
      </c>
      <c r="E316" t="s">
        <v>31</v>
      </c>
      <c r="F316" t="s">
        <v>32</v>
      </c>
      <c r="G316" t="s">
        <v>44</v>
      </c>
      <c r="H316" t="s">
        <v>716</v>
      </c>
      <c r="I316" t="s">
        <v>93</v>
      </c>
      <c r="J316" s="1">
        <v>207.52</v>
      </c>
      <c r="K316">
        <v>4</v>
      </c>
      <c r="L316" t="s">
        <v>48</v>
      </c>
      <c r="M316">
        <v>3</v>
      </c>
      <c r="N316">
        <v>4</v>
      </c>
      <c r="O316">
        <v>1</v>
      </c>
      <c r="P316" t="s">
        <v>59</v>
      </c>
      <c r="Q316" t="s">
        <v>50</v>
      </c>
      <c r="R316">
        <v>1</v>
      </c>
      <c r="S316">
        <v>8</v>
      </c>
      <c r="T316" t="s">
        <v>44</v>
      </c>
      <c r="U316" t="s">
        <v>79</v>
      </c>
      <c r="V316" t="s">
        <v>61</v>
      </c>
      <c r="W316" s="2">
        <v>45510</v>
      </c>
      <c r="X316" s="4">
        <f ca="1">TODAY()-DATASET[[#This Row],[Time_of_Purchase]]</f>
        <v>624</v>
      </c>
      <c r="Y316" t="b">
        <v>0</v>
      </c>
      <c r="Z316" t="b">
        <v>0</v>
      </c>
      <c r="AA316" t="s">
        <v>62</v>
      </c>
      <c r="AB316" t="s">
        <v>41</v>
      </c>
      <c r="AC316">
        <v>2</v>
      </c>
    </row>
    <row r="317" spans="1:29" x14ac:dyDescent="0.25">
      <c r="A317" t="s">
        <v>717</v>
      </c>
      <c r="B317">
        <v>49</v>
      </c>
      <c r="C317" t="s">
        <v>43</v>
      </c>
      <c r="D317" t="s">
        <v>44</v>
      </c>
      <c r="E317" t="s">
        <v>55</v>
      </c>
      <c r="F317" t="s">
        <v>32</v>
      </c>
      <c r="G317" t="s">
        <v>44</v>
      </c>
      <c r="H317" t="s">
        <v>718</v>
      </c>
      <c r="I317" t="s">
        <v>126</v>
      </c>
      <c r="J317" s="1">
        <v>125.89</v>
      </c>
      <c r="K317">
        <v>7</v>
      </c>
      <c r="L317" t="s">
        <v>48</v>
      </c>
      <c r="M317">
        <v>3</v>
      </c>
      <c r="N317">
        <v>3</v>
      </c>
      <c r="O317">
        <v>2</v>
      </c>
      <c r="P317" t="s">
        <v>59</v>
      </c>
      <c r="Q317" t="s">
        <v>50</v>
      </c>
      <c r="R317">
        <v>1</v>
      </c>
      <c r="S317">
        <v>6</v>
      </c>
      <c r="T317" t="s">
        <v>49</v>
      </c>
      <c r="U317" t="s">
        <v>79</v>
      </c>
      <c r="V317" t="s">
        <v>61</v>
      </c>
      <c r="W317" s="2">
        <v>45618</v>
      </c>
      <c r="X317" s="4">
        <f ca="1">TODAY()-DATASET[[#This Row],[Time_of_Purchase]]</f>
        <v>516</v>
      </c>
      <c r="Y317" t="b">
        <v>0</v>
      </c>
      <c r="Z317" t="b">
        <v>0</v>
      </c>
      <c r="AA317" t="s">
        <v>52</v>
      </c>
      <c r="AB317" t="s">
        <v>41</v>
      </c>
      <c r="AC317">
        <v>13</v>
      </c>
    </row>
    <row r="318" spans="1:29" x14ac:dyDescent="0.25">
      <c r="A318" t="s">
        <v>719</v>
      </c>
      <c r="B318">
        <v>46</v>
      </c>
      <c r="C318" t="s">
        <v>29</v>
      </c>
      <c r="D318" t="s">
        <v>44</v>
      </c>
      <c r="E318" t="s">
        <v>55</v>
      </c>
      <c r="F318" t="s">
        <v>56</v>
      </c>
      <c r="G318" t="s">
        <v>30</v>
      </c>
      <c r="H318" t="s">
        <v>720</v>
      </c>
      <c r="I318" t="s">
        <v>117</v>
      </c>
      <c r="J318" s="1">
        <v>170.77</v>
      </c>
      <c r="K318">
        <v>9</v>
      </c>
      <c r="L318" t="s">
        <v>78</v>
      </c>
      <c r="M318">
        <v>5</v>
      </c>
      <c r="N318">
        <v>2</v>
      </c>
      <c r="O318">
        <v>1</v>
      </c>
      <c r="P318" t="s">
        <v>49</v>
      </c>
      <c r="Q318" t="s">
        <v>37</v>
      </c>
      <c r="R318">
        <v>2</v>
      </c>
      <c r="S318">
        <v>1</v>
      </c>
      <c r="T318" t="s">
        <v>59</v>
      </c>
      <c r="U318" t="s">
        <v>60</v>
      </c>
      <c r="V318" t="s">
        <v>39</v>
      </c>
      <c r="W318" s="2">
        <v>45508</v>
      </c>
      <c r="X318" s="4">
        <f ca="1">TODAY()-DATASET[[#This Row],[Time_of_Purchase]]</f>
        <v>626</v>
      </c>
      <c r="Y318" t="b">
        <v>0</v>
      </c>
      <c r="Z318" t="b">
        <v>0</v>
      </c>
      <c r="AA318" t="s">
        <v>62</v>
      </c>
      <c r="AB318" t="s">
        <v>41</v>
      </c>
      <c r="AC318">
        <v>4</v>
      </c>
    </row>
    <row r="319" spans="1:29" x14ac:dyDescent="0.25">
      <c r="A319" t="s">
        <v>721</v>
      </c>
      <c r="B319">
        <v>44</v>
      </c>
      <c r="C319" t="s">
        <v>29</v>
      </c>
      <c r="D319" t="s">
        <v>44</v>
      </c>
      <c r="E319" t="s">
        <v>76</v>
      </c>
      <c r="F319" t="s">
        <v>56</v>
      </c>
      <c r="G319" t="s">
        <v>44</v>
      </c>
      <c r="H319" t="s">
        <v>722</v>
      </c>
      <c r="I319" t="s">
        <v>117</v>
      </c>
      <c r="J319" s="1">
        <v>63.91</v>
      </c>
      <c r="K319">
        <v>2</v>
      </c>
      <c r="L319" t="s">
        <v>78</v>
      </c>
      <c r="M319">
        <v>1</v>
      </c>
      <c r="N319">
        <v>4</v>
      </c>
      <c r="O319">
        <v>2</v>
      </c>
      <c r="P319" t="s">
        <v>36</v>
      </c>
      <c r="Q319" t="s">
        <v>50</v>
      </c>
      <c r="R319">
        <v>0</v>
      </c>
      <c r="S319">
        <v>6</v>
      </c>
      <c r="T319" t="s">
        <v>49</v>
      </c>
      <c r="U319" t="s">
        <v>60</v>
      </c>
      <c r="V319" t="s">
        <v>86</v>
      </c>
      <c r="W319" s="2">
        <v>45303</v>
      </c>
      <c r="X319" s="4">
        <f ca="1">TODAY()-DATASET[[#This Row],[Time_of_Purchase]]</f>
        <v>831</v>
      </c>
      <c r="Y319" t="b">
        <v>0</v>
      </c>
      <c r="Z319" t="b">
        <v>1</v>
      </c>
      <c r="AA319" t="s">
        <v>74</v>
      </c>
      <c r="AB319" t="s">
        <v>41</v>
      </c>
      <c r="AC319">
        <v>12</v>
      </c>
    </row>
    <row r="320" spans="1:29" x14ac:dyDescent="0.25">
      <c r="A320" t="s">
        <v>723</v>
      </c>
      <c r="B320">
        <v>29</v>
      </c>
      <c r="C320" t="s">
        <v>43</v>
      </c>
      <c r="D320" t="s">
        <v>44</v>
      </c>
      <c r="E320" t="s">
        <v>31</v>
      </c>
      <c r="F320" t="s">
        <v>45</v>
      </c>
      <c r="G320" t="s">
        <v>30</v>
      </c>
      <c r="H320" t="s">
        <v>724</v>
      </c>
      <c r="I320" t="s">
        <v>183</v>
      </c>
      <c r="J320" s="1">
        <v>340.55</v>
      </c>
      <c r="K320">
        <v>7</v>
      </c>
      <c r="L320" t="s">
        <v>48</v>
      </c>
      <c r="M320">
        <v>4</v>
      </c>
      <c r="N320">
        <v>5</v>
      </c>
      <c r="O320">
        <v>0</v>
      </c>
      <c r="P320" t="s">
        <v>59</v>
      </c>
      <c r="Q320" t="s">
        <v>50</v>
      </c>
      <c r="R320">
        <v>0</v>
      </c>
      <c r="S320">
        <v>7</v>
      </c>
      <c r="T320" t="s">
        <v>36</v>
      </c>
      <c r="U320" t="s">
        <v>79</v>
      </c>
      <c r="V320" t="s">
        <v>39</v>
      </c>
      <c r="W320" s="2">
        <v>45615</v>
      </c>
      <c r="X320" s="4">
        <f ca="1">TODAY()-DATASET[[#This Row],[Time_of_Purchase]]</f>
        <v>519</v>
      </c>
      <c r="Y320" t="b">
        <v>0</v>
      </c>
      <c r="Z320" t="b">
        <v>1</v>
      </c>
      <c r="AA320" t="s">
        <v>74</v>
      </c>
      <c r="AB320" t="s">
        <v>67</v>
      </c>
      <c r="AC320">
        <v>1</v>
      </c>
    </row>
    <row r="321" spans="1:29" x14ac:dyDescent="0.25">
      <c r="A321" t="s">
        <v>725</v>
      </c>
      <c r="B321">
        <v>47</v>
      </c>
      <c r="C321" t="s">
        <v>43</v>
      </c>
      <c r="D321" t="s">
        <v>30</v>
      </c>
      <c r="E321" t="s">
        <v>76</v>
      </c>
      <c r="F321" t="s">
        <v>32</v>
      </c>
      <c r="G321" t="s">
        <v>44</v>
      </c>
      <c r="H321" t="s">
        <v>726</v>
      </c>
      <c r="I321" t="s">
        <v>120</v>
      </c>
      <c r="J321" s="1">
        <v>378.14</v>
      </c>
      <c r="K321">
        <v>6</v>
      </c>
      <c r="L321" t="s">
        <v>35</v>
      </c>
      <c r="M321">
        <v>2</v>
      </c>
      <c r="N321">
        <v>2</v>
      </c>
      <c r="O321">
        <v>1</v>
      </c>
      <c r="P321" t="s">
        <v>49</v>
      </c>
      <c r="Q321" t="s">
        <v>85</v>
      </c>
      <c r="R321">
        <v>1</v>
      </c>
      <c r="S321">
        <v>6</v>
      </c>
      <c r="T321" t="s">
        <v>44</v>
      </c>
      <c r="U321" t="s">
        <v>60</v>
      </c>
      <c r="V321" t="s">
        <v>51</v>
      </c>
      <c r="W321" s="2">
        <v>45539</v>
      </c>
      <c r="X321" s="4">
        <f ca="1">TODAY()-DATASET[[#This Row],[Time_of_Purchase]]</f>
        <v>595</v>
      </c>
      <c r="Y321" t="b">
        <v>0</v>
      </c>
      <c r="Z321" t="b">
        <v>0</v>
      </c>
      <c r="AA321" t="s">
        <v>52</v>
      </c>
      <c r="AB321" t="s">
        <v>53</v>
      </c>
      <c r="AC321">
        <v>7</v>
      </c>
    </row>
    <row r="322" spans="1:29" x14ac:dyDescent="0.25">
      <c r="A322" t="s">
        <v>727</v>
      </c>
      <c r="B322">
        <v>37</v>
      </c>
      <c r="C322" t="s">
        <v>29</v>
      </c>
      <c r="D322" t="s">
        <v>30</v>
      </c>
      <c r="E322" t="s">
        <v>31</v>
      </c>
      <c r="F322" t="s">
        <v>32</v>
      </c>
      <c r="G322" t="s">
        <v>30</v>
      </c>
      <c r="H322" t="s">
        <v>254</v>
      </c>
      <c r="I322" t="s">
        <v>126</v>
      </c>
      <c r="J322" s="1">
        <v>235.84</v>
      </c>
      <c r="K322">
        <v>9</v>
      </c>
      <c r="L322" t="s">
        <v>35</v>
      </c>
      <c r="M322">
        <v>5</v>
      </c>
      <c r="N322">
        <v>2</v>
      </c>
      <c r="O322">
        <v>0</v>
      </c>
      <c r="P322" t="s">
        <v>36</v>
      </c>
      <c r="Q322" t="s">
        <v>85</v>
      </c>
      <c r="R322">
        <v>2</v>
      </c>
      <c r="S322">
        <v>3</v>
      </c>
      <c r="T322" t="s">
        <v>36</v>
      </c>
      <c r="U322" t="s">
        <v>79</v>
      </c>
      <c r="V322" t="s">
        <v>86</v>
      </c>
      <c r="W322" s="2">
        <v>45507</v>
      </c>
      <c r="X322" s="4">
        <f ca="1">TODAY()-DATASET[[#This Row],[Time_of_Purchase]]</f>
        <v>627</v>
      </c>
      <c r="Y322" t="b">
        <v>0</v>
      </c>
      <c r="Z322" t="b">
        <v>0</v>
      </c>
      <c r="AA322" t="s">
        <v>74</v>
      </c>
      <c r="AB322" t="s">
        <v>41</v>
      </c>
      <c r="AC322">
        <v>14</v>
      </c>
    </row>
    <row r="323" spans="1:29" x14ac:dyDescent="0.25">
      <c r="A323" t="s">
        <v>728</v>
      </c>
      <c r="B323">
        <v>47</v>
      </c>
      <c r="C323" t="s">
        <v>43</v>
      </c>
      <c r="D323" t="s">
        <v>44</v>
      </c>
      <c r="E323" t="s">
        <v>69</v>
      </c>
      <c r="F323" t="s">
        <v>45</v>
      </c>
      <c r="G323" t="s">
        <v>30</v>
      </c>
      <c r="H323" t="s">
        <v>729</v>
      </c>
      <c r="I323" t="s">
        <v>135</v>
      </c>
      <c r="J323" s="1">
        <v>164.44</v>
      </c>
      <c r="K323">
        <v>5</v>
      </c>
      <c r="L323" t="s">
        <v>48</v>
      </c>
      <c r="M323">
        <v>5</v>
      </c>
      <c r="N323">
        <v>1</v>
      </c>
      <c r="O323">
        <v>2</v>
      </c>
      <c r="P323" t="s">
        <v>59</v>
      </c>
      <c r="Q323" t="s">
        <v>37</v>
      </c>
      <c r="R323">
        <v>1</v>
      </c>
      <c r="S323">
        <v>10</v>
      </c>
      <c r="T323" t="s">
        <v>44</v>
      </c>
      <c r="U323" t="s">
        <v>60</v>
      </c>
      <c r="V323" t="s">
        <v>66</v>
      </c>
      <c r="W323" s="2">
        <v>45390</v>
      </c>
      <c r="X323" s="4">
        <f ca="1">TODAY()-DATASET[[#This Row],[Time_of_Purchase]]</f>
        <v>744</v>
      </c>
      <c r="Y323" t="b">
        <v>0</v>
      </c>
      <c r="Z323" t="b">
        <v>0</v>
      </c>
      <c r="AA323" t="s">
        <v>62</v>
      </c>
      <c r="AB323" t="s">
        <v>41</v>
      </c>
      <c r="AC323">
        <v>5</v>
      </c>
    </row>
    <row r="324" spans="1:29" x14ac:dyDescent="0.25">
      <c r="A324" t="s">
        <v>730</v>
      </c>
      <c r="B324">
        <v>24</v>
      </c>
      <c r="C324" t="s">
        <v>43</v>
      </c>
      <c r="D324" t="s">
        <v>44</v>
      </c>
      <c r="E324" t="s">
        <v>31</v>
      </c>
      <c r="F324" t="s">
        <v>32</v>
      </c>
      <c r="G324" t="s">
        <v>44</v>
      </c>
      <c r="H324" t="s">
        <v>731</v>
      </c>
      <c r="I324" t="s">
        <v>90</v>
      </c>
      <c r="J324" s="1">
        <v>455.81</v>
      </c>
      <c r="K324">
        <v>3</v>
      </c>
      <c r="L324" t="s">
        <v>78</v>
      </c>
      <c r="M324">
        <v>2</v>
      </c>
      <c r="N324">
        <v>3</v>
      </c>
      <c r="O324">
        <v>1</v>
      </c>
      <c r="P324" t="s">
        <v>59</v>
      </c>
      <c r="Q324" t="s">
        <v>37</v>
      </c>
      <c r="R324">
        <v>1</v>
      </c>
      <c r="S324">
        <v>6</v>
      </c>
      <c r="T324" t="s">
        <v>49</v>
      </c>
      <c r="U324" t="s">
        <v>60</v>
      </c>
      <c r="V324" t="s">
        <v>61</v>
      </c>
      <c r="W324" s="2">
        <v>45403</v>
      </c>
      <c r="X324" s="4">
        <f ca="1">TODAY()-DATASET[[#This Row],[Time_of_Purchase]]</f>
        <v>731</v>
      </c>
      <c r="Y324" t="b">
        <v>0</v>
      </c>
      <c r="Z324" t="b">
        <v>0</v>
      </c>
      <c r="AA324" t="s">
        <v>52</v>
      </c>
      <c r="AB324" t="s">
        <v>67</v>
      </c>
      <c r="AC324">
        <v>6</v>
      </c>
    </row>
    <row r="325" spans="1:29" x14ac:dyDescent="0.25">
      <c r="A325" t="s">
        <v>732</v>
      </c>
      <c r="B325">
        <v>36</v>
      </c>
      <c r="C325" t="s">
        <v>43</v>
      </c>
      <c r="D325" t="s">
        <v>44</v>
      </c>
      <c r="E325" t="s">
        <v>69</v>
      </c>
      <c r="F325" t="s">
        <v>56</v>
      </c>
      <c r="G325" t="s">
        <v>44</v>
      </c>
      <c r="H325" t="s">
        <v>733</v>
      </c>
      <c r="I325" t="s">
        <v>104</v>
      </c>
      <c r="J325" s="1">
        <v>298.32</v>
      </c>
      <c r="K325">
        <v>7</v>
      </c>
      <c r="L325" t="s">
        <v>48</v>
      </c>
      <c r="M325">
        <v>3</v>
      </c>
      <c r="N325">
        <v>5</v>
      </c>
      <c r="O325">
        <v>1</v>
      </c>
      <c r="P325" t="s">
        <v>59</v>
      </c>
      <c r="Q325" t="s">
        <v>37</v>
      </c>
      <c r="R325">
        <v>2</v>
      </c>
      <c r="S325">
        <v>8</v>
      </c>
      <c r="T325" t="s">
        <v>36</v>
      </c>
      <c r="U325" t="s">
        <v>38</v>
      </c>
      <c r="V325" t="s">
        <v>66</v>
      </c>
      <c r="W325" s="2">
        <v>45460</v>
      </c>
      <c r="X325" s="4">
        <f ca="1">TODAY()-DATASET[[#This Row],[Time_of_Purchase]]</f>
        <v>674</v>
      </c>
      <c r="Y325" t="b">
        <v>1</v>
      </c>
      <c r="Z325" t="b">
        <v>0</v>
      </c>
      <c r="AA325" t="s">
        <v>52</v>
      </c>
      <c r="AB325" t="s">
        <v>53</v>
      </c>
      <c r="AC325">
        <v>12</v>
      </c>
    </row>
    <row r="326" spans="1:29" x14ac:dyDescent="0.25">
      <c r="A326" t="s">
        <v>734</v>
      </c>
      <c r="B326">
        <v>36</v>
      </c>
      <c r="C326" t="s">
        <v>29</v>
      </c>
      <c r="D326" t="s">
        <v>44</v>
      </c>
      <c r="E326" t="s">
        <v>55</v>
      </c>
      <c r="F326" t="s">
        <v>32</v>
      </c>
      <c r="G326" t="s">
        <v>44</v>
      </c>
      <c r="H326" t="s">
        <v>735</v>
      </c>
      <c r="I326" t="s">
        <v>107</v>
      </c>
      <c r="J326" s="1">
        <v>351.71</v>
      </c>
      <c r="K326">
        <v>7</v>
      </c>
      <c r="L326" t="s">
        <v>48</v>
      </c>
      <c r="M326">
        <v>2</v>
      </c>
      <c r="N326">
        <v>2</v>
      </c>
      <c r="O326">
        <v>0</v>
      </c>
      <c r="P326" t="s">
        <v>49</v>
      </c>
      <c r="Q326" t="s">
        <v>85</v>
      </c>
      <c r="R326">
        <v>1</v>
      </c>
      <c r="S326">
        <v>6</v>
      </c>
      <c r="T326" t="s">
        <v>49</v>
      </c>
      <c r="U326" t="s">
        <v>38</v>
      </c>
      <c r="V326" t="s">
        <v>66</v>
      </c>
      <c r="W326" s="2">
        <v>45370</v>
      </c>
      <c r="X326" s="4">
        <f ca="1">TODAY()-DATASET[[#This Row],[Time_of_Purchase]]</f>
        <v>764</v>
      </c>
      <c r="Y326" t="b">
        <v>1</v>
      </c>
      <c r="Z326" t="b">
        <v>0</v>
      </c>
      <c r="AA326" t="s">
        <v>40</v>
      </c>
      <c r="AB326" t="s">
        <v>53</v>
      </c>
      <c r="AC326">
        <v>8</v>
      </c>
    </row>
    <row r="327" spans="1:29" x14ac:dyDescent="0.25">
      <c r="A327" t="s">
        <v>736</v>
      </c>
      <c r="B327">
        <v>49</v>
      </c>
      <c r="C327" t="s">
        <v>43</v>
      </c>
      <c r="D327" t="s">
        <v>30</v>
      </c>
      <c r="E327" t="s">
        <v>76</v>
      </c>
      <c r="F327" t="s">
        <v>32</v>
      </c>
      <c r="G327" t="s">
        <v>30</v>
      </c>
      <c r="H327" t="s">
        <v>737</v>
      </c>
      <c r="I327" t="s">
        <v>126</v>
      </c>
      <c r="J327" s="1">
        <v>393.48</v>
      </c>
      <c r="K327">
        <v>11</v>
      </c>
      <c r="L327" t="s">
        <v>48</v>
      </c>
      <c r="M327">
        <v>2</v>
      </c>
      <c r="N327">
        <v>2</v>
      </c>
      <c r="O327">
        <v>0</v>
      </c>
      <c r="P327" t="s">
        <v>44</v>
      </c>
      <c r="Q327" t="s">
        <v>85</v>
      </c>
      <c r="R327">
        <v>1</v>
      </c>
      <c r="S327">
        <v>10</v>
      </c>
      <c r="T327" t="s">
        <v>36</v>
      </c>
      <c r="U327" t="s">
        <v>38</v>
      </c>
      <c r="V327" t="s">
        <v>66</v>
      </c>
      <c r="W327" s="2">
        <v>45517</v>
      </c>
      <c r="X327" s="4">
        <f ca="1">TODAY()-DATASET[[#This Row],[Time_of_Purchase]]</f>
        <v>617</v>
      </c>
      <c r="Y327" t="b">
        <v>1</v>
      </c>
      <c r="Z327" t="b">
        <v>1</v>
      </c>
      <c r="AA327" t="s">
        <v>40</v>
      </c>
      <c r="AB327" t="s">
        <v>53</v>
      </c>
      <c r="AC327">
        <v>3</v>
      </c>
    </row>
    <row r="328" spans="1:29" x14ac:dyDescent="0.25">
      <c r="A328" t="s">
        <v>738</v>
      </c>
      <c r="B328">
        <v>19</v>
      </c>
      <c r="C328" t="s">
        <v>148</v>
      </c>
      <c r="D328" t="s">
        <v>44</v>
      </c>
      <c r="E328" t="s">
        <v>55</v>
      </c>
      <c r="F328" t="s">
        <v>45</v>
      </c>
      <c r="G328" t="s">
        <v>44</v>
      </c>
      <c r="H328" t="s">
        <v>739</v>
      </c>
      <c r="I328" t="s">
        <v>58</v>
      </c>
      <c r="J328" s="1">
        <v>241.72</v>
      </c>
      <c r="K328">
        <v>6</v>
      </c>
      <c r="L328" t="s">
        <v>35</v>
      </c>
      <c r="M328">
        <v>5</v>
      </c>
      <c r="N328">
        <v>2</v>
      </c>
      <c r="O328">
        <v>1</v>
      </c>
      <c r="P328" t="s">
        <v>49</v>
      </c>
      <c r="Q328" t="s">
        <v>50</v>
      </c>
      <c r="R328">
        <v>0</v>
      </c>
      <c r="S328">
        <v>8</v>
      </c>
      <c r="T328" t="s">
        <v>44</v>
      </c>
      <c r="U328" t="s">
        <v>79</v>
      </c>
      <c r="V328" t="s">
        <v>61</v>
      </c>
      <c r="W328" s="2">
        <v>45441</v>
      </c>
      <c r="X328" s="4">
        <f ca="1">TODAY()-DATASET[[#This Row],[Time_of_Purchase]]</f>
        <v>693</v>
      </c>
      <c r="Y328" t="b">
        <v>0</v>
      </c>
      <c r="Z328" t="b">
        <v>1</v>
      </c>
      <c r="AA328" t="s">
        <v>74</v>
      </c>
      <c r="AB328" t="s">
        <v>67</v>
      </c>
      <c r="AC328">
        <v>2</v>
      </c>
    </row>
    <row r="329" spans="1:29" x14ac:dyDescent="0.25">
      <c r="A329" t="s">
        <v>740</v>
      </c>
      <c r="B329">
        <v>27</v>
      </c>
      <c r="C329" t="s">
        <v>29</v>
      </c>
      <c r="D329" t="s">
        <v>44</v>
      </c>
      <c r="E329" t="s">
        <v>55</v>
      </c>
      <c r="F329" t="s">
        <v>32</v>
      </c>
      <c r="G329" t="s">
        <v>44</v>
      </c>
      <c r="H329" t="s">
        <v>645</v>
      </c>
      <c r="I329" t="s">
        <v>120</v>
      </c>
      <c r="J329" s="1">
        <v>280.2</v>
      </c>
      <c r="K329">
        <v>3</v>
      </c>
      <c r="L329" t="s">
        <v>48</v>
      </c>
      <c r="M329">
        <v>4</v>
      </c>
      <c r="N329">
        <v>2</v>
      </c>
      <c r="O329">
        <v>0</v>
      </c>
      <c r="P329" t="s">
        <v>49</v>
      </c>
      <c r="Q329" t="s">
        <v>37</v>
      </c>
      <c r="R329">
        <v>2</v>
      </c>
      <c r="S329">
        <v>7</v>
      </c>
      <c r="T329" t="s">
        <v>36</v>
      </c>
      <c r="U329" t="s">
        <v>79</v>
      </c>
      <c r="V329" t="s">
        <v>66</v>
      </c>
      <c r="W329" s="2">
        <v>45629</v>
      </c>
      <c r="X329" s="4">
        <f ca="1">TODAY()-DATASET[[#This Row],[Time_of_Purchase]]</f>
        <v>505</v>
      </c>
      <c r="Y329" t="b">
        <v>0</v>
      </c>
      <c r="Z329" t="b">
        <v>0</v>
      </c>
      <c r="AA329" t="s">
        <v>40</v>
      </c>
      <c r="AB329" t="s">
        <v>41</v>
      </c>
      <c r="AC329">
        <v>13</v>
      </c>
    </row>
    <row r="330" spans="1:29" x14ac:dyDescent="0.25">
      <c r="A330" t="s">
        <v>741</v>
      </c>
      <c r="B330">
        <v>36</v>
      </c>
      <c r="C330" t="s">
        <v>29</v>
      </c>
      <c r="D330" t="s">
        <v>30</v>
      </c>
      <c r="E330" t="s">
        <v>55</v>
      </c>
      <c r="F330" t="s">
        <v>56</v>
      </c>
      <c r="G330" t="s">
        <v>30</v>
      </c>
      <c r="H330" t="s">
        <v>742</v>
      </c>
      <c r="I330" t="s">
        <v>142</v>
      </c>
      <c r="J330" s="1">
        <v>178.04</v>
      </c>
      <c r="K330">
        <v>5</v>
      </c>
      <c r="L330" t="s">
        <v>35</v>
      </c>
      <c r="M330">
        <v>1</v>
      </c>
      <c r="N330">
        <v>1</v>
      </c>
      <c r="O330">
        <v>2</v>
      </c>
      <c r="P330" t="s">
        <v>36</v>
      </c>
      <c r="Q330" t="s">
        <v>37</v>
      </c>
      <c r="R330">
        <v>2</v>
      </c>
      <c r="S330">
        <v>10</v>
      </c>
      <c r="T330" t="s">
        <v>44</v>
      </c>
      <c r="U330" t="s">
        <v>60</v>
      </c>
      <c r="V330" t="s">
        <v>39</v>
      </c>
      <c r="W330" s="2">
        <v>45554</v>
      </c>
      <c r="X330" s="4">
        <f ca="1">TODAY()-DATASET[[#This Row],[Time_of_Purchase]]</f>
        <v>580</v>
      </c>
      <c r="Y330" t="b">
        <v>1</v>
      </c>
      <c r="Z330" t="b">
        <v>1</v>
      </c>
      <c r="AA330" t="s">
        <v>62</v>
      </c>
      <c r="AB330" t="s">
        <v>67</v>
      </c>
      <c r="AC330">
        <v>11</v>
      </c>
    </row>
    <row r="331" spans="1:29" x14ac:dyDescent="0.25">
      <c r="A331" t="s">
        <v>743</v>
      </c>
      <c r="B331">
        <v>37</v>
      </c>
      <c r="C331" t="s">
        <v>43</v>
      </c>
      <c r="D331" t="s">
        <v>44</v>
      </c>
      <c r="E331" t="s">
        <v>31</v>
      </c>
      <c r="F331" t="s">
        <v>56</v>
      </c>
      <c r="G331" t="s">
        <v>30</v>
      </c>
      <c r="H331" t="s">
        <v>744</v>
      </c>
      <c r="I331" t="s">
        <v>114</v>
      </c>
      <c r="J331" s="1">
        <v>347.99</v>
      </c>
      <c r="K331">
        <v>5</v>
      </c>
      <c r="L331" t="s">
        <v>35</v>
      </c>
      <c r="M331">
        <v>4</v>
      </c>
      <c r="N331">
        <v>4</v>
      </c>
      <c r="O331">
        <v>1</v>
      </c>
      <c r="P331" t="s">
        <v>59</v>
      </c>
      <c r="Q331" t="s">
        <v>37</v>
      </c>
      <c r="R331">
        <v>0</v>
      </c>
      <c r="S331">
        <v>1</v>
      </c>
      <c r="T331" t="s">
        <v>44</v>
      </c>
      <c r="U331" t="s">
        <v>79</v>
      </c>
      <c r="V331" t="s">
        <v>51</v>
      </c>
      <c r="W331" s="2">
        <v>45373</v>
      </c>
      <c r="X331" s="4">
        <f ca="1">TODAY()-DATASET[[#This Row],[Time_of_Purchase]]</f>
        <v>761</v>
      </c>
      <c r="Y331" t="b">
        <v>1</v>
      </c>
      <c r="Z331" t="b">
        <v>0</v>
      </c>
      <c r="AA331" t="s">
        <v>74</v>
      </c>
      <c r="AB331" t="s">
        <v>53</v>
      </c>
      <c r="AC331">
        <v>6</v>
      </c>
    </row>
    <row r="332" spans="1:29" x14ac:dyDescent="0.25">
      <c r="A332" t="s">
        <v>745</v>
      </c>
      <c r="B332">
        <v>45</v>
      </c>
      <c r="C332" t="s">
        <v>29</v>
      </c>
      <c r="D332" t="s">
        <v>30</v>
      </c>
      <c r="E332" t="s">
        <v>55</v>
      </c>
      <c r="F332" t="s">
        <v>56</v>
      </c>
      <c r="G332" t="s">
        <v>44</v>
      </c>
      <c r="H332" t="s">
        <v>746</v>
      </c>
      <c r="I332" t="s">
        <v>58</v>
      </c>
      <c r="J332" s="1">
        <v>343.81</v>
      </c>
      <c r="K332">
        <v>3</v>
      </c>
      <c r="L332" t="s">
        <v>48</v>
      </c>
      <c r="M332">
        <v>3</v>
      </c>
      <c r="N332">
        <v>5</v>
      </c>
      <c r="O332">
        <v>0</v>
      </c>
      <c r="P332" t="s">
        <v>44</v>
      </c>
      <c r="Q332" t="s">
        <v>37</v>
      </c>
      <c r="R332">
        <v>0</v>
      </c>
      <c r="S332">
        <v>7</v>
      </c>
      <c r="T332" t="s">
        <v>49</v>
      </c>
      <c r="U332" t="s">
        <v>79</v>
      </c>
      <c r="V332" t="s">
        <v>39</v>
      </c>
      <c r="W332" s="2">
        <v>45344</v>
      </c>
      <c r="X332" s="4">
        <f ca="1">TODAY()-DATASET[[#This Row],[Time_of_Purchase]]</f>
        <v>790</v>
      </c>
      <c r="Y332" t="b">
        <v>0</v>
      </c>
      <c r="Z332" t="b">
        <v>1</v>
      </c>
      <c r="AA332" t="s">
        <v>40</v>
      </c>
      <c r="AB332" t="s">
        <v>53</v>
      </c>
      <c r="AC332">
        <v>3</v>
      </c>
    </row>
    <row r="333" spans="1:29" x14ac:dyDescent="0.25">
      <c r="A333" t="s">
        <v>747</v>
      </c>
      <c r="B333">
        <v>47</v>
      </c>
      <c r="C333" t="s">
        <v>29</v>
      </c>
      <c r="D333" t="s">
        <v>30</v>
      </c>
      <c r="E333" t="s">
        <v>31</v>
      </c>
      <c r="F333" t="s">
        <v>56</v>
      </c>
      <c r="G333" t="s">
        <v>30</v>
      </c>
      <c r="H333" t="s">
        <v>748</v>
      </c>
      <c r="I333" t="s">
        <v>101</v>
      </c>
      <c r="J333" s="1">
        <v>105.29</v>
      </c>
      <c r="K333">
        <v>7</v>
      </c>
      <c r="L333" t="s">
        <v>48</v>
      </c>
      <c r="M333">
        <v>2</v>
      </c>
      <c r="N333">
        <v>5</v>
      </c>
      <c r="O333">
        <v>0</v>
      </c>
      <c r="P333" t="s">
        <v>59</v>
      </c>
      <c r="Q333" t="s">
        <v>85</v>
      </c>
      <c r="R333">
        <v>0</v>
      </c>
      <c r="S333">
        <v>1</v>
      </c>
      <c r="T333" t="s">
        <v>44</v>
      </c>
      <c r="U333" t="s">
        <v>79</v>
      </c>
      <c r="V333" t="s">
        <v>86</v>
      </c>
      <c r="W333" s="2">
        <v>45651</v>
      </c>
      <c r="X333" s="4">
        <f ca="1">TODAY()-DATASET[[#This Row],[Time_of_Purchase]]</f>
        <v>483</v>
      </c>
      <c r="Y333" t="b">
        <v>0</v>
      </c>
      <c r="Z333" t="b">
        <v>1</v>
      </c>
      <c r="AA333" t="s">
        <v>40</v>
      </c>
      <c r="AB333" t="s">
        <v>67</v>
      </c>
      <c r="AC333">
        <v>4</v>
      </c>
    </row>
    <row r="334" spans="1:29" x14ac:dyDescent="0.25">
      <c r="A334" t="s">
        <v>749</v>
      </c>
      <c r="B334">
        <v>32</v>
      </c>
      <c r="C334" t="s">
        <v>43</v>
      </c>
      <c r="D334" t="s">
        <v>30</v>
      </c>
      <c r="E334" t="s">
        <v>55</v>
      </c>
      <c r="F334" t="s">
        <v>45</v>
      </c>
      <c r="G334" t="s">
        <v>30</v>
      </c>
      <c r="H334" t="s">
        <v>750</v>
      </c>
      <c r="I334" t="s">
        <v>107</v>
      </c>
      <c r="J334" s="1">
        <v>483.66</v>
      </c>
      <c r="K334">
        <v>3</v>
      </c>
      <c r="L334" t="s">
        <v>78</v>
      </c>
      <c r="M334">
        <v>1</v>
      </c>
      <c r="N334">
        <v>4</v>
      </c>
      <c r="O334">
        <v>1</v>
      </c>
      <c r="P334" t="s">
        <v>49</v>
      </c>
      <c r="Q334" t="s">
        <v>50</v>
      </c>
      <c r="R334">
        <v>2</v>
      </c>
      <c r="S334">
        <v>1</v>
      </c>
      <c r="T334" t="s">
        <v>49</v>
      </c>
      <c r="U334" t="s">
        <v>79</v>
      </c>
      <c r="V334" t="s">
        <v>66</v>
      </c>
      <c r="W334" s="2">
        <v>45531</v>
      </c>
      <c r="X334" s="4">
        <f ca="1">TODAY()-DATASET[[#This Row],[Time_of_Purchase]]</f>
        <v>603</v>
      </c>
      <c r="Y334" t="b">
        <v>0</v>
      </c>
      <c r="Z334" t="b">
        <v>0</v>
      </c>
      <c r="AA334" t="s">
        <v>62</v>
      </c>
      <c r="AB334" t="s">
        <v>53</v>
      </c>
      <c r="AC334">
        <v>9</v>
      </c>
    </row>
    <row r="335" spans="1:29" x14ac:dyDescent="0.25">
      <c r="A335" t="s">
        <v>751</v>
      </c>
      <c r="B335">
        <v>48</v>
      </c>
      <c r="C335" t="s">
        <v>43</v>
      </c>
      <c r="D335" t="s">
        <v>30</v>
      </c>
      <c r="E335" t="s">
        <v>31</v>
      </c>
      <c r="F335" t="s">
        <v>32</v>
      </c>
      <c r="G335" t="s">
        <v>30</v>
      </c>
      <c r="H335" t="s">
        <v>752</v>
      </c>
      <c r="I335" t="s">
        <v>65</v>
      </c>
      <c r="J335" s="1">
        <v>69.41</v>
      </c>
      <c r="K335">
        <v>8</v>
      </c>
      <c r="L335" t="s">
        <v>35</v>
      </c>
      <c r="M335">
        <v>5</v>
      </c>
      <c r="N335">
        <v>3</v>
      </c>
      <c r="O335">
        <v>0</v>
      </c>
      <c r="P335" t="s">
        <v>44</v>
      </c>
      <c r="Q335" t="s">
        <v>37</v>
      </c>
      <c r="R335">
        <v>1</v>
      </c>
      <c r="S335">
        <v>9</v>
      </c>
      <c r="T335" t="s">
        <v>44</v>
      </c>
      <c r="U335" t="s">
        <v>38</v>
      </c>
      <c r="V335" t="s">
        <v>86</v>
      </c>
      <c r="W335" s="2">
        <v>45319</v>
      </c>
      <c r="X335" s="4">
        <f ca="1">TODAY()-DATASET[[#This Row],[Time_of_Purchase]]</f>
        <v>815</v>
      </c>
      <c r="Y335" t="b">
        <v>0</v>
      </c>
      <c r="Z335" t="b">
        <v>0</v>
      </c>
      <c r="AA335" t="s">
        <v>52</v>
      </c>
      <c r="AB335" t="s">
        <v>53</v>
      </c>
      <c r="AC335">
        <v>5</v>
      </c>
    </row>
    <row r="336" spans="1:29" x14ac:dyDescent="0.25">
      <c r="A336" t="s">
        <v>753</v>
      </c>
      <c r="B336">
        <v>20</v>
      </c>
      <c r="C336" t="s">
        <v>148</v>
      </c>
      <c r="D336" t="s">
        <v>44</v>
      </c>
      <c r="E336" t="s">
        <v>55</v>
      </c>
      <c r="F336" t="s">
        <v>56</v>
      </c>
      <c r="G336" t="s">
        <v>30</v>
      </c>
      <c r="H336" t="s">
        <v>754</v>
      </c>
      <c r="I336" t="s">
        <v>126</v>
      </c>
      <c r="J336" s="1">
        <v>207.18</v>
      </c>
      <c r="K336">
        <v>11</v>
      </c>
      <c r="L336" t="s">
        <v>78</v>
      </c>
      <c r="M336">
        <v>1</v>
      </c>
      <c r="N336">
        <v>3</v>
      </c>
      <c r="O336">
        <v>0</v>
      </c>
      <c r="P336" t="s">
        <v>59</v>
      </c>
      <c r="Q336" t="s">
        <v>37</v>
      </c>
      <c r="R336">
        <v>1</v>
      </c>
      <c r="S336">
        <v>5</v>
      </c>
      <c r="T336" t="s">
        <v>44</v>
      </c>
      <c r="U336" t="s">
        <v>38</v>
      </c>
      <c r="V336" t="s">
        <v>51</v>
      </c>
      <c r="W336" s="2">
        <v>45612</v>
      </c>
      <c r="X336" s="4">
        <f ca="1">TODAY()-DATASET[[#This Row],[Time_of_Purchase]]</f>
        <v>522</v>
      </c>
      <c r="Y336" t="b">
        <v>0</v>
      </c>
      <c r="Z336" t="b">
        <v>0</v>
      </c>
      <c r="AA336" t="s">
        <v>52</v>
      </c>
      <c r="AB336" t="s">
        <v>53</v>
      </c>
      <c r="AC336">
        <v>8</v>
      </c>
    </row>
    <row r="337" spans="1:29" x14ac:dyDescent="0.25">
      <c r="A337" t="s">
        <v>755</v>
      </c>
      <c r="B337">
        <v>32</v>
      </c>
      <c r="C337" t="s">
        <v>43</v>
      </c>
      <c r="D337" t="s">
        <v>30</v>
      </c>
      <c r="E337" t="s">
        <v>76</v>
      </c>
      <c r="F337" t="s">
        <v>45</v>
      </c>
      <c r="G337" t="s">
        <v>44</v>
      </c>
      <c r="H337" t="s">
        <v>756</v>
      </c>
      <c r="I337" t="s">
        <v>142</v>
      </c>
      <c r="J337" s="1">
        <v>454.15</v>
      </c>
      <c r="K337">
        <v>11</v>
      </c>
      <c r="L337" t="s">
        <v>48</v>
      </c>
      <c r="M337">
        <v>2</v>
      </c>
      <c r="N337">
        <v>1</v>
      </c>
      <c r="O337">
        <v>1</v>
      </c>
      <c r="P337" t="s">
        <v>44</v>
      </c>
      <c r="Q337" t="s">
        <v>50</v>
      </c>
      <c r="R337">
        <v>1</v>
      </c>
      <c r="S337">
        <v>8</v>
      </c>
      <c r="T337" t="s">
        <v>44</v>
      </c>
      <c r="U337" t="s">
        <v>60</v>
      </c>
      <c r="V337" t="s">
        <v>86</v>
      </c>
      <c r="W337" s="2">
        <v>45634</v>
      </c>
      <c r="X337" s="4">
        <f ca="1">TODAY()-DATASET[[#This Row],[Time_of_Purchase]]</f>
        <v>500</v>
      </c>
      <c r="Y337" t="b">
        <v>1</v>
      </c>
      <c r="Z337" t="b">
        <v>1</v>
      </c>
      <c r="AA337" t="s">
        <v>74</v>
      </c>
      <c r="AB337" t="s">
        <v>67</v>
      </c>
      <c r="AC337">
        <v>13</v>
      </c>
    </row>
    <row r="338" spans="1:29" x14ac:dyDescent="0.25">
      <c r="A338" t="s">
        <v>757</v>
      </c>
      <c r="B338">
        <v>25</v>
      </c>
      <c r="C338" t="s">
        <v>43</v>
      </c>
      <c r="D338" t="s">
        <v>44</v>
      </c>
      <c r="E338" t="s">
        <v>69</v>
      </c>
      <c r="F338" t="s">
        <v>45</v>
      </c>
      <c r="G338" t="s">
        <v>44</v>
      </c>
      <c r="H338" t="s">
        <v>758</v>
      </c>
      <c r="I338" t="s">
        <v>158</v>
      </c>
      <c r="J338" s="1">
        <v>113.01</v>
      </c>
      <c r="K338">
        <v>11</v>
      </c>
      <c r="L338" t="s">
        <v>48</v>
      </c>
      <c r="M338">
        <v>5</v>
      </c>
      <c r="N338">
        <v>2</v>
      </c>
      <c r="O338">
        <v>2</v>
      </c>
      <c r="P338" t="s">
        <v>59</v>
      </c>
      <c r="Q338" t="s">
        <v>85</v>
      </c>
      <c r="R338">
        <v>1</v>
      </c>
      <c r="S338">
        <v>1</v>
      </c>
      <c r="T338" t="s">
        <v>36</v>
      </c>
      <c r="U338" t="s">
        <v>38</v>
      </c>
      <c r="V338" t="s">
        <v>39</v>
      </c>
      <c r="W338" s="2">
        <v>45427</v>
      </c>
      <c r="X338" s="4">
        <f ca="1">TODAY()-DATASET[[#This Row],[Time_of_Purchase]]</f>
        <v>707</v>
      </c>
      <c r="Y338" t="b">
        <v>0</v>
      </c>
      <c r="Z338" t="b">
        <v>1</v>
      </c>
      <c r="AA338" t="s">
        <v>62</v>
      </c>
      <c r="AB338" t="s">
        <v>67</v>
      </c>
      <c r="AC338">
        <v>4</v>
      </c>
    </row>
    <row r="339" spans="1:29" x14ac:dyDescent="0.25">
      <c r="A339" t="s">
        <v>759</v>
      </c>
      <c r="B339">
        <v>42</v>
      </c>
      <c r="C339" t="s">
        <v>43</v>
      </c>
      <c r="D339" t="s">
        <v>30</v>
      </c>
      <c r="E339" t="s">
        <v>76</v>
      </c>
      <c r="F339" t="s">
        <v>32</v>
      </c>
      <c r="G339" t="s">
        <v>30</v>
      </c>
      <c r="H339" t="s">
        <v>760</v>
      </c>
      <c r="I339" t="s">
        <v>114</v>
      </c>
      <c r="J339" s="1">
        <v>419.13</v>
      </c>
      <c r="K339">
        <v>4</v>
      </c>
      <c r="L339" t="s">
        <v>35</v>
      </c>
      <c r="M339">
        <v>3</v>
      </c>
      <c r="N339">
        <v>5</v>
      </c>
      <c r="O339">
        <v>1</v>
      </c>
      <c r="P339" t="s">
        <v>36</v>
      </c>
      <c r="Q339" t="s">
        <v>50</v>
      </c>
      <c r="R339">
        <v>0</v>
      </c>
      <c r="S339">
        <v>1</v>
      </c>
      <c r="T339" t="s">
        <v>36</v>
      </c>
      <c r="U339" t="s">
        <v>60</v>
      </c>
      <c r="V339" t="s">
        <v>86</v>
      </c>
      <c r="W339" s="2">
        <v>45507</v>
      </c>
      <c r="X339" s="4">
        <f ca="1">TODAY()-DATASET[[#This Row],[Time_of_Purchase]]</f>
        <v>627</v>
      </c>
      <c r="Y339" t="b">
        <v>0</v>
      </c>
      <c r="Z339" t="b">
        <v>1</v>
      </c>
      <c r="AA339" t="s">
        <v>52</v>
      </c>
      <c r="AB339" t="s">
        <v>67</v>
      </c>
      <c r="AC339">
        <v>6</v>
      </c>
    </row>
    <row r="340" spans="1:29" x14ac:dyDescent="0.25">
      <c r="A340" t="s">
        <v>761</v>
      </c>
      <c r="B340">
        <v>37</v>
      </c>
      <c r="C340" t="s">
        <v>29</v>
      </c>
      <c r="D340" t="s">
        <v>44</v>
      </c>
      <c r="E340" t="s">
        <v>55</v>
      </c>
      <c r="F340" t="s">
        <v>32</v>
      </c>
      <c r="G340" t="s">
        <v>44</v>
      </c>
      <c r="H340" t="s">
        <v>762</v>
      </c>
      <c r="I340" t="s">
        <v>246</v>
      </c>
      <c r="J340" s="1">
        <v>183.86</v>
      </c>
      <c r="K340">
        <v>5</v>
      </c>
      <c r="L340" t="s">
        <v>35</v>
      </c>
      <c r="M340">
        <v>1</v>
      </c>
      <c r="N340">
        <v>1</v>
      </c>
      <c r="O340">
        <v>2</v>
      </c>
      <c r="P340" t="s">
        <v>49</v>
      </c>
      <c r="Q340" t="s">
        <v>50</v>
      </c>
      <c r="R340">
        <v>1</v>
      </c>
      <c r="S340">
        <v>4</v>
      </c>
      <c r="T340" t="s">
        <v>59</v>
      </c>
      <c r="U340" t="s">
        <v>60</v>
      </c>
      <c r="V340" t="s">
        <v>61</v>
      </c>
      <c r="W340" s="2">
        <v>45572</v>
      </c>
      <c r="X340" s="4">
        <f ca="1">TODAY()-DATASET[[#This Row],[Time_of_Purchase]]</f>
        <v>562</v>
      </c>
      <c r="Y340" t="b">
        <v>0</v>
      </c>
      <c r="Z340" t="b">
        <v>1</v>
      </c>
      <c r="AA340" t="s">
        <v>52</v>
      </c>
      <c r="AB340" t="s">
        <v>53</v>
      </c>
      <c r="AC340">
        <v>3</v>
      </c>
    </row>
    <row r="341" spans="1:29" x14ac:dyDescent="0.25">
      <c r="A341" t="s">
        <v>763</v>
      </c>
      <c r="B341">
        <v>21</v>
      </c>
      <c r="C341" t="s">
        <v>148</v>
      </c>
      <c r="D341" t="s">
        <v>30</v>
      </c>
      <c r="E341" t="s">
        <v>69</v>
      </c>
      <c r="F341" t="s">
        <v>56</v>
      </c>
      <c r="G341" t="s">
        <v>30</v>
      </c>
      <c r="H341" t="s">
        <v>764</v>
      </c>
      <c r="I341" t="s">
        <v>114</v>
      </c>
      <c r="J341" s="1">
        <v>53.87</v>
      </c>
      <c r="K341">
        <v>10</v>
      </c>
      <c r="L341" t="s">
        <v>48</v>
      </c>
      <c r="M341">
        <v>4</v>
      </c>
      <c r="N341">
        <v>3</v>
      </c>
      <c r="O341">
        <v>0</v>
      </c>
      <c r="P341" t="s">
        <v>49</v>
      </c>
      <c r="Q341" t="s">
        <v>85</v>
      </c>
      <c r="R341">
        <v>0</v>
      </c>
      <c r="S341">
        <v>10</v>
      </c>
      <c r="T341" t="s">
        <v>44</v>
      </c>
      <c r="U341" t="s">
        <v>38</v>
      </c>
      <c r="V341" t="s">
        <v>86</v>
      </c>
      <c r="W341" s="2">
        <v>45468</v>
      </c>
      <c r="X341" s="4">
        <f ca="1">TODAY()-DATASET[[#This Row],[Time_of_Purchase]]</f>
        <v>666</v>
      </c>
      <c r="Y341" t="b">
        <v>1</v>
      </c>
      <c r="Z341" t="b">
        <v>0</v>
      </c>
      <c r="AA341" t="s">
        <v>74</v>
      </c>
      <c r="AB341" t="s">
        <v>41</v>
      </c>
      <c r="AC341">
        <v>2</v>
      </c>
    </row>
    <row r="342" spans="1:29" x14ac:dyDescent="0.25">
      <c r="A342" t="s">
        <v>765</v>
      </c>
      <c r="B342">
        <v>43</v>
      </c>
      <c r="C342" t="s">
        <v>29</v>
      </c>
      <c r="D342" t="s">
        <v>44</v>
      </c>
      <c r="E342" t="s">
        <v>69</v>
      </c>
      <c r="F342" t="s">
        <v>32</v>
      </c>
      <c r="G342" t="s">
        <v>44</v>
      </c>
      <c r="H342" t="s">
        <v>766</v>
      </c>
      <c r="I342" t="s">
        <v>47</v>
      </c>
      <c r="J342" s="1">
        <v>427.82</v>
      </c>
      <c r="K342">
        <v>9</v>
      </c>
      <c r="L342" t="s">
        <v>48</v>
      </c>
      <c r="M342">
        <v>5</v>
      </c>
      <c r="N342">
        <v>5</v>
      </c>
      <c r="O342">
        <v>0</v>
      </c>
      <c r="P342" t="s">
        <v>49</v>
      </c>
      <c r="Q342" t="s">
        <v>37</v>
      </c>
      <c r="R342">
        <v>1</v>
      </c>
      <c r="S342">
        <v>2</v>
      </c>
      <c r="T342" t="s">
        <v>49</v>
      </c>
      <c r="U342" t="s">
        <v>79</v>
      </c>
      <c r="V342" t="s">
        <v>51</v>
      </c>
      <c r="W342" s="2">
        <v>45386</v>
      </c>
      <c r="X342" s="4">
        <f ca="1">TODAY()-DATASET[[#This Row],[Time_of_Purchase]]</f>
        <v>748</v>
      </c>
      <c r="Y342" t="b">
        <v>1</v>
      </c>
      <c r="Z342" t="b">
        <v>0</v>
      </c>
      <c r="AA342" t="s">
        <v>52</v>
      </c>
      <c r="AB342" t="s">
        <v>41</v>
      </c>
      <c r="AC342">
        <v>14</v>
      </c>
    </row>
    <row r="343" spans="1:29" x14ac:dyDescent="0.25">
      <c r="A343" t="s">
        <v>767</v>
      </c>
      <c r="B343">
        <v>29</v>
      </c>
      <c r="C343" t="s">
        <v>29</v>
      </c>
      <c r="D343" t="s">
        <v>44</v>
      </c>
      <c r="E343" t="s">
        <v>76</v>
      </c>
      <c r="F343" t="s">
        <v>32</v>
      </c>
      <c r="G343" t="s">
        <v>30</v>
      </c>
      <c r="H343" t="s">
        <v>768</v>
      </c>
      <c r="I343" t="s">
        <v>114</v>
      </c>
      <c r="J343" s="1">
        <v>282.82</v>
      </c>
      <c r="K343">
        <v>6</v>
      </c>
      <c r="L343" t="s">
        <v>48</v>
      </c>
      <c r="M343">
        <v>5</v>
      </c>
      <c r="N343">
        <v>3</v>
      </c>
      <c r="O343">
        <v>2</v>
      </c>
      <c r="P343" t="s">
        <v>49</v>
      </c>
      <c r="Q343" t="s">
        <v>85</v>
      </c>
      <c r="R343">
        <v>2</v>
      </c>
      <c r="S343">
        <v>7</v>
      </c>
      <c r="T343" t="s">
        <v>36</v>
      </c>
      <c r="U343" t="s">
        <v>79</v>
      </c>
      <c r="V343" t="s">
        <v>66</v>
      </c>
      <c r="W343" s="2">
        <v>45351</v>
      </c>
      <c r="X343" s="4">
        <f ca="1">TODAY()-DATASET[[#This Row],[Time_of_Purchase]]</f>
        <v>783</v>
      </c>
      <c r="Y343" t="b">
        <v>0</v>
      </c>
      <c r="Z343" t="b">
        <v>1</v>
      </c>
      <c r="AA343" t="s">
        <v>52</v>
      </c>
      <c r="AB343" t="s">
        <v>53</v>
      </c>
      <c r="AC343">
        <v>3</v>
      </c>
    </row>
    <row r="344" spans="1:29" x14ac:dyDescent="0.25">
      <c r="A344" t="s">
        <v>769</v>
      </c>
      <c r="B344">
        <v>28</v>
      </c>
      <c r="C344" t="s">
        <v>43</v>
      </c>
      <c r="D344" t="s">
        <v>30</v>
      </c>
      <c r="E344" t="s">
        <v>76</v>
      </c>
      <c r="F344" t="s">
        <v>56</v>
      </c>
      <c r="G344" t="s">
        <v>30</v>
      </c>
      <c r="H344" t="s">
        <v>770</v>
      </c>
      <c r="I344" t="s">
        <v>117</v>
      </c>
      <c r="J344" s="1">
        <v>215.31</v>
      </c>
      <c r="K344">
        <v>7</v>
      </c>
      <c r="L344" t="s">
        <v>78</v>
      </c>
      <c r="M344">
        <v>5</v>
      </c>
      <c r="N344">
        <v>5</v>
      </c>
      <c r="O344">
        <v>2</v>
      </c>
      <c r="P344" t="s">
        <v>49</v>
      </c>
      <c r="Q344" t="s">
        <v>37</v>
      </c>
      <c r="R344">
        <v>1</v>
      </c>
      <c r="S344">
        <v>8</v>
      </c>
      <c r="T344" t="s">
        <v>49</v>
      </c>
      <c r="U344" t="s">
        <v>60</v>
      </c>
      <c r="V344" t="s">
        <v>66</v>
      </c>
      <c r="W344" s="2">
        <v>45391</v>
      </c>
      <c r="X344" s="4">
        <f ca="1">TODAY()-DATASET[[#This Row],[Time_of_Purchase]]</f>
        <v>743</v>
      </c>
      <c r="Y344" t="b">
        <v>0</v>
      </c>
      <c r="Z344" t="b">
        <v>1</v>
      </c>
      <c r="AA344" t="s">
        <v>62</v>
      </c>
      <c r="AB344" t="s">
        <v>41</v>
      </c>
      <c r="AC344">
        <v>7</v>
      </c>
    </row>
    <row r="345" spans="1:29" x14ac:dyDescent="0.25">
      <c r="A345" t="s">
        <v>771</v>
      </c>
      <c r="B345">
        <v>43</v>
      </c>
      <c r="C345" t="s">
        <v>43</v>
      </c>
      <c r="D345" t="s">
        <v>30</v>
      </c>
      <c r="E345" t="s">
        <v>69</v>
      </c>
      <c r="F345" t="s">
        <v>56</v>
      </c>
      <c r="G345" t="s">
        <v>44</v>
      </c>
      <c r="H345" t="s">
        <v>772</v>
      </c>
      <c r="I345" t="s">
        <v>71</v>
      </c>
      <c r="J345" s="1">
        <v>183.66</v>
      </c>
      <c r="K345">
        <v>11</v>
      </c>
      <c r="L345" t="s">
        <v>78</v>
      </c>
      <c r="M345">
        <v>3</v>
      </c>
      <c r="N345">
        <v>1</v>
      </c>
      <c r="O345">
        <v>1</v>
      </c>
      <c r="P345" t="s">
        <v>59</v>
      </c>
      <c r="Q345" t="s">
        <v>85</v>
      </c>
      <c r="R345">
        <v>0</v>
      </c>
      <c r="S345">
        <v>10</v>
      </c>
      <c r="T345" t="s">
        <v>49</v>
      </c>
      <c r="U345" t="s">
        <v>38</v>
      </c>
      <c r="V345" t="s">
        <v>39</v>
      </c>
      <c r="W345" s="2">
        <v>45400</v>
      </c>
      <c r="X345" s="4">
        <f ca="1">TODAY()-DATASET[[#This Row],[Time_of_Purchase]]</f>
        <v>734</v>
      </c>
      <c r="Y345" t="b">
        <v>1</v>
      </c>
      <c r="Z345" t="b">
        <v>1</v>
      </c>
      <c r="AA345" t="s">
        <v>74</v>
      </c>
      <c r="AB345" t="s">
        <v>41</v>
      </c>
      <c r="AC345">
        <v>6</v>
      </c>
    </row>
    <row r="346" spans="1:29" x14ac:dyDescent="0.25">
      <c r="A346" t="s">
        <v>773</v>
      </c>
      <c r="B346">
        <v>48</v>
      </c>
      <c r="C346" t="s">
        <v>29</v>
      </c>
      <c r="D346" t="s">
        <v>44</v>
      </c>
      <c r="E346" t="s">
        <v>76</v>
      </c>
      <c r="F346" t="s">
        <v>45</v>
      </c>
      <c r="G346" t="s">
        <v>30</v>
      </c>
      <c r="H346" t="s">
        <v>774</v>
      </c>
      <c r="I346" t="s">
        <v>123</v>
      </c>
      <c r="J346" s="1">
        <v>198.73</v>
      </c>
      <c r="K346">
        <v>10</v>
      </c>
      <c r="L346" t="s">
        <v>48</v>
      </c>
      <c r="M346">
        <v>1</v>
      </c>
      <c r="N346">
        <v>5</v>
      </c>
      <c r="O346">
        <v>2</v>
      </c>
      <c r="P346" t="s">
        <v>44</v>
      </c>
      <c r="Q346" t="s">
        <v>85</v>
      </c>
      <c r="R346">
        <v>1</v>
      </c>
      <c r="S346">
        <v>5</v>
      </c>
      <c r="T346" t="s">
        <v>36</v>
      </c>
      <c r="U346" t="s">
        <v>79</v>
      </c>
      <c r="V346" t="s">
        <v>66</v>
      </c>
      <c r="W346" s="2">
        <v>45324</v>
      </c>
      <c r="X346" s="4">
        <f ca="1">TODAY()-DATASET[[#This Row],[Time_of_Purchase]]</f>
        <v>810</v>
      </c>
      <c r="Y346" t="b">
        <v>1</v>
      </c>
      <c r="Z346" t="b">
        <v>0</v>
      </c>
      <c r="AA346" t="s">
        <v>62</v>
      </c>
      <c r="AB346" t="s">
        <v>53</v>
      </c>
      <c r="AC346">
        <v>4</v>
      </c>
    </row>
    <row r="347" spans="1:29" x14ac:dyDescent="0.25">
      <c r="A347" t="s">
        <v>775</v>
      </c>
      <c r="B347">
        <v>26</v>
      </c>
      <c r="C347" t="s">
        <v>29</v>
      </c>
      <c r="D347" t="s">
        <v>30</v>
      </c>
      <c r="E347" t="s">
        <v>31</v>
      </c>
      <c r="F347" t="s">
        <v>45</v>
      </c>
      <c r="G347" t="s">
        <v>44</v>
      </c>
      <c r="H347" t="s">
        <v>776</v>
      </c>
      <c r="I347" t="s">
        <v>194</v>
      </c>
      <c r="J347" s="1">
        <v>265.72000000000003</v>
      </c>
      <c r="K347">
        <v>5</v>
      </c>
      <c r="L347" t="s">
        <v>35</v>
      </c>
      <c r="M347">
        <v>5</v>
      </c>
      <c r="N347">
        <v>4</v>
      </c>
      <c r="O347">
        <v>0</v>
      </c>
      <c r="P347" t="s">
        <v>36</v>
      </c>
      <c r="Q347" t="s">
        <v>85</v>
      </c>
      <c r="R347">
        <v>0</v>
      </c>
      <c r="S347">
        <v>9</v>
      </c>
      <c r="T347" t="s">
        <v>36</v>
      </c>
      <c r="U347" t="s">
        <v>38</v>
      </c>
      <c r="V347" t="s">
        <v>61</v>
      </c>
      <c r="W347" s="2">
        <v>45404</v>
      </c>
      <c r="X347" s="4">
        <f ca="1">TODAY()-DATASET[[#This Row],[Time_of_Purchase]]</f>
        <v>730</v>
      </c>
      <c r="Y347" t="b">
        <v>1</v>
      </c>
      <c r="Z347" t="b">
        <v>1</v>
      </c>
      <c r="AA347" t="s">
        <v>74</v>
      </c>
      <c r="AB347" t="s">
        <v>67</v>
      </c>
      <c r="AC347">
        <v>13</v>
      </c>
    </row>
    <row r="348" spans="1:29" x14ac:dyDescent="0.25">
      <c r="A348" t="s">
        <v>777</v>
      </c>
      <c r="B348">
        <v>42</v>
      </c>
      <c r="C348" t="s">
        <v>43</v>
      </c>
      <c r="D348" t="s">
        <v>30</v>
      </c>
      <c r="E348" t="s">
        <v>31</v>
      </c>
      <c r="F348" t="s">
        <v>56</v>
      </c>
      <c r="G348" t="s">
        <v>44</v>
      </c>
      <c r="H348" t="s">
        <v>778</v>
      </c>
      <c r="I348" t="s">
        <v>120</v>
      </c>
      <c r="J348" s="1">
        <v>138.35</v>
      </c>
      <c r="K348">
        <v>2</v>
      </c>
      <c r="L348" t="s">
        <v>78</v>
      </c>
      <c r="M348">
        <v>4</v>
      </c>
      <c r="N348">
        <v>5</v>
      </c>
      <c r="O348">
        <v>2</v>
      </c>
      <c r="P348" t="s">
        <v>59</v>
      </c>
      <c r="Q348" t="s">
        <v>50</v>
      </c>
      <c r="R348">
        <v>0</v>
      </c>
      <c r="S348">
        <v>2</v>
      </c>
      <c r="T348" t="s">
        <v>59</v>
      </c>
      <c r="U348" t="s">
        <v>60</v>
      </c>
      <c r="V348" t="s">
        <v>66</v>
      </c>
      <c r="W348" s="2">
        <v>45487</v>
      </c>
      <c r="X348" s="4">
        <f ca="1">TODAY()-DATASET[[#This Row],[Time_of_Purchase]]</f>
        <v>647</v>
      </c>
      <c r="Y348" t="b">
        <v>1</v>
      </c>
      <c r="Z348" t="b">
        <v>1</v>
      </c>
      <c r="AA348" t="s">
        <v>52</v>
      </c>
      <c r="AB348" t="s">
        <v>41</v>
      </c>
      <c r="AC348">
        <v>8</v>
      </c>
    </row>
    <row r="349" spans="1:29" x14ac:dyDescent="0.25">
      <c r="A349" t="s">
        <v>779</v>
      </c>
      <c r="B349">
        <v>27</v>
      </c>
      <c r="C349" t="s">
        <v>43</v>
      </c>
      <c r="D349" t="s">
        <v>30</v>
      </c>
      <c r="E349" t="s">
        <v>76</v>
      </c>
      <c r="F349" t="s">
        <v>32</v>
      </c>
      <c r="G349" t="s">
        <v>30</v>
      </c>
      <c r="H349" t="s">
        <v>780</v>
      </c>
      <c r="I349" t="s">
        <v>158</v>
      </c>
      <c r="J349" s="1">
        <v>441.87</v>
      </c>
      <c r="K349">
        <v>3</v>
      </c>
      <c r="L349" t="s">
        <v>35</v>
      </c>
      <c r="M349">
        <v>1</v>
      </c>
      <c r="N349">
        <v>2</v>
      </c>
      <c r="O349">
        <v>1</v>
      </c>
      <c r="P349" t="s">
        <v>44</v>
      </c>
      <c r="Q349" t="s">
        <v>37</v>
      </c>
      <c r="R349">
        <v>0</v>
      </c>
      <c r="S349">
        <v>10</v>
      </c>
      <c r="T349" t="s">
        <v>49</v>
      </c>
      <c r="U349" t="s">
        <v>60</v>
      </c>
      <c r="V349" t="s">
        <v>51</v>
      </c>
      <c r="W349" s="2">
        <v>45545</v>
      </c>
      <c r="X349" s="4">
        <f ca="1">TODAY()-DATASET[[#This Row],[Time_of_Purchase]]</f>
        <v>589</v>
      </c>
      <c r="Y349" t="b">
        <v>1</v>
      </c>
      <c r="Z349" t="b">
        <v>0</v>
      </c>
      <c r="AA349" t="s">
        <v>52</v>
      </c>
      <c r="AB349" t="s">
        <v>41</v>
      </c>
      <c r="AC349">
        <v>13</v>
      </c>
    </row>
    <row r="350" spans="1:29" x14ac:dyDescent="0.25">
      <c r="A350" t="s">
        <v>781</v>
      </c>
      <c r="B350">
        <v>40</v>
      </c>
      <c r="C350" t="s">
        <v>29</v>
      </c>
      <c r="D350" t="s">
        <v>30</v>
      </c>
      <c r="E350" t="s">
        <v>31</v>
      </c>
      <c r="F350" t="s">
        <v>56</v>
      </c>
      <c r="G350" t="s">
        <v>30</v>
      </c>
      <c r="H350" t="s">
        <v>782</v>
      </c>
      <c r="I350" t="s">
        <v>183</v>
      </c>
      <c r="J350" s="1">
        <v>178.29</v>
      </c>
      <c r="K350">
        <v>4</v>
      </c>
      <c r="L350" t="s">
        <v>35</v>
      </c>
      <c r="M350">
        <v>4</v>
      </c>
      <c r="N350">
        <v>3</v>
      </c>
      <c r="O350">
        <v>2</v>
      </c>
      <c r="P350" t="s">
        <v>59</v>
      </c>
      <c r="Q350" t="s">
        <v>85</v>
      </c>
      <c r="R350">
        <v>2</v>
      </c>
      <c r="S350">
        <v>10</v>
      </c>
      <c r="T350" t="s">
        <v>44</v>
      </c>
      <c r="U350" t="s">
        <v>79</v>
      </c>
      <c r="V350" t="s">
        <v>86</v>
      </c>
      <c r="W350" s="2">
        <v>45502</v>
      </c>
      <c r="X350" s="4">
        <f ca="1">TODAY()-DATASET[[#This Row],[Time_of_Purchase]]</f>
        <v>632</v>
      </c>
      <c r="Y350" t="b">
        <v>0</v>
      </c>
      <c r="Z350" t="b">
        <v>1</v>
      </c>
      <c r="AA350" t="s">
        <v>74</v>
      </c>
      <c r="AB350" t="s">
        <v>41</v>
      </c>
      <c r="AC350">
        <v>8</v>
      </c>
    </row>
    <row r="351" spans="1:29" x14ac:dyDescent="0.25">
      <c r="A351" t="s">
        <v>783</v>
      </c>
      <c r="B351">
        <v>23</v>
      </c>
      <c r="C351" t="s">
        <v>43</v>
      </c>
      <c r="D351" t="s">
        <v>30</v>
      </c>
      <c r="E351" t="s">
        <v>69</v>
      </c>
      <c r="F351" t="s">
        <v>45</v>
      </c>
      <c r="G351" t="s">
        <v>44</v>
      </c>
      <c r="H351" t="s">
        <v>784</v>
      </c>
      <c r="I351" t="s">
        <v>90</v>
      </c>
      <c r="J351" s="1">
        <v>77.08</v>
      </c>
      <c r="K351">
        <v>10</v>
      </c>
      <c r="L351" t="s">
        <v>35</v>
      </c>
      <c r="M351">
        <v>2</v>
      </c>
      <c r="N351">
        <v>1</v>
      </c>
      <c r="O351">
        <v>0</v>
      </c>
      <c r="P351" t="s">
        <v>44</v>
      </c>
      <c r="Q351" t="s">
        <v>50</v>
      </c>
      <c r="R351">
        <v>0</v>
      </c>
      <c r="S351">
        <v>8</v>
      </c>
      <c r="T351" t="s">
        <v>36</v>
      </c>
      <c r="U351" t="s">
        <v>38</v>
      </c>
      <c r="V351" t="s">
        <v>51</v>
      </c>
      <c r="W351" s="2">
        <v>45580</v>
      </c>
      <c r="X351" s="4">
        <f ca="1">TODAY()-DATASET[[#This Row],[Time_of_Purchase]]</f>
        <v>554</v>
      </c>
      <c r="Y351" t="b">
        <v>1</v>
      </c>
      <c r="Z351" t="b">
        <v>1</v>
      </c>
      <c r="AA351" t="s">
        <v>62</v>
      </c>
      <c r="AB351" t="s">
        <v>53</v>
      </c>
      <c r="AC351">
        <v>1</v>
      </c>
    </row>
    <row r="352" spans="1:29" x14ac:dyDescent="0.25">
      <c r="A352" t="s">
        <v>785</v>
      </c>
      <c r="B352">
        <v>46</v>
      </c>
      <c r="C352" t="s">
        <v>43</v>
      </c>
      <c r="D352" t="s">
        <v>44</v>
      </c>
      <c r="E352" t="s">
        <v>31</v>
      </c>
      <c r="F352" t="s">
        <v>45</v>
      </c>
      <c r="G352" t="s">
        <v>44</v>
      </c>
      <c r="H352" t="s">
        <v>786</v>
      </c>
      <c r="I352" t="s">
        <v>58</v>
      </c>
      <c r="J352" s="1">
        <v>266.89999999999998</v>
      </c>
      <c r="K352">
        <v>11</v>
      </c>
      <c r="L352" t="s">
        <v>35</v>
      </c>
      <c r="M352">
        <v>4</v>
      </c>
      <c r="N352">
        <v>2</v>
      </c>
      <c r="O352">
        <v>2</v>
      </c>
      <c r="P352" t="s">
        <v>59</v>
      </c>
      <c r="Q352" t="s">
        <v>50</v>
      </c>
      <c r="R352">
        <v>1</v>
      </c>
      <c r="S352">
        <v>8</v>
      </c>
      <c r="T352" t="s">
        <v>49</v>
      </c>
      <c r="U352" t="s">
        <v>79</v>
      </c>
      <c r="V352" t="s">
        <v>51</v>
      </c>
      <c r="W352" s="2">
        <v>45474</v>
      </c>
      <c r="X352" s="4">
        <f ca="1">TODAY()-DATASET[[#This Row],[Time_of_Purchase]]</f>
        <v>660</v>
      </c>
      <c r="Y352" t="b">
        <v>0</v>
      </c>
      <c r="Z352" t="b">
        <v>1</v>
      </c>
      <c r="AA352" t="s">
        <v>52</v>
      </c>
      <c r="AB352" t="s">
        <v>67</v>
      </c>
      <c r="AC352">
        <v>13</v>
      </c>
    </row>
    <row r="353" spans="1:29" x14ac:dyDescent="0.25">
      <c r="A353" t="s">
        <v>787</v>
      </c>
      <c r="B353">
        <v>38</v>
      </c>
      <c r="C353" t="s">
        <v>29</v>
      </c>
      <c r="D353" t="s">
        <v>30</v>
      </c>
      <c r="E353" t="s">
        <v>76</v>
      </c>
      <c r="F353" t="s">
        <v>32</v>
      </c>
      <c r="G353" t="s">
        <v>44</v>
      </c>
      <c r="H353" t="s">
        <v>788</v>
      </c>
      <c r="I353" t="s">
        <v>117</v>
      </c>
      <c r="J353" s="1">
        <v>269.83999999999997</v>
      </c>
      <c r="K353">
        <v>4</v>
      </c>
      <c r="L353" t="s">
        <v>48</v>
      </c>
      <c r="M353">
        <v>5</v>
      </c>
      <c r="N353">
        <v>4</v>
      </c>
      <c r="O353">
        <v>0</v>
      </c>
      <c r="P353" t="s">
        <v>59</v>
      </c>
      <c r="Q353" t="s">
        <v>50</v>
      </c>
      <c r="R353">
        <v>2</v>
      </c>
      <c r="S353">
        <v>9</v>
      </c>
      <c r="T353" t="s">
        <v>59</v>
      </c>
      <c r="U353" t="s">
        <v>38</v>
      </c>
      <c r="V353" t="s">
        <v>39</v>
      </c>
      <c r="W353" s="2">
        <v>45416</v>
      </c>
      <c r="X353" s="4">
        <f ca="1">TODAY()-DATASET[[#This Row],[Time_of_Purchase]]</f>
        <v>718</v>
      </c>
      <c r="Y353" t="b">
        <v>1</v>
      </c>
      <c r="Z353" t="b">
        <v>1</v>
      </c>
      <c r="AA353" t="s">
        <v>52</v>
      </c>
      <c r="AB353" t="s">
        <v>41</v>
      </c>
      <c r="AC353">
        <v>2</v>
      </c>
    </row>
    <row r="354" spans="1:29" x14ac:dyDescent="0.25">
      <c r="A354" t="s">
        <v>789</v>
      </c>
      <c r="B354">
        <v>23</v>
      </c>
      <c r="C354" t="s">
        <v>43</v>
      </c>
      <c r="D354" t="s">
        <v>30</v>
      </c>
      <c r="E354" t="s">
        <v>31</v>
      </c>
      <c r="F354" t="s">
        <v>56</v>
      </c>
      <c r="G354" t="s">
        <v>44</v>
      </c>
      <c r="H354" t="s">
        <v>790</v>
      </c>
      <c r="I354" t="s">
        <v>65</v>
      </c>
      <c r="J354" s="1">
        <v>334.22</v>
      </c>
      <c r="K354">
        <v>8</v>
      </c>
      <c r="L354" t="s">
        <v>78</v>
      </c>
      <c r="M354">
        <v>2</v>
      </c>
      <c r="N354">
        <v>2</v>
      </c>
      <c r="O354">
        <v>2</v>
      </c>
      <c r="P354" t="s">
        <v>36</v>
      </c>
      <c r="Q354" t="s">
        <v>85</v>
      </c>
      <c r="R354">
        <v>2</v>
      </c>
      <c r="S354">
        <v>8</v>
      </c>
      <c r="T354" t="s">
        <v>36</v>
      </c>
      <c r="U354" t="s">
        <v>38</v>
      </c>
      <c r="V354" t="s">
        <v>86</v>
      </c>
      <c r="W354" s="2">
        <v>45353</v>
      </c>
      <c r="X354" s="4">
        <f ca="1">TODAY()-DATASET[[#This Row],[Time_of_Purchase]]</f>
        <v>781</v>
      </c>
      <c r="Y354" t="b">
        <v>0</v>
      </c>
      <c r="Z354" t="b">
        <v>0</v>
      </c>
      <c r="AA354" t="s">
        <v>40</v>
      </c>
      <c r="AB354" t="s">
        <v>53</v>
      </c>
      <c r="AC354">
        <v>1</v>
      </c>
    </row>
    <row r="355" spans="1:29" x14ac:dyDescent="0.25">
      <c r="A355" t="s">
        <v>791</v>
      </c>
      <c r="B355">
        <v>40</v>
      </c>
      <c r="C355" t="s">
        <v>29</v>
      </c>
      <c r="D355" t="s">
        <v>30</v>
      </c>
      <c r="E355" t="s">
        <v>31</v>
      </c>
      <c r="F355" t="s">
        <v>45</v>
      </c>
      <c r="G355" t="s">
        <v>44</v>
      </c>
      <c r="H355" t="s">
        <v>792</v>
      </c>
      <c r="I355" t="s">
        <v>194</v>
      </c>
      <c r="J355" s="1">
        <v>474.56</v>
      </c>
      <c r="K355">
        <v>8</v>
      </c>
      <c r="L355" t="s">
        <v>48</v>
      </c>
      <c r="M355">
        <v>1</v>
      </c>
      <c r="N355">
        <v>5</v>
      </c>
      <c r="O355">
        <v>2</v>
      </c>
      <c r="P355" t="s">
        <v>59</v>
      </c>
      <c r="Q355" t="s">
        <v>50</v>
      </c>
      <c r="R355">
        <v>1</v>
      </c>
      <c r="S355">
        <v>6</v>
      </c>
      <c r="T355" t="s">
        <v>44</v>
      </c>
      <c r="U355" t="s">
        <v>60</v>
      </c>
      <c r="V355" t="s">
        <v>51</v>
      </c>
      <c r="W355" s="2">
        <v>45399</v>
      </c>
      <c r="X355" s="4">
        <f ca="1">TODAY()-DATASET[[#This Row],[Time_of_Purchase]]</f>
        <v>735</v>
      </c>
      <c r="Y355" t="b">
        <v>1</v>
      </c>
      <c r="Z355" t="b">
        <v>0</v>
      </c>
      <c r="AA355" t="s">
        <v>74</v>
      </c>
      <c r="AB355" t="s">
        <v>53</v>
      </c>
      <c r="AC355">
        <v>12</v>
      </c>
    </row>
    <row r="356" spans="1:29" x14ac:dyDescent="0.25">
      <c r="A356" t="s">
        <v>793</v>
      </c>
      <c r="B356">
        <v>34</v>
      </c>
      <c r="C356" t="s">
        <v>43</v>
      </c>
      <c r="D356" t="s">
        <v>44</v>
      </c>
      <c r="E356" t="s">
        <v>31</v>
      </c>
      <c r="F356" t="s">
        <v>56</v>
      </c>
      <c r="G356" t="s">
        <v>44</v>
      </c>
      <c r="H356" t="s">
        <v>794</v>
      </c>
      <c r="I356" t="s">
        <v>117</v>
      </c>
      <c r="J356" s="1">
        <v>360.91</v>
      </c>
      <c r="K356">
        <v>4</v>
      </c>
      <c r="L356" t="s">
        <v>35</v>
      </c>
      <c r="M356">
        <v>3</v>
      </c>
      <c r="N356">
        <v>5</v>
      </c>
      <c r="O356">
        <v>1</v>
      </c>
      <c r="P356" t="s">
        <v>44</v>
      </c>
      <c r="Q356" t="s">
        <v>37</v>
      </c>
      <c r="R356">
        <v>0</v>
      </c>
      <c r="S356">
        <v>8</v>
      </c>
      <c r="T356" t="s">
        <v>44</v>
      </c>
      <c r="U356" t="s">
        <v>79</v>
      </c>
      <c r="V356" t="s">
        <v>39</v>
      </c>
      <c r="W356" s="2">
        <v>45534</v>
      </c>
      <c r="X356" s="4">
        <f ca="1">TODAY()-DATASET[[#This Row],[Time_of_Purchase]]</f>
        <v>600</v>
      </c>
      <c r="Y356" t="b">
        <v>1</v>
      </c>
      <c r="Z356" t="b">
        <v>1</v>
      </c>
      <c r="AA356" t="s">
        <v>74</v>
      </c>
      <c r="AB356" t="s">
        <v>41</v>
      </c>
      <c r="AC356">
        <v>4</v>
      </c>
    </row>
    <row r="357" spans="1:29" x14ac:dyDescent="0.25">
      <c r="A357" t="s">
        <v>795</v>
      </c>
      <c r="B357">
        <v>44</v>
      </c>
      <c r="C357" t="s">
        <v>29</v>
      </c>
      <c r="D357" t="s">
        <v>30</v>
      </c>
      <c r="E357" t="s">
        <v>69</v>
      </c>
      <c r="F357" t="s">
        <v>32</v>
      </c>
      <c r="G357" t="s">
        <v>44</v>
      </c>
      <c r="H357" t="s">
        <v>796</v>
      </c>
      <c r="I357" t="s">
        <v>158</v>
      </c>
      <c r="J357" s="1">
        <v>373.49</v>
      </c>
      <c r="K357">
        <v>6</v>
      </c>
      <c r="L357" t="s">
        <v>78</v>
      </c>
      <c r="M357">
        <v>4</v>
      </c>
      <c r="N357">
        <v>1</v>
      </c>
      <c r="O357">
        <v>0</v>
      </c>
      <c r="P357" t="s">
        <v>49</v>
      </c>
      <c r="Q357" t="s">
        <v>85</v>
      </c>
      <c r="R357">
        <v>0</v>
      </c>
      <c r="S357">
        <v>10</v>
      </c>
      <c r="T357" t="s">
        <v>59</v>
      </c>
      <c r="U357" t="s">
        <v>38</v>
      </c>
      <c r="V357" t="s">
        <v>86</v>
      </c>
      <c r="W357" s="2">
        <v>45405</v>
      </c>
      <c r="X357" s="4">
        <f ca="1">TODAY()-DATASET[[#This Row],[Time_of_Purchase]]</f>
        <v>729</v>
      </c>
      <c r="Y357" t="b">
        <v>1</v>
      </c>
      <c r="Z357" t="b">
        <v>1</v>
      </c>
      <c r="AA357" t="s">
        <v>62</v>
      </c>
      <c r="AB357" t="s">
        <v>53</v>
      </c>
      <c r="AC357">
        <v>1</v>
      </c>
    </row>
    <row r="358" spans="1:29" x14ac:dyDescent="0.25">
      <c r="A358" t="s">
        <v>797</v>
      </c>
      <c r="B358">
        <v>32</v>
      </c>
      <c r="C358" t="s">
        <v>29</v>
      </c>
      <c r="D358" t="s">
        <v>44</v>
      </c>
      <c r="E358" t="s">
        <v>31</v>
      </c>
      <c r="F358" t="s">
        <v>56</v>
      </c>
      <c r="G358" t="s">
        <v>30</v>
      </c>
      <c r="H358" t="s">
        <v>798</v>
      </c>
      <c r="I358" t="s">
        <v>90</v>
      </c>
      <c r="J358" s="1">
        <v>462.3</v>
      </c>
      <c r="K358">
        <v>5</v>
      </c>
      <c r="L358" t="s">
        <v>35</v>
      </c>
      <c r="M358">
        <v>3</v>
      </c>
      <c r="N358">
        <v>3</v>
      </c>
      <c r="O358">
        <v>2</v>
      </c>
      <c r="P358" t="s">
        <v>36</v>
      </c>
      <c r="Q358" t="s">
        <v>50</v>
      </c>
      <c r="R358">
        <v>2</v>
      </c>
      <c r="S358">
        <v>4</v>
      </c>
      <c r="T358" t="s">
        <v>49</v>
      </c>
      <c r="U358" t="s">
        <v>38</v>
      </c>
      <c r="V358" t="s">
        <v>86</v>
      </c>
      <c r="W358" s="2">
        <v>45621</v>
      </c>
      <c r="X358" s="4">
        <f ca="1">TODAY()-DATASET[[#This Row],[Time_of_Purchase]]</f>
        <v>513</v>
      </c>
      <c r="Y358" t="b">
        <v>1</v>
      </c>
      <c r="Z358" t="b">
        <v>1</v>
      </c>
      <c r="AA358" t="s">
        <v>62</v>
      </c>
      <c r="AB358" t="s">
        <v>53</v>
      </c>
      <c r="AC358">
        <v>4</v>
      </c>
    </row>
    <row r="359" spans="1:29" x14ac:dyDescent="0.25">
      <c r="A359" t="s">
        <v>799</v>
      </c>
      <c r="B359">
        <v>42</v>
      </c>
      <c r="C359" t="s">
        <v>29</v>
      </c>
      <c r="D359" t="s">
        <v>30</v>
      </c>
      <c r="E359" t="s">
        <v>55</v>
      </c>
      <c r="F359" t="s">
        <v>56</v>
      </c>
      <c r="G359" t="s">
        <v>30</v>
      </c>
      <c r="H359" t="s">
        <v>800</v>
      </c>
      <c r="I359" t="s">
        <v>126</v>
      </c>
      <c r="J359" s="1">
        <v>332.67</v>
      </c>
      <c r="K359">
        <v>8</v>
      </c>
      <c r="L359" t="s">
        <v>48</v>
      </c>
      <c r="M359">
        <v>1</v>
      </c>
      <c r="N359">
        <v>4</v>
      </c>
      <c r="O359">
        <v>2</v>
      </c>
      <c r="P359" t="s">
        <v>49</v>
      </c>
      <c r="Q359" t="s">
        <v>37</v>
      </c>
      <c r="R359">
        <v>1</v>
      </c>
      <c r="S359">
        <v>2</v>
      </c>
      <c r="T359" t="s">
        <v>44</v>
      </c>
      <c r="U359" t="s">
        <v>60</v>
      </c>
      <c r="V359" t="s">
        <v>66</v>
      </c>
      <c r="W359" s="2">
        <v>45637</v>
      </c>
      <c r="X359" s="4">
        <f ca="1">TODAY()-DATASET[[#This Row],[Time_of_Purchase]]</f>
        <v>497</v>
      </c>
      <c r="Y359" t="b">
        <v>0</v>
      </c>
      <c r="Z359" t="b">
        <v>1</v>
      </c>
      <c r="AA359" t="s">
        <v>62</v>
      </c>
      <c r="AB359" t="s">
        <v>67</v>
      </c>
      <c r="AC359">
        <v>4</v>
      </c>
    </row>
    <row r="360" spans="1:29" x14ac:dyDescent="0.25">
      <c r="A360" t="s">
        <v>801</v>
      </c>
      <c r="B360">
        <v>22</v>
      </c>
      <c r="C360" t="s">
        <v>29</v>
      </c>
      <c r="D360" t="s">
        <v>44</v>
      </c>
      <c r="E360" t="s">
        <v>76</v>
      </c>
      <c r="F360" t="s">
        <v>56</v>
      </c>
      <c r="G360" t="s">
        <v>30</v>
      </c>
      <c r="H360" t="s">
        <v>802</v>
      </c>
      <c r="I360" t="s">
        <v>65</v>
      </c>
      <c r="J360" s="1">
        <v>235.39</v>
      </c>
      <c r="K360">
        <v>9</v>
      </c>
      <c r="L360" t="s">
        <v>78</v>
      </c>
      <c r="M360">
        <v>5</v>
      </c>
      <c r="N360">
        <v>4</v>
      </c>
      <c r="O360">
        <v>1</v>
      </c>
      <c r="P360" t="s">
        <v>36</v>
      </c>
      <c r="Q360" t="s">
        <v>50</v>
      </c>
      <c r="R360">
        <v>0</v>
      </c>
      <c r="S360">
        <v>6</v>
      </c>
      <c r="T360" t="s">
        <v>36</v>
      </c>
      <c r="U360" t="s">
        <v>60</v>
      </c>
      <c r="V360" t="s">
        <v>39</v>
      </c>
      <c r="W360" s="2">
        <v>45437</v>
      </c>
      <c r="X360" s="4">
        <f ca="1">TODAY()-DATASET[[#This Row],[Time_of_Purchase]]</f>
        <v>697</v>
      </c>
      <c r="Y360" t="b">
        <v>0</v>
      </c>
      <c r="Z360" t="b">
        <v>1</v>
      </c>
      <c r="AA360" t="s">
        <v>74</v>
      </c>
      <c r="AB360" t="s">
        <v>41</v>
      </c>
      <c r="AC360">
        <v>6</v>
      </c>
    </row>
    <row r="361" spans="1:29" x14ac:dyDescent="0.25">
      <c r="A361" t="s">
        <v>803</v>
      </c>
      <c r="B361">
        <v>44</v>
      </c>
      <c r="C361" t="s">
        <v>29</v>
      </c>
      <c r="D361" t="s">
        <v>30</v>
      </c>
      <c r="E361" t="s">
        <v>31</v>
      </c>
      <c r="F361" t="s">
        <v>45</v>
      </c>
      <c r="G361" t="s">
        <v>30</v>
      </c>
      <c r="H361" t="s">
        <v>804</v>
      </c>
      <c r="I361" t="s">
        <v>114</v>
      </c>
      <c r="J361" s="1">
        <v>269.77999999999997</v>
      </c>
      <c r="K361">
        <v>7</v>
      </c>
      <c r="L361" t="s">
        <v>48</v>
      </c>
      <c r="M361">
        <v>2</v>
      </c>
      <c r="N361">
        <v>3</v>
      </c>
      <c r="O361">
        <v>1</v>
      </c>
      <c r="P361" t="s">
        <v>49</v>
      </c>
      <c r="Q361" t="s">
        <v>37</v>
      </c>
      <c r="R361">
        <v>2</v>
      </c>
      <c r="S361">
        <v>7</v>
      </c>
      <c r="T361" t="s">
        <v>49</v>
      </c>
      <c r="U361" t="s">
        <v>79</v>
      </c>
      <c r="V361" t="s">
        <v>66</v>
      </c>
      <c r="W361" s="2">
        <v>45498</v>
      </c>
      <c r="X361" s="4">
        <f ca="1">TODAY()-DATASET[[#This Row],[Time_of_Purchase]]</f>
        <v>636</v>
      </c>
      <c r="Y361" t="b">
        <v>1</v>
      </c>
      <c r="Z361" t="b">
        <v>1</v>
      </c>
      <c r="AA361" t="s">
        <v>40</v>
      </c>
      <c r="AB361" t="s">
        <v>41</v>
      </c>
      <c r="AC361">
        <v>5</v>
      </c>
    </row>
    <row r="362" spans="1:29" x14ac:dyDescent="0.25">
      <c r="A362" t="s">
        <v>805</v>
      </c>
      <c r="B362">
        <v>29</v>
      </c>
      <c r="C362" t="s">
        <v>43</v>
      </c>
      <c r="D362" t="s">
        <v>30</v>
      </c>
      <c r="E362" t="s">
        <v>31</v>
      </c>
      <c r="F362" t="s">
        <v>32</v>
      </c>
      <c r="G362" t="s">
        <v>30</v>
      </c>
      <c r="H362" t="s">
        <v>806</v>
      </c>
      <c r="I362" t="s">
        <v>34</v>
      </c>
      <c r="J362" s="1">
        <v>498.33</v>
      </c>
      <c r="K362">
        <v>2</v>
      </c>
      <c r="L362" t="s">
        <v>78</v>
      </c>
      <c r="M362">
        <v>3</v>
      </c>
      <c r="N362">
        <v>5</v>
      </c>
      <c r="O362">
        <v>2</v>
      </c>
      <c r="P362" t="s">
        <v>49</v>
      </c>
      <c r="Q362" t="s">
        <v>85</v>
      </c>
      <c r="R362">
        <v>1</v>
      </c>
      <c r="S362">
        <v>9</v>
      </c>
      <c r="T362" t="s">
        <v>49</v>
      </c>
      <c r="U362" t="s">
        <v>60</v>
      </c>
      <c r="V362" t="s">
        <v>51</v>
      </c>
      <c r="W362" s="2">
        <v>45420</v>
      </c>
      <c r="X362" s="4">
        <f ca="1">TODAY()-DATASET[[#This Row],[Time_of_Purchase]]</f>
        <v>714</v>
      </c>
      <c r="Y362" t="b">
        <v>1</v>
      </c>
      <c r="Z362" t="b">
        <v>1</v>
      </c>
      <c r="AA362" t="s">
        <v>52</v>
      </c>
      <c r="AB362" t="s">
        <v>67</v>
      </c>
      <c r="AC362">
        <v>1</v>
      </c>
    </row>
    <row r="363" spans="1:29" x14ac:dyDescent="0.25">
      <c r="A363" t="s">
        <v>807</v>
      </c>
      <c r="B363">
        <v>30</v>
      </c>
      <c r="C363" t="s">
        <v>29</v>
      </c>
      <c r="D363" t="s">
        <v>44</v>
      </c>
      <c r="E363" t="s">
        <v>55</v>
      </c>
      <c r="F363" t="s">
        <v>45</v>
      </c>
      <c r="G363" t="s">
        <v>44</v>
      </c>
      <c r="H363" t="s">
        <v>808</v>
      </c>
      <c r="I363" t="s">
        <v>142</v>
      </c>
      <c r="J363" s="1">
        <v>182.94</v>
      </c>
      <c r="K363">
        <v>7</v>
      </c>
      <c r="L363" t="s">
        <v>35</v>
      </c>
      <c r="M363">
        <v>1</v>
      </c>
      <c r="N363">
        <v>5</v>
      </c>
      <c r="O363">
        <v>2</v>
      </c>
      <c r="P363" t="s">
        <v>36</v>
      </c>
      <c r="Q363" t="s">
        <v>50</v>
      </c>
      <c r="R363">
        <v>2</v>
      </c>
      <c r="S363">
        <v>7</v>
      </c>
      <c r="T363" t="s">
        <v>59</v>
      </c>
      <c r="U363" t="s">
        <v>79</v>
      </c>
      <c r="V363" t="s">
        <v>66</v>
      </c>
      <c r="W363" s="2">
        <v>45440</v>
      </c>
      <c r="X363" s="4">
        <f ca="1">TODAY()-DATASET[[#This Row],[Time_of_Purchase]]</f>
        <v>694</v>
      </c>
      <c r="Y363" t="b">
        <v>1</v>
      </c>
      <c r="Z363" t="b">
        <v>1</v>
      </c>
      <c r="AA363" t="s">
        <v>40</v>
      </c>
      <c r="AB363" t="s">
        <v>67</v>
      </c>
      <c r="AC363">
        <v>12</v>
      </c>
    </row>
    <row r="364" spans="1:29" x14ac:dyDescent="0.25">
      <c r="A364" t="s">
        <v>809</v>
      </c>
      <c r="B364">
        <v>19</v>
      </c>
      <c r="C364" t="s">
        <v>29</v>
      </c>
      <c r="D364" t="s">
        <v>30</v>
      </c>
      <c r="E364" t="s">
        <v>76</v>
      </c>
      <c r="F364" t="s">
        <v>56</v>
      </c>
      <c r="G364" t="s">
        <v>44</v>
      </c>
      <c r="H364" t="s">
        <v>810</v>
      </c>
      <c r="I364" t="s">
        <v>142</v>
      </c>
      <c r="J364" s="1">
        <v>121.7</v>
      </c>
      <c r="K364">
        <v>7</v>
      </c>
      <c r="L364" t="s">
        <v>35</v>
      </c>
      <c r="M364">
        <v>4</v>
      </c>
      <c r="N364">
        <v>3</v>
      </c>
      <c r="O364">
        <v>0</v>
      </c>
      <c r="P364" t="s">
        <v>44</v>
      </c>
      <c r="Q364" t="s">
        <v>85</v>
      </c>
      <c r="R364">
        <v>2</v>
      </c>
      <c r="S364">
        <v>5</v>
      </c>
      <c r="T364" t="s">
        <v>36</v>
      </c>
      <c r="U364" t="s">
        <v>60</v>
      </c>
      <c r="V364" t="s">
        <v>39</v>
      </c>
      <c r="W364" s="2">
        <v>45467</v>
      </c>
      <c r="X364" s="4">
        <f ca="1">TODAY()-DATASET[[#This Row],[Time_of_Purchase]]</f>
        <v>667</v>
      </c>
      <c r="Y364" t="b">
        <v>1</v>
      </c>
      <c r="Z364" t="b">
        <v>1</v>
      </c>
      <c r="AA364" t="s">
        <v>74</v>
      </c>
      <c r="AB364" t="s">
        <v>53</v>
      </c>
      <c r="AC364">
        <v>8</v>
      </c>
    </row>
    <row r="365" spans="1:29" x14ac:dyDescent="0.25">
      <c r="A365" t="s">
        <v>811</v>
      </c>
      <c r="B365">
        <v>45</v>
      </c>
      <c r="C365" t="s">
        <v>29</v>
      </c>
      <c r="D365" t="s">
        <v>44</v>
      </c>
      <c r="E365" t="s">
        <v>69</v>
      </c>
      <c r="F365" t="s">
        <v>56</v>
      </c>
      <c r="G365" t="s">
        <v>30</v>
      </c>
      <c r="H365" t="s">
        <v>812</v>
      </c>
      <c r="I365" t="s">
        <v>120</v>
      </c>
      <c r="J365" s="1">
        <v>489.27</v>
      </c>
      <c r="K365">
        <v>4</v>
      </c>
      <c r="L365" t="s">
        <v>35</v>
      </c>
      <c r="M365">
        <v>1</v>
      </c>
      <c r="N365">
        <v>4</v>
      </c>
      <c r="O365">
        <v>1</v>
      </c>
      <c r="P365" t="s">
        <v>44</v>
      </c>
      <c r="Q365" t="s">
        <v>37</v>
      </c>
      <c r="R365">
        <v>1</v>
      </c>
      <c r="S365">
        <v>3</v>
      </c>
      <c r="T365" t="s">
        <v>36</v>
      </c>
      <c r="U365" t="s">
        <v>38</v>
      </c>
      <c r="V365" t="s">
        <v>61</v>
      </c>
      <c r="W365" s="2">
        <v>45304</v>
      </c>
      <c r="X365" s="4">
        <f ca="1">TODAY()-DATASET[[#This Row],[Time_of_Purchase]]</f>
        <v>830</v>
      </c>
      <c r="Y365" t="b">
        <v>0</v>
      </c>
      <c r="Z365" t="b">
        <v>0</v>
      </c>
      <c r="AA365" t="s">
        <v>52</v>
      </c>
      <c r="AB365" t="s">
        <v>53</v>
      </c>
      <c r="AC365">
        <v>3</v>
      </c>
    </row>
    <row r="366" spans="1:29" x14ac:dyDescent="0.25">
      <c r="A366" t="s">
        <v>813</v>
      </c>
      <c r="B366">
        <v>38</v>
      </c>
      <c r="C366" t="s">
        <v>43</v>
      </c>
      <c r="D366" t="s">
        <v>30</v>
      </c>
      <c r="E366" t="s">
        <v>31</v>
      </c>
      <c r="F366" t="s">
        <v>32</v>
      </c>
      <c r="G366" t="s">
        <v>30</v>
      </c>
      <c r="H366" t="s">
        <v>814</v>
      </c>
      <c r="I366" t="s">
        <v>120</v>
      </c>
      <c r="J366" s="1">
        <v>303.93</v>
      </c>
      <c r="K366">
        <v>6</v>
      </c>
      <c r="L366" t="s">
        <v>35</v>
      </c>
      <c r="M366">
        <v>3</v>
      </c>
      <c r="N366">
        <v>2</v>
      </c>
      <c r="O366">
        <v>0</v>
      </c>
      <c r="P366" t="s">
        <v>44</v>
      </c>
      <c r="Q366" t="s">
        <v>50</v>
      </c>
      <c r="R366">
        <v>1</v>
      </c>
      <c r="S366">
        <v>10</v>
      </c>
      <c r="T366" t="s">
        <v>59</v>
      </c>
      <c r="U366" t="s">
        <v>60</v>
      </c>
      <c r="V366" t="s">
        <v>61</v>
      </c>
      <c r="W366" s="2">
        <v>45364</v>
      </c>
      <c r="X366" s="4">
        <f ca="1">TODAY()-DATASET[[#This Row],[Time_of_Purchase]]</f>
        <v>770</v>
      </c>
      <c r="Y366" t="b">
        <v>1</v>
      </c>
      <c r="Z366" t="b">
        <v>0</v>
      </c>
      <c r="AA366" t="s">
        <v>40</v>
      </c>
      <c r="AB366" t="s">
        <v>41</v>
      </c>
      <c r="AC366">
        <v>2</v>
      </c>
    </row>
    <row r="367" spans="1:29" x14ac:dyDescent="0.25">
      <c r="A367" t="s">
        <v>815</v>
      </c>
      <c r="B367">
        <v>24</v>
      </c>
      <c r="C367" t="s">
        <v>29</v>
      </c>
      <c r="D367" t="s">
        <v>30</v>
      </c>
      <c r="E367" t="s">
        <v>31</v>
      </c>
      <c r="F367" t="s">
        <v>32</v>
      </c>
      <c r="G367" t="s">
        <v>30</v>
      </c>
      <c r="H367" t="s">
        <v>816</v>
      </c>
      <c r="I367" t="s">
        <v>47</v>
      </c>
      <c r="J367" s="1">
        <v>302.74</v>
      </c>
      <c r="K367">
        <v>11</v>
      </c>
      <c r="L367" t="s">
        <v>35</v>
      </c>
      <c r="M367">
        <v>1</v>
      </c>
      <c r="N367">
        <v>5</v>
      </c>
      <c r="O367">
        <v>0</v>
      </c>
      <c r="P367" t="s">
        <v>44</v>
      </c>
      <c r="Q367" t="s">
        <v>85</v>
      </c>
      <c r="R367">
        <v>0</v>
      </c>
      <c r="S367">
        <v>6</v>
      </c>
      <c r="T367" t="s">
        <v>44</v>
      </c>
      <c r="U367" t="s">
        <v>60</v>
      </c>
      <c r="V367" t="s">
        <v>51</v>
      </c>
      <c r="W367" s="2">
        <v>45471</v>
      </c>
      <c r="X367" s="4">
        <f ca="1">TODAY()-DATASET[[#This Row],[Time_of_Purchase]]</f>
        <v>663</v>
      </c>
      <c r="Y367" t="b">
        <v>1</v>
      </c>
      <c r="Z367" t="b">
        <v>1</v>
      </c>
      <c r="AA367" t="s">
        <v>52</v>
      </c>
      <c r="AB367" t="s">
        <v>67</v>
      </c>
      <c r="AC367">
        <v>5</v>
      </c>
    </row>
    <row r="368" spans="1:29" x14ac:dyDescent="0.25">
      <c r="A368" t="s">
        <v>817</v>
      </c>
      <c r="B368">
        <v>42</v>
      </c>
      <c r="C368" t="s">
        <v>352</v>
      </c>
      <c r="D368" t="s">
        <v>44</v>
      </c>
      <c r="E368" t="s">
        <v>55</v>
      </c>
      <c r="F368" t="s">
        <v>32</v>
      </c>
      <c r="G368" t="s">
        <v>44</v>
      </c>
      <c r="H368" t="s">
        <v>818</v>
      </c>
      <c r="I368" t="s">
        <v>188</v>
      </c>
      <c r="J368" s="1">
        <v>157.21</v>
      </c>
      <c r="K368">
        <v>11</v>
      </c>
      <c r="L368" t="s">
        <v>78</v>
      </c>
      <c r="M368">
        <v>3</v>
      </c>
      <c r="N368">
        <v>3</v>
      </c>
      <c r="O368">
        <v>0</v>
      </c>
      <c r="P368" t="s">
        <v>49</v>
      </c>
      <c r="Q368" t="s">
        <v>50</v>
      </c>
      <c r="R368">
        <v>0</v>
      </c>
      <c r="S368">
        <v>3</v>
      </c>
      <c r="T368" t="s">
        <v>44</v>
      </c>
      <c r="U368" t="s">
        <v>38</v>
      </c>
      <c r="V368" t="s">
        <v>61</v>
      </c>
      <c r="W368" s="2">
        <v>45412</v>
      </c>
      <c r="X368" s="4">
        <f ca="1">TODAY()-DATASET[[#This Row],[Time_of_Purchase]]</f>
        <v>722</v>
      </c>
      <c r="Y368" t="b">
        <v>1</v>
      </c>
      <c r="Z368" t="b">
        <v>0</v>
      </c>
      <c r="AA368" t="s">
        <v>52</v>
      </c>
      <c r="AB368" t="s">
        <v>67</v>
      </c>
      <c r="AC368">
        <v>5</v>
      </c>
    </row>
    <row r="369" spans="1:29" x14ac:dyDescent="0.25">
      <c r="A369" t="s">
        <v>819</v>
      </c>
      <c r="B369">
        <v>46</v>
      </c>
      <c r="C369" t="s">
        <v>29</v>
      </c>
      <c r="D369" t="s">
        <v>44</v>
      </c>
      <c r="E369" t="s">
        <v>69</v>
      </c>
      <c r="F369" t="s">
        <v>45</v>
      </c>
      <c r="G369" t="s">
        <v>44</v>
      </c>
      <c r="H369" t="s">
        <v>820</v>
      </c>
      <c r="I369" t="s">
        <v>90</v>
      </c>
      <c r="J369" s="1">
        <v>159.44999999999999</v>
      </c>
      <c r="K369">
        <v>2</v>
      </c>
      <c r="L369" t="s">
        <v>78</v>
      </c>
      <c r="M369">
        <v>3</v>
      </c>
      <c r="N369">
        <v>2</v>
      </c>
      <c r="O369">
        <v>2</v>
      </c>
      <c r="P369" t="s">
        <v>49</v>
      </c>
      <c r="Q369" t="s">
        <v>85</v>
      </c>
      <c r="R369">
        <v>0</v>
      </c>
      <c r="S369">
        <v>5</v>
      </c>
      <c r="T369" t="s">
        <v>36</v>
      </c>
      <c r="U369" t="s">
        <v>60</v>
      </c>
      <c r="V369" t="s">
        <v>61</v>
      </c>
      <c r="W369" s="2">
        <v>45457</v>
      </c>
      <c r="X369" s="4">
        <f ca="1">TODAY()-DATASET[[#This Row],[Time_of_Purchase]]</f>
        <v>677</v>
      </c>
      <c r="Y369" t="b">
        <v>1</v>
      </c>
      <c r="Z369" t="b">
        <v>0</v>
      </c>
      <c r="AA369" t="s">
        <v>62</v>
      </c>
      <c r="AB369" t="s">
        <v>53</v>
      </c>
      <c r="AC369">
        <v>14</v>
      </c>
    </row>
    <row r="370" spans="1:29" x14ac:dyDescent="0.25">
      <c r="A370" t="s">
        <v>821</v>
      </c>
      <c r="B370">
        <v>44</v>
      </c>
      <c r="C370" t="s">
        <v>29</v>
      </c>
      <c r="D370" t="s">
        <v>44</v>
      </c>
      <c r="E370" t="s">
        <v>69</v>
      </c>
      <c r="F370" t="s">
        <v>45</v>
      </c>
      <c r="G370" t="s">
        <v>30</v>
      </c>
      <c r="H370" t="s">
        <v>822</v>
      </c>
      <c r="I370" t="s">
        <v>98</v>
      </c>
      <c r="J370" s="1">
        <v>312.93</v>
      </c>
      <c r="K370">
        <v>2</v>
      </c>
      <c r="L370" t="s">
        <v>48</v>
      </c>
      <c r="M370">
        <v>2</v>
      </c>
      <c r="N370">
        <v>2</v>
      </c>
      <c r="O370">
        <v>1</v>
      </c>
      <c r="P370" t="s">
        <v>44</v>
      </c>
      <c r="Q370" t="s">
        <v>85</v>
      </c>
      <c r="R370">
        <v>0</v>
      </c>
      <c r="S370">
        <v>7</v>
      </c>
      <c r="T370" t="s">
        <v>36</v>
      </c>
      <c r="U370" t="s">
        <v>60</v>
      </c>
      <c r="V370" t="s">
        <v>51</v>
      </c>
      <c r="W370" s="2">
        <v>45508</v>
      </c>
      <c r="X370" s="4">
        <f ca="1">TODAY()-DATASET[[#This Row],[Time_of_Purchase]]</f>
        <v>626</v>
      </c>
      <c r="Y370" t="b">
        <v>1</v>
      </c>
      <c r="Z370" t="b">
        <v>1</v>
      </c>
      <c r="AA370" t="s">
        <v>52</v>
      </c>
      <c r="AB370" t="s">
        <v>41</v>
      </c>
      <c r="AC370">
        <v>3</v>
      </c>
    </row>
    <row r="371" spans="1:29" x14ac:dyDescent="0.25">
      <c r="A371" t="s">
        <v>823</v>
      </c>
      <c r="B371">
        <v>38</v>
      </c>
      <c r="C371" t="s">
        <v>43</v>
      </c>
      <c r="D371" t="s">
        <v>44</v>
      </c>
      <c r="E371" t="s">
        <v>31</v>
      </c>
      <c r="F371" t="s">
        <v>56</v>
      </c>
      <c r="G371" t="s">
        <v>30</v>
      </c>
      <c r="H371" t="s">
        <v>824</v>
      </c>
      <c r="I371" t="s">
        <v>107</v>
      </c>
      <c r="J371" s="1">
        <v>65.680000000000007</v>
      </c>
      <c r="K371">
        <v>4</v>
      </c>
      <c r="L371" t="s">
        <v>48</v>
      </c>
      <c r="M371">
        <v>4</v>
      </c>
      <c r="N371">
        <v>4</v>
      </c>
      <c r="O371">
        <v>0</v>
      </c>
      <c r="P371" t="s">
        <v>49</v>
      </c>
      <c r="Q371" t="s">
        <v>50</v>
      </c>
      <c r="R371">
        <v>0</v>
      </c>
      <c r="S371">
        <v>8</v>
      </c>
      <c r="T371" t="s">
        <v>49</v>
      </c>
      <c r="U371" t="s">
        <v>60</v>
      </c>
      <c r="V371" t="s">
        <v>66</v>
      </c>
      <c r="W371" s="2">
        <v>45419</v>
      </c>
      <c r="X371" s="4">
        <f ca="1">TODAY()-DATASET[[#This Row],[Time_of_Purchase]]</f>
        <v>715</v>
      </c>
      <c r="Y371" t="b">
        <v>0</v>
      </c>
      <c r="Z371" t="b">
        <v>0</v>
      </c>
      <c r="AA371" t="s">
        <v>62</v>
      </c>
      <c r="AB371" t="s">
        <v>53</v>
      </c>
      <c r="AC371">
        <v>12</v>
      </c>
    </row>
    <row r="372" spans="1:29" x14ac:dyDescent="0.25">
      <c r="A372" t="s">
        <v>825</v>
      </c>
      <c r="B372">
        <v>44</v>
      </c>
      <c r="C372" t="s">
        <v>43</v>
      </c>
      <c r="D372" t="s">
        <v>30</v>
      </c>
      <c r="E372" t="s">
        <v>55</v>
      </c>
      <c r="F372" t="s">
        <v>56</v>
      </c>
      <c r="G372" t="s">
        <v>30</v>
      </c>
      <c r="H372" t="s">
        <v>826</v>
      </c>
      <c r="I372" t="s">
        <v>120</v>
      </c>
      <c r="J372" s="1">
        <v>61.86</v>
      </c>
      <c r="K372">
        <v>5</v>
      </c>
      <c r="L372" t="s">
        <v>48</v>
      </c>
      <c r="M372">
        <v>4</v>
      </c>
      <c r="N372">
        <v>5</v>
      </c>
      <c r="O372">
        <v>2</v>
      </c>
      <c r="P372" t="s">
        <v>36</v>
      </c>
      <c r="Q372" t="s">
        <v>50</v>
      </c>
      <c r="R372">
        <v>2</v>
      </c>
      <c r="S372">
        <v>8</v>
      </c>
      <c r="T372" t="s">
        <v>36</v>
      </c>
      <c r="U372" t="s">
        <v>60</v>
      </c>
      <c r="V372" t="s">
        <v>86</v>
      </c>
      <c r="W372" s="2">
        <v>45611</v>
      </c>
      <c r="X372" s="4">
        <f ca="1">TODAY()-DATASET[[#This Row],[Time_of_Purchase]]</f>
        <v>523</v>
      </c>
      <c r="Y372" t="b">
        <v>0</v>
      </c>
      <c r="Z372" t="b">
        <v>1</v>
      </c>
      <c r="AA372" t="s">
        <v>40</v>
      </c>
      <c r="AB372" t="s">
        <v>53</v>
      </c>
      <c r="AC372">
        <v>9</v>
      </c>
    </row>
    <row r="373" spans="1:29" x14ac:dyDescent="0.25">
      <c r="A373" t="s">
        <v>827</v>
      </c>
      <c r="B373">
        <v>18</v>
      </c>
      <c r="C373" t="s">
        <v>29</v>
      </c>
      <c r="D373" t="s">
        <v>44</v>
      </c>
      <c r="E373" t="s">
        <v>55</v>
      </c>
      <c r="F373" t="s">
        <v>56</v>
      </c>
      <c r="G373" t="s">
        <v>30</v>
      </c>
      <c r="H373" t="s">
        <v>828</v>
      </c>
      <c r="I373" t="s">
        <v>117</v>
      </c>
      <c r="J373" s="1">
        <v>343.77</v>
      </c>
      <c r="K373">
        <v>6</v>
      </c>
      <c r="L373" t="s">
        <v>35</v>
      </c>
      <c r="M373">
        <v>5</v>
      </c>
      <c r="N373">
        <v>4</v>
      </c>
      <c r="O373">
        <v>2</v>
      </c>
      <c r="P373" t="s">
        <v>36</v>
      </c>
      <c r="Q373" t="s">
        <v>50</v>
      </c>
      <c r="R373">
        <v>2</v>
      </c>
      <c r="S373">
        <v>4</v>
      </c>
      <c r="T373" t="s">
        <v>49</v>
      </c>
      <c r="U373" t="s">
        <v>79</v>
      </c>
      <c r="V373" t="s">
        <v>39</v>
      </c>
      <c r="W373" s="2">
        <v>45338</v>
      </c>
      <c r="X373" s="4">
        <f ca="1">TODAY()-DATASET[[#This Row],[Time_of_Purchase]]</f>
        <v>796</v>
      </c>
      <c r="Y373" t="b">
        <v>1</v>
      </c>
      <c r="Z373" t="b">
        <v>0</v>
      </c>
      <c r="AA373" t="s">
        <v>62</v>
      </c>
      <c r="AB373" t="s">
        <v>41</v>
      </c>
      <c r="AC373">
        <v>3</v>
      </c>
    </row>
    <row r="374" spans="1:29" x14ac:dyDescent="0.25">
      <c r="A374" t="s">
        <v>829</v>
      </c>
      <c r="B374">
        <v>37</v>
      </c>
      <c r="C374" t="s">
        <v>43</v>
      </c>
      <c r="D374" t="s">
        <v>30</v>
      </c>
      <c r="E374" t="s">
        <v>76</v>
      </c>
      <c r="F374" t="s">
        <v>56</v>
      </c>
      <c r="G374" t="s">
        <v>44</v>
      </c>
      <c r="H374" t="s">
        <v>830</v>
      </c>
      <c r="I374" t="s">
        <v>65</v>
      </c>
      <c r="J374" s="1">
        <v>107.21</v>
      </c>
      <c r="K374">
        <v>2</v>
      </c>
      <c r="L374" t="s">
        <v>78</v>
      </c>
      <c r="M374">
        <v>4</v>
      </c>
      <c r="N374">
        <v>2</v>
      </c>
      <c r="O374">
        <v>1</v>
      </c>
      <c r="P374" t="s">
        <v>36</v>
      </c>
      <c r="Q374" t="s">
        <v>50</v>
      </c>
      <c r="R374">
        <v>2</v>
      </c>
      <c r="S374">
        <v>9</v>
      </c>
      <c r="T374" t="s">
        <v>49</v>
      </c>
      <c r="U374" t="s">
        <v>79</v>
      </c>
      <c r="V374" t="s">
        <v>66</v>
      </c>
      <c r="W374" s="2">
        <v>45509</v>
      </c>
      <c r="X374" s="4">
        <f ca="1">TODAY()-DATASET[[#This Row],[Time_of_Purchase]]</f>
        <v>625</v>
      </c>
      <c r="Y374" t="b">
        <v>1</v>
      </c>
      <c r="Z374" t="b">
        <v>1</v>
      </c>
      <c r="AA374" t="s">
        <v>74</v>
      </c>
      <c r="AB374" t="s">
        <v>53</v>
      </c>
      <c r="AC374">
        <v>6</v>
      </c>
    </row>
    <row r="375" spans="1:29" x14ac:dyDescent="0.25">
      <c r="A375" t="s">
        <v>831</v>
      </c>
      <c r="B375">
        <v>31</v>
      </c>
      <c r="C375" t="s">
        <v>148</v>
      </c>
      <c r="D375" t="s">
        <v>44</v>
      </c>
      <c r="E375" t="s">
        <v>55</v>
      </c>
      <c r="F375" t="s">
        <v>56</v>
      </c>
      <c r="G375" t="s">
        <v>30</v>
      </c>
      <c r="H375" t="s">
        <v>832</v>
      </c>
      <c r="I375" t="s">
        <v>65</v>
      </c>
      <c r="J375" s="1">
        <v>148.97999999999999</v>
      </c>
      <c r="K375">
        <v>12</v>
      </c>
      <c r="L375" t="s">
        <v>78</v>
      </c>
      <c r="M375">
        <v>5</v>
      </c>
      <c r="N375">
        <v>1</v>
      </c>
      <c r="O375">
        <v>2</v>
      </c>
      <c r="P375" t="s">
        <v>36</v>
      </c>
      <c r="Q375" t="s">
        <v>85</v>
      </c>
      <c r="R375">
        <v>0</v>
      </c>
      <c r="S375">
        <v>8</v>
      </c>
      <c r="T375" t="s">
        <v>59</v>
      </c>
      <c r="U375" t="s">
        <v>38</v>
      </c>
      <c r="V375" t="s">
        <v>61</v>
      </c>
      <c r="W375" s="2">
        <v>45515</v>
      </c>
      <c r="X375" s="4">
        <f ca="1">TODAY()-DATASET[[#This Row],[Time_of_Purchase]]</f>
        <v>619</v>
      </c>
      <c r="Y375" t="b">
        <v>1</v>
      </c>
      <c r="Z375" t="b">
        <v>1</v>
      </c>
      <c r="AA375" t="s">
        <v>52</v>
      </c>
      <c r="AB375" t="s">
        <v>53</v>
      </c>
      <c r="AC375">
        <v>13</v>
      </c>
    </row>
    <row r="376" spans="1:29" x14ac:dyDescent="0.25">
      <c r="A376" t="s">
        <v>833</v>
      </c>
      <c r="B376">
        <v>22</v>
      </c>
      <c r="C376" t="s">
        <v>29</v>
      </c>
      <c r="D376" t="s">
        <v>44</v>
      </c>
      <c r="E376" t="s">
        <v>69</v>
      </c>
      <c r="F376" t="s">
        <v>56</v>
      </c>
      <c r="G376" t="s">
        <v>30</v>
      </c>
      <c r="H376" t="s">
        <v>834</v>
      </c>
      <c r="I376" t="s">
        <v>104</v>
      </c>
      <c r="J376" s="1">
        <v>490.41</v>
      </c>
      <c r="K376">
        <v>4</v>
      </c>
      <c r="L376" t="s">
        <v>35</v>
      </c>
      <c r="M376">
        <v>3</v>
      </c>
      <c r="N376">
        <v>4</v>
      </c>
      <c r="O376">
        <v>0</v>
      </c>
      <c r="P376" t="s">
        <v>59</v>
      </c>
      <c r="Q376" t="s">
        <v>37</v>
      </c>
      <c r="R376">
        <v>0</v>
      </c>
      <c r="S376">
        <v>2</v>
      </c>
      <c r="T376" t="s">
        <v>44</v>
      </c>
      <c r="U376" t="s">
        <v>38</v>
      </c>
      <c r="V376" t="s">
        <v>66</v>
      </c>
      <c r="W376" s="2">
        <v>45641</v>
      </c>
      <c r="X376" s="4">
        <f ca="1">TODAY()-DATASET[[#This Row],[Time_of_Purchase]]</f>
        <v>493</v>
      </c>
      <c r="Y376" t="b">
        <v>0</v>
      </c>
      <c r="Z376" t="b">
        <v>1</v>
      </c>
      <c r="AA376" t="s">
        <v>74</v>
      </c>
      <c r="AB376" t="s">
        <v>67</v>
      </c>
      <c r="AC376">
        <v>3</v>
      </c>
    </row>
    <row r="377" spans="1:29" x14ac:dyDescent="0.25">
      <c r="A377" t="s">
        <v>835</v>
      </c>
      <c r="B377">
        <v>33</v>
      </c>
      <c r="C377" t="s">
        <v>43</v>
      </c>
      <c r="D377" t="s">
        <v>44</v>
      </c>
      <c r="E377" t="s">
        <v>31</v>
      </c>
      <c r="F377" t="s">
        <v>45</v>
      </c>
      <c r="G377" t="s">
        <v>30</v>
      </c>
      <c r="H377" t="s">
        <v>836</v>
      </c>
      <c r="I377" t="s">
        <v>158</v>
      </c>
      <c r="J377" s="1">
        <v>461.34</v>
      </c>
      <c r="K377">
        <v>4</v>
      </c>
      <c r="L377" t="s">
        <v>48</v>
      </c>
      <c r="M377">
        <v>3</v>
      </c>
      <c r="N377">
        <v>1</v>
      </c>
      <c r="O377">
        <v>0</v>
      </c>
      <c r="P377" t="s">
        <v>44</v>
      </c>
      <c r="Q377" t="s">
        <v>37</v>
      </c>
      <c r="R377">
        <v>1</v>
      </c>
      <c r="S377">
        <v>9</v>
      </c>
      <c r="T377" t="s">
        <v>59</v>
      </c>
      <c r="U377" t="s">
        <v>79</v>
      </c>
      <c r="V377" t="s">
        <v>86</v>
      </c>
      <c r="W377" s="2">
        <v>45357</v>
      </c>
      <c r="X377" s="4">
        <f ca="1">TODAY()-DATASET[[#This Row],[Time_of_Purchase]]</f>
        <v>777</v>
      </c>
      <c r="Y377" t="b">
        <v>0</v>
      </c>
      <c r="Z377" t="b">
        <v>1</v>
      </c>
      <c r="AA377" t="s">
        <v>52</v>
      </c>
      <c r="AB377" t="s">
        <v>67</v>
      </c>
      <c r="AC377">
        <v>7</v>
      </c>
    </row>
    <row r="378" spans="1:29" x14ac:dyDescent="0.25">
      <c r="A378" t="s">
        <v>837</v>
      </c>
      <c r="B378">
        <v>20</v>
      </c>
      <c r="C378" t="s">
        <v>29</v>
      </c>
      <c r="D378" t="s">
        <v>44</v>
      </c>
      <c r="E378" t="s">
        <v>55</v>
      </c>
      <c r="F378" t="s">
        <v>56</v>
      </c>
      <c r="G378" t="s">
        <v>44</v>
      </c>
      <c r="H378" t="s">
        <v>838</v>
      </c>
      <c r="I378" t="s">
        <v>58</v>
      </c>
      <c r="J378" s="1">
        <v>338.89</v>
      </c>
      <c r="K378">
        <v>7</v>
      </c>
      <c r="L378" t="s">
        <v>48</v>
      </c>
      <c r="M378">
        <v>4</v>
      </c>
      <c r="N378">
        <v>2</v>
      </c>
      <c r="O378">
        <v>1</v>
      </c>
      <c r="P378" t="s">
        <v>59</v>
      </c>
      <c r="Q378" t="s">
        <v>37</v>
      </c>
      <c r="R378">
        <v>2</v>
      </c>
      <c r="S378">
        <v>6</v>
      </c>
      <c r="T378" t="s">
        <v>36</v>
      </c>
      <c r="U378" t="s">
        <v>79</v>
      </c>
      <c r="V378" t="s">
        <v>39</v>
      </c>
      <c r="W378" s="2">
        <v>45433</v>
      </c>
      <c r="X378" s="4">
        <f ca="1">TODAY()-DATASET[[#This Row],[Time_of_Purchase]]</f>
        <v>701</v>
      </c>
      <c r="Y378" t="b">
        <v>1</v>
      </c>
      <c r="Z378" t="b">
        <v>1</v>
      </c>
      <c r="AA378" t="s">
        <v>52</v>
      </c>
      <c r="AB378" t="s">
        <v>67</v>
      </c>
      <c r="AC378">
        <v>3</v>
      </c>
    </row>
    <row r="379" spans="1:29" x14ac:dyDescent="0.25">
      <c r="A379" t="s">
        <v>839</v>
      </c>
      <c r="B379">
        <v>26</v>
      </c>
      <c r="C379" t="s">
        <v>43</v>
      </c>
      <c r="D379" t="s">
        <v>44</v>
      </c>
      <c r="E379" t="s">
        <v>31</v>
      </c>
      <c r="F379" t="s">
        <v>45</v>
      </c>
      <c r="G379" t="s">
        <v>44</v>
      </c>
      <c r="H379" t="s">
        <v>840</v>
      </c>
      <c r="I379" t="s">
        <v>34</v>
      </c>
      <c r="J379" s="1">
        <v>222.63</v>
      </c>
      <c r="K379">
        <v>3</v>
      </c>
      <c r="L379" t="s">
        <v>35</v>
      </c>
      <c r="M379">
        <v>1</v>
      </c>
      <c r="N379">
        <v>1</v>
      </c>
      <c r="O379">
        <v>0</v>
      </c>
      <c r="P379" t="s">
        <v>49</v>
      </c>
      <c r="Q379" t="s">
        <v>37</v>
      </c>
      <c r="R379">
        <v>2</v>
      </c>
      <c r="S379">
        <v>2</v>
      </c>
      <c r="T379" t="s">
        <v>36</v>
      </c>
      <c r="U379" t="s">
        <v>38</v>
      </c>
      <c r="V379" t="s">
        <v>86</v>
      </c>
      <c r="W379" s="2">
        <v>45374</v>
      </c>
      <c r="X379" s="4">
        <f ca="1">TODAY()-DATASET[[#This Row],[Time_of_Purchase]]</f>
        <v>760</v>
      </c>
      <c r="Y379" t="b">
        <v>0</v>
      </c>
      <c r="Z379" t="b">
        <v>1</v>
      </c>
      <c r="AA379" t="s">
        <v>62</v>
      </c>
      <c r="AB379" t="s">
        <v>67</v>
      </c>
      <c r="AC379">
        <v>6</v>
      </c>
    </row>
    <row r="380" spans="1:29" x14ac:dyDescent="0.25">
      <c r="A380" t="s">
        <v>841</v>
      </c>
      <c r="B380">
        <v>26</v>
      </c>
      <c r="C380" t="s">
        <v>43</v>
      </c>
      <c r="D380" t="s">
        <v>44</v>
      </c>
      <c r="E380" t="s">
        <v>31</v>
      </c>
      <c r="F380" t="s">
        <v>45</v>
      </c>
      <c r="G380" t="s">
        <v>44</v>
      </c>
      <c r="H380" t="s">
        <v>842</v>
      </c>
      <c r="I380" t="s">
        <v>126</v>
      </c>
      <c r="J380" s="1">
        <v>71.95</v>
      </c>
      <c r="K380">
        <v>2</v>
      </c>
      <c r="L380" t="s">
        <v>35</v>
      </c>
      <c r="M380">
        <v>3</v>
      </c>
      <c r="N380">
        <v>5</v>
      </c>
      <c r="O380">
        <v>2</v>
      </c>
      <c r="P380" t="s">
        <v>36</v>
      </c>
      <c r="Q380" t="s">
        <v>85</v>
      </c>
      <c r="R380">
        <v>2</v>
      </c>
      <c r="S380">
        <v>10</v>
      </c>
      <c r="T380" t="s">
        <v>36</v>
      </c>
      <c r="U380" t="s">
        <v>79</v>
      </c>
      <c r="V380" t="s">
        <v>61</v>
      </c>
      <c r="W380" s="2">
        <v>45557</v>
      </c>
      <c r="X380" s="4">
        <f ca="1">TODAY()-DATASET[[#This Row],[Time_of_Purchase]]</f>
        <v>577</v>
      </c>
      <c r="Y380" t="b">
        <v>0</v>
      </c>
      <c r="Z380" t="b">
        <v>1</v>
      </c>
      <c r="AA380" t="s">
        <v>74</v>
      </c>
      <c r="AB380" t="s">
        <v>41</v>
      </c>
      <c r="AC380">
        <v>13</v>
      </c>
    </row>
    <row r="381" spans="1:29" x14ac:dyDescent="0.25">
      <c r="A381" t="s">
        <v>843</v>
      </c>
      <c r="B381">
        <v>21</v>
      </c>
      <c r="C381" t="s">
        <v>43</v>
      </c>
      <c r="D381" t="s">
        <v>44</v>
      </c>
      <c r="E381" t="s">
        <v>76</v>
      </c>
      <c r="F381" t="s">
        <v>45</v>
      </c>
      <c r="G381" t="s">
        <v>30</v>
      </c>
      <c r="H381" t="s">
        <v>844</v>
      </c>
      <c r="I381" t="s">
        <v>120</v>
      </c>
      <c r="J381" s="1">
        <v>264.52</v>
      </c>
      <c r="K381">
        <v>9</v>
      </c>
      <c r="L381" t="s">
        <v>78</v>
      </c>
      <c r="M381">
        <v>3</v>
      </c>
      <c r="N381">
        <v>3</v>
      </c>
      <c r="O381">
        <v>1</v>
      </c>
      <c r="P381" t="s">
        <v>36</v>
      </c>
      <c r="Q381" t="s">
        <v>50</v>
      </c>
      <c r="R381">
        <v>0</v>
      </c>
      <c r="S381">
        <v>10</v>
      </c>
      <c r="T381" t="s">
        <v>36</v>
      </c>
      <c r="U381" t="s">
        <v>60</v>
      </c>
      <c r="V381" t="s">
        <v>61</v>
      </c>
      <c r="W381" s="2">
        <v>45384</v>
      </c>
      <c r="X381" s="4">
        <f ca="1">TODAY()-DATASET[[#This Row],[Time_of_Purchase]]</f>
        <v>750</v>
      </c>
      <c r="Y381" t="b">
        <v>1</v>
      </c>
      <c r="Z381" t="b">
        <v>1</v>
      </c>
      <c r="AA381" t="s">
        <v>74</v>
      </c>
      <c r="AB381" t="s">
        <v>41</v>
      </c>
      <c r="AC381">
        <v>6</v>
      </c>
    </row>
    <row r="382" spans="1:29" x14ac:dyDescent="0.25">
      <c r="A382" t="s">
        <v>845</v>
      </c>
      <c r="B382">
        <v>43</v>
      </c>
      <c r="C382" t="s">
        <v>43</v>
      </c>
      <c r="D382" t="s">
        <v>44</v>
      </c>
      <c r="E382" t="s">
        <v>76</v>
      </c>
      <c r="F382" t="s">
        <v>45</v>
      </c>
      <c r="G382" t="s">
        <v>44</v>
      </c>
      <c r="H382" t="s">
        <v>846</v>
      </c>
      <c r="I382" t="s">
        <v>47</v>
      </c>
      <c r="J382" s="1">
        <v>414.8</v>
      </c>
      <c r="K382">
        <v>9</v>
      </c>
      <c r="L382" t="s">
        <v>35</v>
      </c>
      <c r="M382">
        <v>2</v>
      </c>
      <c r="N382">
        <v>3</v>
      </c>
      <c r="O382">
        <v>2</v>
      </c>
      <c r="P382" t="s">
        <v>59</v>
      </c>
      <c r="Q382" t="s">
        <v>85</v>
      </c>
      <c r="R382">
        <v>2</v>
      </c>
      <c r="S382">
        <v>9</v>
      </c>
      <c r="T382" t="s">
        <v>36</v>
      </c>
      <c r="U382" t="s">
        <v>79</v>
      </c>
      <c r="V382" t="s">
        <v>51</v>
      </c>
      <c r="W382" s="2">
        <v>45321</v>
      </c>
      <c r="X382" s="4">
        <f ca="1">TODAY()-DATASET[[#This Row],[Time_of_Purchase]]</f>
        <v>813</v>
      </c>
      <c r="Y382" t="b">
        <v>0</v>
      </c>
      <c r="Z382" t="b">
        <v>1</v>
      </c>
      <c r="AA382" t="s">
        <v>74</v>
      </c>
      <c r="AB382" t="s">
        <v>41</v>
      </c>
      <c r="AC382">
        <v>7</v>
      </c>
    </row>
    <row r="383" spans="1:29" x14ac:dyDescent="0.25">
      <c r="A383" t="s">
        <v>847</v>
      </c>
      <c r="B383">
        <v>50</v>
      </c>
      <c r="C383" t="s">
        <v>43</v>
      </c>
      <c r="D383" t="s">
        <v>30</v>
      </c>
      <c r="E383" t="s">
        <v>55</v>
      </c>
      <c r="F383" t="s">
        <v>32</v>
      </c>
      <c r="G383" t="s">
        <v>44</v>
      </c>
      <c r="H383" t="s">
        <v>848</v>
      </c>
      <c r="I383" t="s">
        <v>158</v>
      </c>
      <c r="J383" s="1">
        <v>50.79</v>
      </c>
      <c r="K383">
        <v>12</v>
      </c>
      <c r="L383" t="s">
        <v>35</v>
      </c>
      <c r="M383">
        <v>5</v>
      </c>
      <c r="N383">
        <v>1</v>
      </c>
      <c r="O383">
        <v>0</v>
      </c>
      <c r="P383" t="s">
        <v>49</v>
      </c>
      <c r="Q383" t="s">
        <v>37</v>
      </c>
      <c r="R383">
        <v>0</v>
      </c>
      <c r="S383">
        <v>2</v>
      </c>
      <c r="T383" t="s">
        <v>49</v>
      </c>
      <c r="U383" t="s">
        <v>79</v>
      </c>
      <c r="V383" t="s">
        <v>66</v>
      </c>
      <c r="W383" s="2">
        <v>45440</v>
      </c>
      <c r="X383" s="4">
        <f ca="1">TODAY()-DATASET[[#This Row],[Time_of_Purchase]]</f>
        <v>694</v>
      </c>
      <c r="Y383" t="b">
        <v>1</v>
      </c>
      <c r="Z383" t="b">
        <v>0</v>
      </c>
      <c r="AA383" t="s">
        <v>74</v>
      </c>
      <c r="AB383" t="s">
        <v>53</v>
      </c>
      <c r="AC383">
        <v>3</v>
      </c>
    </row>
    <row r="384" spans="1:29" x14ac:dyDescent="0.25">
      <c r="A384" t="s">
        <v>849</v>
      </c>
      <c r="B384">
        <v>42</v>
      </c>
      <c r="C384" t="s">
        <v>29</v>
      </c>
      <c r="D384" t="s">
        <v>30</v>
      </c>
      <c r="E384" t="s">
        <v>31</v>
      </c>
      <c r="F384" t="s">
        <v>45</v>
      </c>
      <c r="G384" t="s">
        <v>30</v>
      </c>
      <c r="H384" t="s">
        <v>850</v>
      </c>
      <c r="I384" t="s">
        <v>107</v>
      </c>
      <c r="J384" s="1">
        <v>264.3</v>
      </c>
      <c r="K384">
        <v>10</v>
      </c>
      <c r="L384" t="s">
        <v>48</v>
      </c>
      <c r="M384">
        <v>5</v>
      </c>
      <c r="N384">
        <v>4</v>
      </c>
      <c r="O384">
        <v>1</v>
      </c>
      <c r="P384" t="s">
        <v>59</v>
      </c>
      <c r="Q384" t="s">
        <v>50</v>
      </c>
      <c r="R384">
        <v>2</v>
      </c>
      <c r="S384">
        <v>2</v>
      </c>
      <c r="T384" t="s">
        <v>44</v>
      </c>
      <c r="U384" t="s">
        <v>60</v>
      </c>
      <c r="V384" t="s">
        <v>51</v>
      </c>
      <c r="W384" s="2">
        <v>45524</v>
      </c>
      <c r="X384" s="4">
        <f ca="1">TODAY()-DATASET[[#This Row],[Time_of_Purchase]]</f>
        <v>610</v>
      </c>
      <c r="Y384" t="b">
        <v>1</v>
      </c>
      <c r="Z384" t="b">
        <v>1</v>
      </c>
      <c r="AA384" t="s">
        <v>74</v>
      </c>
      <c r="AB384" t="s">
        <v>41</v>
      </c>
      <c r="AC384">
        <v>5</v>
      </c>
    </row>
    <row r="385" spans="1:29" x14ac:dyDescent="0.25">
      <c r="A385" t="s">
        <v>851</v>
      </c>
      <c r="B385">
        <v>29</v>
      </c>
      <c r="C385" t="s">
        <v>43</v>
      </c>
      <c r="D385" t="s">
        <v>44</v>
      </c>
      <c r="E385" t="s">
        <v>31</v>
      </c>
      <c r="F385" t="s">
        <v>32</v>
      </c>
      <c r="G385" t="s">
        <v>30</v>
      </c>
      <c r="H385" t="s">
        <v>852</v>
      </c>
      <c r="I385" t="s">
        <v>101</v>
      </c>
      <c r="J385" s="1">
        <v>122.46</v>
      </c>
      <c r="K385">
        <v>12</v>
      </c>
      <c r="L385" t="s">
        <v>35</v>
      </c>
      <c r="M385">
        <v>2</v>
      </c>
      <c r="N385">
        <v>3</v>
      </c>
      <c r="O385">
        <v>0</v>
      </c>
      <c r="P385" t="s">
        <v>44</v>
      </c>
      <c r="Q385" t="s">
        <v>50</v>
      </c>
      <c r="R385">
        <v>0</v>
      </c>
      <c r="S385">
        <v>3</v>
      </c>
      <c r="T385" t="s">
        <v>59</v>
      </c>
      <c r="U385" t="s">
        <v>38</v>
      </c>
      <c r="V385" t="s">
        <v>39</v>
      </c>
      <c r="W385" s="2">
        <v>45337</v>
      </c>
      <c r="X385" s="4">
        <f ca="1">TODAY()-DATASET[[#This Row],[Time_of_Purchase]]</f>
        <v>797</v>
      </c>
      <c r="Y385" t="b">
        <v>0</v>
      </c>
      <c r="Z385" t="b">
        <v>1</v>
      </c>
      <c r="AA385" t="s">
        <v>52</v>
      </c>
      <c r="AB385" t="s">
        <v>53</v>
      </c>
      <c r="AC385">
        <v>6</v>
      </c>
    </row>
    <row r="386" spans="1:29" x14ac:dyDescent="0.25">
      <c r="A386" t="s">
        <v>853</v>
      </c>
      <c r="B386">
        <v>20</v>
      </c>
      <c r="C386" t="s">
        <v>43</v>
      </c>
      <c r="D386" t="s">
        <v>30</v>
      </c>
      <c r="E386" t="s">
        <v>69</v>
      </c>
      <c r="F386" t="s">
        <v>45</v>
      </c>
      <c r="G386" t="s">
        <v>30</v>
      </c>
      <c r="H386" t="s">
        <v>854</v>
      </c>
      <c r="I386" t="s">
        <v>120</v>
      </c>
      <c r="J386" s="1">
        <v>238.01</v>
      </c>
      <c r="K386">
        <v>8</v>
      </c>
      <c r="L386" t="s">
        <v>48</v>
      </c>
      <c r="M386">
        <v>2</v>
      </c>
      <c r="N386">
        <v>2</v>
      </c>
      <c r="O386">
        <v>0</v>
      </c>
      <c r="P386" t="s">
        <v>44</v>
      </c>
      <c r="Q386" t="s">
        <v>37</v>
      </c>
      <c r="R386">
        <v>0</v>
      </c>
      <c r="S386">
        <v>9</v>
      </c>
      <c r="T386" t="s">
        <v>59</v>
      </c>
      <c r="U386" t="s">
        <v>79</v>
      </c>
      <c r="V386" t="s">
        <v>86</v>
      </c>
      <c r="W386" s="2">
        <v>45486</v>
      </c>
      <c r="X386" s="4">
        <f ca="1">TODAY()-DATASET[[#This Row],[Time_of_Purchase]]</f>
        <v>648</v>
      </c>
      <c r="Y386" t="b">
        <v>0</v>
      </c>
      <c r="Z386" t="b">
        <v>1</v>
      </c>
      <c r="AA386" t="s">
        <v>40</v>
      </c>
      <c r="AB386" t="s">
        <v>53</v>
      </c>
      <c r="AC386">
        <v>5</v>
      </c>
    </row>
    <row r="387" spans="1:29" x14ac:dyDescent="0.25">
      <c r="A387" t="s">
        <v>855</v>
      </c>
      <c r="B387">
        <v>40</v>
      </c>
      <c r="C387" t="s">
        <v>190</v>
      </c>
      <c r="D387" t="s">
        <v>44</v>
      </c>
      <c r="E387" t="s">
        <v>31</v>
      </c>
      <c r="F387" t="s">
        <v>56</v>
      </c>
      <c r="G387" t="s">
        <v>30</v>
      </c>
      <c r="H387" t="s">
        <v>856</v>
      </c>
      <c r="I387" t="s">
        <v>65</v>
      </c>
      <c r="J387" s="1">
        <v>490.34</v>
      </c>
      <c r="K387">
        <v>4</v>
      </c>
      <c r="L387" t="s">
        <v>48</v>
      </c>
      <c r="M387">
        <v>5</v>
      </c>
      <c r="N387">
        <v>2</v>
      </c>
      <c r="O387">
        <v>2</v>
      </c>
      <c r="P387" t="s">
        <v>36</v>
      </c>
      <c r="Q387" t="s">
        <v>50</v>
      </c>
      <c r="R387">
        <v>2</v>
      </c>
      <c r="S387">
        <v>7</v>
      </c>
      <c r="T387" t="s">
        <v>44</v>
      </c>
      <c r="U387" t="s">
        <v>38</v>
      </c>
      <c r="V387" t="s">
        <v>66</v>
      </c>
      <c r="W387" s="2">
        <v>45399</v>
      </c>
      <c r="X387" s="4">
        <f ca="1">TODAY()-DATASET[[#This Row],[Time_of_Purchase]]</f>
        <v>735</v>
      </c>
      <c r="Y387" t="b">
        <v>0</v>
      </c>
      <c r="Z387" t="b">
        <v>1</v>
      </c>
      <c r="AA387" t="s">
        <v>40</v>
      </c>
      <c r="AB387" t="s">
        <v>41</v>
      </c>
      <c r="AC387">
        <v>2</v>
      </c>
    </row>
    <row r="388" spans="1:29" x14ac:dyDescent="0.25">
      <c r="A388" t="s">
        <v>857</v>
      </c>
      <c r="B388">
        <v>38</v>
      </c>
      <c r="C388" t="s">
        <v>43</v>
      </c>
      <c r="D388" t="s">
        <v>44</v>
      </c>
      <c r="E388" t="s">
        <v>76</v>
      </c>
      <c r="F388" t="s">
        <v>32</v>
      </c>
      <c r="G388" t="s">
        <v>30</v>
      </c>
      <c r="H388" t="s">
        <v>858</v>
      </c>
      <c r="I388" t="s">
        <v>246</v>
      </c>
      <c r="J388" s="1">
        <v>245.98</v>
      </c>
      <c r="K388">
        <v>4</v>
      </c>
      <c r="L388" t="s">
        <v>35</v>
      </c>
      <c r="M388">
        <v>5</v>
      </c>
      <c r="N388">
        <v>1</v>
      </c>
      <c r="O388">
        <v>1</v>
      </c>
      <c r="P388" t="s">
        <v>44</v>
      </c>
      <c r="Q388" t="s">
        <v>50</v>
      </c>
      <c r="R388">
        <v>0</v>
      </c>
      <c r="S388">
        <v>1</v>
      </c>
      <c r="T388" t="s">
        <v>49</v>
      </c>
      <c r="U388" t="s">
        <v>79</v>
      </c>
      <c r="V388" t="s">
        <v>51</v>
      </c>
      <c r="W388" s="2">
        <v>45625</v>
      </c>
      <c r="X388" s="4">
        <f ca="1">TODAY()-DATASET[[#This Row],[Time_of_Purchase]]</f>
        <v>509</v>
      </c>
      <c r="Y388" t="b">
        <v>0</v>
      </c>
      <c r="Z388" t="b">
        <v>0</v>
      </c>
      <c r="AA388" t="s">
        <v>74</v>
      </c>
      <c r="AB388" t="s">
        <v>53</v>
      </c>
      <c r="AC388">
        <v>10</v>
      </c>
    </row>
    <row r="389" spans="1:29" x14ac:dyDescent="0.25">
      <c r="A389" t="s">
        <v>859</v>
      </c>
      <c r="B389">
        <v>45</v>
      </c>
      <c r="C389" t="s">
        <v>212</v>
      </c>
      <c r="D389" t="s">
        <v>30</v>
      </c>
      <c r="E389" t="s">
        <v>69</v>
      </c>
      <c r="F389" t="s">
        <v>45</v>
      </c>
      <c r="G389" t="s">
        <v>44</v>
      </c>
      <c r="H389" t="s">
        <v>860</v>
      </c>
      <c r="I389" t="s">
        <v>107</v>
      </c>
      <c r="J389" s="1">
        <v>390.83</v>
      </c>
      <c r="K389">
        <v>9</v>
      </c>
      <c r="L389" t="s">
        <v>78</v>
      </c>
      <c r="M389">
        <v>5</v>
      </c>
      <c r="N389">
        <v>5</v>
      </c>
      <c r="O389">
        <v>0</v>
      </c>
      <c r="P389" t="s">
        <v>49</v>
      </c>
      <c r="Q389" t="s">
        <v>37</v>
      </c>
      <c r="R389">
        <v>0</v>
      </c>
      <c r="S389">
        <v>5</v>
      </c>
      <c r="T389" t="s">
        <v>44</v>
      </c>
      <c r="U389" t="s">
        <v>79</v>
      </c>
      <c r="V389" t="s">
        <v>86</v>
      </c>
      <c r="W389" s="2">
        <v>45593</v>
      </c>
      <c r="X389" s="4">
        <f ca="1">TODAY()-DATASET[[#This Row],[Time_of_Purchase]]</f>
        <v>541</v>
      </c>
      <c r="Y389" t="b">
        <v>0</v>
      </c>
      <c r="Z389" t="b">
        <v>1</v>
      </c>
      <c r="AA389" t="s">
        <v>62</v>
      </c>
      <c r="AB389" t="s">
        <v>41</v>
      </c>
      <c r="AC389">
        <v>8</v>
      </c>
    </row>
    <row r="390" spans="1:29" x14ac:dyDescent="0.25">
      <c r="A390" t="s">
        <v>861</v>
      </c>
      <c r="B390">
        <v>49</v>
      </c>
      <c r="C390" t="s">
        <v>43</v>
      </c>
      <c r="D390" t="s">
        <v>44</v>
      </c>
      <c r="E390" t="s">
        <v>69</v>
      </c>
      <c r="F390" t="s">
        <v>45</v>
      </c>
      <c r="G390" t="s">
        <v>30</v>
      </c>
      <c r="H390" t="s">
        <v>862</v>
      </c>
      <c r="I390" t="s">
        <v>246</v>
      </c>
      <c r="J390" s="1">
        <v>158.84</v>
      </c>
      <c r="K390">
        <v>6</v>
      </c>
      <c r="L390" t="s">
        <v>78</v>
      </c>
      <c r="M390">
        <v>2</v>
      </c>
      <c r="N390">
        <v>1</v>
      </c>
      <c r="O390">
        <v>1</v>
      </c>
      <c r="P390" t="s">
        <v>36</v>
      </c>
      <c r="Q390" t="s">
        <v>50</v>
      </c>
      <c r="R390">
        <v>1</v>
      </c>
      <c r="S390">
        <v>8</v>
      </c>
      <c r="T390" t="s">
        <v>59</v>
      </c>
      <c r="U390" t="s">
        <v>79</v>
      </c>
      <c r="V390" t="s">
        <v>86</v>
      </c>
      <c r="W390" s="2">
        <v>45485</v>
      </c>
      <c r="X390" s="4">
        <f ca="1">TODAY()-DATASET[[#This Row],[Time_of_Purchase]]</f>
        <v>649</v>
      </c>
      <c r="Y390" t="b">
        <v>1</v>
      </c>
      <c r="Z390" t="b">
        <v>1</v>
      </c>
      <c r="AA390" t="s">
        <v>40</v>
      </c>
      <c r="AB390" t="s">
        <v>67</v>
      </c>
      <c r="AC390">
        <v>5</v>
      </c>
    </row>
    <row r="391" spans="1:29" x14ac:dyDescent="0.25">
      <c r="A391" t="s">
        <v>863</v>
      </c>
      <c r="B391">
        <v>37</v>
      </c>
      <c r="C391" t="s">
        <v>43</v>
      </c>
      <c r="D391" t="s">
        <v>30</v>
      </c>
      <c r="E391" t="s">
        <v>55</v>
      </c>
      <c r="F391" t="s">
        <v>45</v>
      </c>
      <c r="G391" t="s">
        <v>30</v>
      </c>
      <c r="H391" t="s">
        <v>864</v>
      </c>
      <c r="I391" t="s">
        <v>123</v>
      </c>
      <c r="J391" s="1">
        <v>439.24</v>
      </c>
      <c r="K391">
        <v>8</v>
      </c>
      <c r="L391" t="s">
        <v>35</v>
      </c>
      <c r="M391">
        <v>3</v>
      </c>
      <c r="N391">
        <v>3</v>
      </c>
      <c r="O391">
        <v>1</v>
      </c>
      <c r="P391" t="s">
        <v>44</v>
      </c>
      <c r="Q391" t="s">
        <v>37</v>
      </c>
      <c r="R391">
        <v>2</v>
      </c>
      <c r="S391">
        <v>9</v>
      </c>
      <c r="T391" t="s">
        <v>49</v>
      </c>
      <c r="U391" t="s">
        <v>38</v>
      </c>
      <c r="V391" t="s">
        <v>66</v>
      </c>
      <c r="W391" s="2">
        <v>45499</v>
      </c>
      <c r="X391" s="4">
        <f ca="1">TODAY()-DATASET[[#This Row],[Time_of_Purchase]]</f>
        <v>635</v>
      </c>
      <c r="Y391" t="b">
        <v>0</v>
      </c>
      <c r="Z391" t="b">
        <v>0</v>
      </c>
      <c r="AA391" t="s">
        <v>52</v>
      </c>
      <c r="AB391" t="s">
        <v>53</v>
      </c>
      <c r="AC391">
        <v>10</v>
      </c>
    </row>
    <row r="392" spans="1:29" x14ac:dyDescent="0.25">
      <c r="A392" t="s">
        <v>865</v>
      </c>
      <c r="B392">
        <v>23</v>
      </c>
      <c r="C392" t="s">
        <v>212</v>
      </c>
      <c r="D392" t="s">
        <v>30</v>
      </c>
      <c r="E392" t="s">
        <v>69</v>
      </c>
      <c r="F392" t="s">
        <v>56</v>
      </c>
      <c r="G392" t="s">
        <v>44</v>
      </c>
      <c r="H392" t="s">
        <v>866</v>
      </c>
      <c r="I392" t="s">
        <v>126</v>
      </c>
      <c r="J392" s="1">
        <v>92.43</v>
      </c>
      <c r="K392">
        <v>12</v>
      </c>
      <c r="L392" t="s">
        <v>35</v>
      </c>
      <c r="M392">
        <v>4</v>
      </c>
      <c r="N392">
        <v>1</v>
      </c>
      <c r="O392">
        <v>0</v>
      </c>
      <c r="P392" t="s">
        <v>49</v>
      </c>
      <c r="Q392" t="s">
        <v>37</v>
      </c>
      <c r="R392">
        <v>2</v>
      </c>
      <c r="S392">
        <v>9</v>
      </c>
      <c r="T392" t="s">
        <v>36</v>
      </c>
      <c r="U392" t="s">
        <v>60</v>
      </c>
      <c r="V392" t="s">
        <v>66</v>
      </c>
      <c r="W392" s="2">
        <v>45631</v>
      </c>
      <c r="X392" s="4">
        <f ca="1">TODAY()-DATASET[[#This Row],[Time_of_Purchase]]</f>
        <v>503</v>
      </c>
      <c r="Y392" t="b">
        <v>0</v>
      </c>
      <c r="Z392" t="b">
        <v>1</v>
      </c>
      <c r="AA392" t="s">
        <v>40</v>
      </c>
      <c r="AB392" t="s">
        <v>53</v>
      </c>
      <c r="AC392">
        <v>6</v>
      </c>
    </row>
    <row r="393" spans="1:29" x14ac:dyDescent="0.25">
      <c r="A393" t="s">
        <v>867</v>
      </c>
      <c r="B393">
        <v>48</v>
      </c>
      <c r="C393" t="s">
        <v>29</v>
      </c>
      <c r="D393" t="s">
        <v>44</v>
      </c>
      <c r="E393" t="s">
        <v>31</v>
      </c>
      <c r="F393" t="s">
        <v>56</v>
      </c>
      <c r="G393" t="s">
        <v>30</v>
      </c>
      <c r="H393" t="s">
        <v>868</v>
      </c>
      <c r="I393" t="s">
        <v>183</v>
      </c>
      <c r="J393" s="1">
        <v>333.15</v>
      </c>
      <c r="K393">
        <v>9</v>
      </c>
      <c r="L393" t="s">
        <v>35</v>
      </c>
      <c r="M393">
        <v>1</v>
      </c>
      <c r="N393">
        <v>5</v>
      </c>
      <c r="O393">
        <v>1</v>
      </c>
      <c r="P393" t="s">
        <v>44</v>
      </c>
      <c r="Q393" t="s">
        <v>85</v>
      </c>
      <c r="R393">
        <v>1</v>
      </c>
      <c r="S393">
        <v>8</v>
      </c>
      <c r="T393" t="s">
        <v>44</v>
      </c>
      <c r="U393" t="s">
        <v>60</v>
      </c>
      <c r="V393" t="s">
        <v>66</v>
      </c>
      <c r="W393" s="2">
        <v>45516</v>
      </c>
      <c r="X393" s="4">
        <f ca="1">TODAY()-DATASET[[#This Row],[Time_of_Purchase]]</f>
        <v>618</v>
      </c>
      <c r="Y393" t="b">
        <v>0</v>
      </c>
      <c r="Z393" t="b">
        <v>0</v>
      </c>
      <c r="AA393" t="s">
        <v>62</v>
      </c>
      <c r="AB393" t="s">
        <v>53</v>
      </c>
      <c r="AC393">
        <v>14</v>
      </c>
    </row>
    <row r="394" spans="1:29" x14ac:dyDescent="0.25">
      <c r="A394" t="s">
        <v>869</v>
      </c>
      <c r="B394">
        <v>19</v>
      </c>
      <c r="C394" t="s">
        <v>43</v>
      </c>
      <c r="D394" t="s">
        <v>30</v>
      </c>
      <c r="E394" t="s">
        <v>76</v>
      </c>
      <c r="F394" t="s">
        <v>56</v>
      </c>
      <c r="G394" t="s">
        <v>30</v>
      </c>
      <c r="H394" t="s">
        <v>870</v>
      </c>
      <c r="I394" t="s">
        <v>98</v>
      </c>
      <c r="J394" s="1">
        <v>64.22</v>
      </c>
      <c r="K394">
        <v>9</v>
      </c>
      <c r="L394" t="s">
        <v>78</v>
      </c>
      <c r="M394">
        <v>1</v>
      </c>
      <c r="N394">
        <v>1</v>
      </c>
      <c r="O394">
        <v>2</v>
      </c>
      <c r="P394" t="s">
        <v>44</v>
      </c>
      <c r="Q394" t="s">
        <v>37</v>
      </c>
      <c r="R394">
        <v>1</v>
      </c>
      <c r="S394">
        <v>9</v>
      </c>
      <c r="T394" t="s">
        <v>49</v>
      </c>
      <c r="U394" t="s">
        <v>60</v>
      </c>
      <c r="V394" t="s">
        <v>51</v>
      </c>
      <c r="W394" s="2">
        <v>45293</v>
      </c>
      <c r="X394" s="4">
        <f ca="1">TODAY()-DATASET[[#This Row],[Time_of_Purchase]]</f>
        <v>841</v>
      </c>
      <c r="Y394" t="b">
        <v>1</v>
      </c>
      <c r="Z394" t="b">
        <v>0</v>
      </c>
      <c r="AA394" t="s">
        <v>62</v>
      </c>
      <c r="AB394" t="s">
        <v>41</v>
      </c>
      <c r="AC394">
        <v>10</v>
      </c>
    </row>
    <row r="395" spans="1:29" x14ac:dyDescent="0.25">
      <c r="A395" t="s">
        <v>871</v>
      </c>
      <c r="B395">
        <v>46</v>
      </c>
      <c r="C395" t="s">
        <v>29</v>
      </c>
      <c r="D395" t="s">
        <v>44</v>
      </c>
      <c r="E395" t="s">
        <v>55</v>
      </c>
      <c r="F395" t="s">
        <v>45</v>
      </c>
      <c r="G395" t="s">
        <v>44</v>
      </c>
      <c r="H395" t="s">
        <v>872</v>
      </c>
      <c r="I395" t="s">
        <v>65</v>
      </c>
      <c r="J395" s="1">
        <v>290.52999999999997</v>
      </c>
      <c r="K395">
        <v>3</v>
      </c>
      <c r="L395" t="s">
        <v>78</v>
      </c>
      <c r="M395">
        <v>3</v>
      </c>
      <c r="N395">
        <v>2</v>
      </c>
      <c r="O395">
        <v>1</v>
      </c>
      <c r="P395" t="s">
        <v>59</v>
      </c>
      <c r="Q395" t="s">
        <v>85</v>
      </c>
      <c r="R395">
        <v>0</v>
      </c>
      <c r="S395">
        <v>6</v>
      </c>
      <c r="T395" t="s">
        <v>44</v>
      </c>
      <c r="U395" t="s">
        <v>79</v>
      </c>
      <c r="V395" t="s">
        <v>61</v>
      </c>
      <c r="W395" s="2">
        <v>45600</v>
      </c>
      <c r="X395" s="4">
        <f ca="1">TODAY()-DATASET[[#This Row],[Time_of_Purchase]]</f>
        <v>534</v>
      </c>
      <c r="Y395" t="b">
        <v>1</v>
      </c>
      <c r="Z395" t="b">
        <v>0</v>
      </c>
      <c r="AA395" t="s">
        <v>74</v>
      </c>
      <c r="AB395" t="s">
        <v>41</v>
      </c>
      <c r="AC395">
        <v>10</v>
      </c>
    </row>
    <row r="396" spans="1:29" x14ac:dyDescent="0.25">
      <c r="A396" t="s">
        <v>873</v>
      </c>
      <c r="B396">
        <v>39</v>
      </c>
      <c r="C396" t="s">
        <v>43</v>
      </c>
      <c r="D396" t="s">
        <v>30</v>
      </c>
      <c r="E396" t="s">
        <v>76</v>
      </c>
      <c r="F396" t="s">
        <v>32</v>
      </c>
      <c r="G396" t="s">
        <v>44</v>
      </c>
      <c r="H396" t="s">
        <v>874</v>
      </c>
      <c r="I396" t="s">
        <v>123</v>
      </c>
      <c r="J396" s="1">
        <v>251.8</v>
      </c>
      <c r="K396">
        <v>6</v>
      </c>
      <c r="L396" t="s">
        <v>35</v>
      </c>
      <c r="M396">
        <v>5</v>
      </c>
      <c r="N396">
        <v>1</v>
      </c>
      <c r="O396">
        <v>2</v>
      </c>
      <c r="P396" t="s">
        <v>44</v>
      </c>
      <c r="Q396" t="s">
        <v>85</v>
      </c>
      <c r="R396">
        <v>1</v>
      </c>
      <c r="S396">
        <v>8</v>
      </c>
      <c r="T396" t="s">
        <v>59</v>
      </c>
      <c r="U396" t="s">
        <v>60</v>
      </c>
      <c r="V396" t="s">
        <v>61</v>
      </c>
      <c r="W396" s="2">
        <v>45478</v>
      </c>
      <c r="X396" s="4">
        <f ca="1">TODAY()-DATASET[[#This Row],[Time_of_Purchase]]</f>
        <v>656</v>
      </c>
      <c r="Y396" t="b">
        <v>1</v>
      </c>
      <c r="Z396" t="b">
        <v>1</v>
      </c>
      <c r="AA396" t="s">
        <v>62</v>
      </c>
      <c r="AB396" t="s">
        <v>41</v>
      </c>
      <c r="AC396">
        <v>11</v>
      </c>
    </row>
    <row r="397" spans="1:29" x14ac:dyDescent="0.25">
      <c r="A397" t="s">
        <v>875</v>
      </c>
      <c r="B397">
        <v>27</v>
      </c>
      <c r="C397" t="s">
        <v>212</v>
      </c>
      <c r="D397" t="s">
        <v>30</v>
      </c>
      <c r="E397" t="s">
        <v>76</v>
      </c>
      <c r="F397" t="s">
        <v>56</v>
      </c>
      <c r="G397" t="s">
        <v>30</v>
      </c>
      <c r="H397" t="s">
        <v>876</v>
      </c>
      <c r="I397" t="s">
        <v>90</v>
      </c>
      <c r="J397" s="1">
        <v>480.52</v>
      </c>
      <c r="K397">
        <v>3</v>
      </c>
      <c r="L397" t="s">
        <v>78</v>
      </c>
      <c r="M397">
        <v>5</v>
      </c>
      <c r="N397">
        <v>4</v>
      </c>
      <c r="O397">
        <v>2</v>
      </c>
      <c r="P397" t="s">
        <v>59</v>
      </c>
      <c r="Q397" t="s">
        <v>37</v>
      </c>
      <c r="R397">
        <v>1</v>
      </c>
      <c r="S397">
        <v>5</v>
      </c>
      <c r="T397" t="s">
        <v>36</v>
      </c>
      <c r="U397" t="s">
        <v>60</v>
      </c>
      <c r="V397" t="s">
        <v>86</v>
      </c>
      <c r="W397" s="2">
        <v>45412</v>
      </c>
      <c r="X397" s="4">
        <f ca="1">TODAY()-DATASET[[#This Row],[Time_of_Purchase]]</f>
        <v>722</v>
      </c>
      <c r="Y397" t="b">
        <v>0</v>
      </c>
      <c r="Z397" t="b">
        <v>0</v>
      </c>
      <c r="AA397" t="s">
        <v>74</v>
      </c>
      <c r="AB397" t="s">
        <v>41</v>
      </c>
      <c r="AC397">
        <v>13</v>
      </c>
    </row>
    <row r="398" spans="1:29" x14ac:dyDescent="0.25">
      <c r="A398" t="s">
        <v>877</v>
      </c>
      <c r="B398">
        <v>28</v>
      </c>
      <c r="C398" t="s">
        <v>29</v>
      </c>
      <c r="D398" t="s">
        <v>30</v>
      </c>
      <c r="E398" t="s">
        <v>31</v>
      </c>
      <c r="F398" t="s">
        <v>45</v>
      </c>
      <c r="G398" t="s">
        <v>44</v>
      </c>
      <c r="H398" t="s">
        <v>878</v>
      </c>
      <c r="I398" t="s">
        <v>114</v>
      </c>
      <c r="J398" s="1">
        <v>461.71</v>
      </c>
      <c r="K398">
        <v>10</v>
      </c>
      <c r="L398" t="s">
        <v>35</v>
      </c>
      <c r="M398">
        <v>3</v>
      </c>
      <c r="N398">
        <v>1</v>
      </c>
      <c r="O398">
        <v>0</v>
      </c>
      <c r="P398" t="s">
        <v>59</v>
      </c>
      <c r="Q398" t="s">
        <v>50</v>
      </c>
      <c r="R398">
        <v>0</v>
      </c>
      <c r="S398">
        <v>9</v>
      </c>
      <c r="T398" t="s">
        <v>44</v>
      </c>
      <c r="U398" t="s">
        <v>60</v>
      </c>
      <c r="V398" t="s">
        <v>86</v>
      </c>
      <c r="W398" s="2">
        <v>45338</v>
      </c>
      <c r="X398" s="4">
        <f ca="1">TODAY()-DATASET[[#This Row],[Time_of_Purchase]]</f>
        <v>796</v>
      </c>
      <c r="Y398" t="b">
        <v>0</v>
      </c>
      <c r="Z398" t="b">
        <v>0</v>
      </c>
      <c r="AA398" t="s">
        <v>74</v>
      </c>
      <c r="AB398" t="s">
        <v>53</v>
      </c>
      <c r="AC398">
        <v>11</v>
      </c>
    </row>
    <row r="399" spans="1:29" x14ac:dyDescent="0.25">
      <c r="A399" t="s">
        <v>879</v>
      </c>
      <c r="B399">
        <v>50</v>
      </c>
      <c r="C399" t="s">
        <v>29</v>
      </c>
      <c r="D399" t="s">
        <v>44</v>
      </c>
      <c r="E399" t="s">
        <v>31</v>
      </c>
      <c r="F399" t="s">
        <v>45</v>
      </c>
      <c r="G399" t="s">
        <v>30</v>
      </c>
      <c r="H399" t="s">
        <v>880</v>
      </c>
      <c r="I399" t="s">
        <v>120</v>
      </c>
      <c r="J399" s="1">
        <v>288.33999999999997</v>
      </c>
      <c r="K399">
        <v>12</v>
      </c>
      <c r="L399" t="s">
        <v>35</v>
      </c>
      <c r="M399">
        <v>5</v>
      </c>
      <c r="N399">
        <v>2</v>
      </c>
      <c r="O399">
        <v>2</v>
      </c>
      <c r="P399" t="s">
        <v>36</v>
      </c>
      <c r="Q399" t="s">
        <v>85</v>
      </c>
      <c r="R399">
        <v>0</v>
      </c>
      <c r="S399">
        <v>8</v>
      </c>
      <c r="T399" t="s">
        <v>59</v>
      </c>
      <c r="U399" t="s">
        <v>38</v>
      </c>
      <c r="V399" t="s">
        <v>86</v>
      </c>
      <c r="W399" s="2">
        <v>45371</v>
      </c>
      <c r="X399" s="4">
        <f ca="1">TODAY()-DATASET[[#This Row],[Time_of_Purchase]]</f>
        <v>763</v>
      </c>
      <c r="Y399" t="b">
        <v>0</v>
      </c>
      <c r="Z399" t="b">
        <v>0</v>
      </c>
      <c r="AA399" t="s">
        <v>40</v>
      </c>
      <c r="AB399" t="s">
        <v>67</v>
      </c>
      <c r="AC399">
        <v>6</v>
      </c>
    </row>
    <row r="400" spans="1:29" x14ac:dyDescent="0.25">
      <c r="A400" t="s">
        <v>881</v>
      </c>
      <c r="B400">
        <v>19</v>
      </c>
      <c r="C400" t="s">
        <v>29</v>
      </c>
      <c r="D400" t="s">
        <v>44</v>
      </c>
      <c r="E400" t="s">
        <v>76</v>
      </c>
      <c r="F400" t="s">
        <v>32</v>
      </c>
      <c r="G400" t="s">
        <v>44</v>
      </c>
      <c r="H400" t="s">
        <v>882</v>
      </c>
      <c r="I400" t="s">
        <v>34</v>
      </c>
      <c r="J400" s="1">
        <v>194.08</v>
      </c>
      <c r="K400">
        <v>3</v>
      </c>
      <c r="L400" t="s">
        <v>48</v>
      </c>
      <c r="M400">
        <v>5</v>
      </c>
      <c r="N400">
        <v>5</v>
      </c>
      <c r="O400">
        <v>1</v>
      </c>
      <c r="P400" t="s">
        <v>59</v>
      </c>
      <c r="Q400" t="s">
        <v>50</v>
      </c>
      <c r="R400">
        <v>0</v>
      </c>
      <c r="S400">
        <v>2</v>
      </c>
      <c r="T400" t="s">
        <v>36</v>
      </c>
      <c r="U400" t="s">
        <v>60</v>
      </c>
      <c r="V400" t="s">
        <v>51</v>
      </c>
      <c r="W400" s="2">
        <v>45592</v>
      </c>
      <c r="X400" s="4">
        <f ca="1">TODAY()-DATASET[[#This Row],[Time_of_Purchase]]</f>
        <v>542</v>
      </c>
      <c r="Y400" t="b">
        <v>1</v>
      </c>
      <c r="Z400" t="b">
        <v>1</v>
      </c>
      <c r="AA400" t="s">
        <v>52</v>
      </c>
      <c r="AB400" t="s">
        <v>53</v>
      </c>
      <c r="AC400">
        <v>13</v>
      </c>
    </row>
    <row r="401" spans="1:29" x14ac:dyDescent="0.25">
      <c r="A401" t="s">
        <v>883</v>
      </c>
      <c r="B401">
        <v>27</v>
      </c>
      <c r="C401" t="s">
        <v>274</v>
      </c>
      <c r="D401" t="s">
        <v>30</v>
      </c>
      <c r="E401" t="s">
        <v>69</v>
      </c>
      <c r="F401" t="s">
        <v>45</v>
      </c>
      <c r="G401" t="s">
        <v>44</v>
      </c>
      <c r="H401" t="s">
        <v>884</v>
      </c>
      <c r="I401" t="s">
        <v>194</v>
      </c>
      <c r="J401" s="1">
        <v>198.45</v>
      </c>
      <c r="K401">
        <v>11</v>
      </c>
      <c r="L401" t="s">
        <v>78</v>
      </c>
      <c r="M401">
        <v>3</v>
      </c>
      <c r="N401">
        <v>5</v>
      </c>
      <c r="O401">
        <v>1</v>
      </c>
      <c r="P401" t="s">
        <v>44</v>
      </c>
      <c r="Q401" t="s">
        <v>50</v>
      </c>
      <c r="R401">
        <v>2</v>
      </c>
      <c r="S401">
        <v>8</v>
      </c>
      <c r="T401" t="s">
        <v>44</v>
      </c>
      <c r="U401" t="s">
        <v>38</v>
      </c>
      <c r="V401" t="s">
        <v>51</v>
      </c>
      <c r="W401" s="2">
        <v>45416</v>
      </c>
      <c r="X401" s="4">
        <f ca="1">TODAY()-DATASET[[#This Row],[Time_of_Purchase]]</f>
        <v>718</v>
      </c>
      <c r="Y401" t="b">
        <v>1</v>
      </c>
      <c r="Z401" t="b">
        <v>0</v>
      </c>
      <c r="AA401" t="s">
        <v>52</v>
      </c>
      <c r="AB401" t="s">
        <v>41</v>
      </c>
      <c r="AC401">
        <v>5</v>
      </c>
    </row>
    <row r="402" spans="1:29" x14ac:dyDescent="0.25">
      <c r="A402" t="s">
        <v>885</v>
      </c>
      <c r="B402">
        <v>23</v>
      </c>
      <c r="C402" t="s">
        <v>43</v>
      </c>
      <c r="D402" t="s">
        <v>44</v>
      </c>
      <c r="E402" t="s">
        <v>31</v>
      </c>
      <c r="F402" t="s">
        <v>56</v>
      </c>
      <c r="G402" t="s">
        <v>30</v>
      </c>
      <c r="H402" t="s">
        <v>886</v>
      </c>
      <c r="I402" t="s">
        <v>123</v>
      </c>
      <c r="J402" s="1">
        <v>216.45</v>
      </c>
      <c r="K402">
        <v>5</v>
      </c>
      <c r="L402" t="s">
        <v>35</v>
      </c>
      <c r="M402">
        <v>5</v>
      </c>
      <c r="N402">
        <v>2</v>
      </c>
      <c r="O402">
        <v>0</v>
      </c>
      <c r="P402" t="s">
        <v>49</v>
      </c>
      <c r="Q402" t="s">
        <v>85</v>
      </c>
      <c r="R402">
        <v>2</v>
      </c>
      <c r="S402">
        <v>7</v>
      </c>
      <c r="T402" t="s">
        <v>59</v>
      </c>
      <c r="U402" t="s">
        <v>38</v>
      </c>
      <c r="V402" t="s">
        <v>39</v>
      </c>
      <c r="W402" s="2">
        <v>45596</v>
      </c>
      <c r="X402" s="4">
        <f ca="1">TODAY()-DATASET[[#This Row],[Time_of_Purchase]]</f>
        <v>538</v>
      </c>
      <c r="Y402" t="b">
        <v>0</v>
      </c>
      <c r="Z402" t="b">
        <v>0</v>
      </c>
      <c r="AA402" t="s">
        <v>40</v>
      </c>
      <c r="AB402" t="s">
        <v>41</v>
      </c>
      <c r="AC402">
        <v>3</v>
      </c>
    </row>
    <row r="403" spans="1:29" x14ac:dyDescent="0.25">
      <c r="A403" t="s">
        <v>887</v>
      </c>
      <c r="B403">
        <v>19</v>
      </c>
      <c r="C403" t="s">
        <v>29</v>
      </c>
      <c r="D403" t="s">
        <v>44</v>
      </c>
      <c r="E403" t="s">
        <v>69</v>
      </c>
      <c r="F403" t="s">
        <v>32</v>
      </c>
      <c r="G403" t="s">
        <v>44</v>
      </c>
      <c r="H403" t="s">
        <v>888</v>
      </c>
      <c r="I403" t="s">
        <v>123</v>
      </c>
      <c r="J403" s="1">
        <v>358.72</v>
      </c>
      <c r="K403">
        <v>5</v>
      </c>
      <c r="L403" t="s">
        <v>48</v>
      </c>
      <c r="M403">
        <v>3</v>
      </c>
      <c r="N403">
        <v>5</v>
      </c>
      <c r="O403">
        <v>1</v>
      </c>
      <c r="P403" t="s">
        <v>59</v>
      </c>
      <c r="Q403" t="s">
        <v>85</v>
      </c>
      <c r="R403">
        <v>0</v>
      </c>
      <c r="S403">
        <v>8</v>
      </c>
      <c r="T403" t="s">
        <v>59</v>
      </c>
      <c r="U403" t="s">
        <v>38</v>
      </c>
      <c r="V403" t="s">
        <v>39</v>
      </c>
      <c r="W403" s="2">
        <v>45328</v>
      </c>
      <c r="X403" s="4">
        <f ca="1">TODAY()-DATASET[[#This Row],[Time_of_Purchase]]</f>
        <v>806</v>
      </c>
      <c r="Y403" t="b">
        <v>1</v>
      </c>
      <c r="Z403" t="b">
        <v>1</v>
      </c>
      <c r="AA403" t="s">
        <v>62</v>
      </c>
      <c r="AB403" t="s">
        <v>53</v>
      </c>
      <c r="AC403">
        <v>12</v>
      </c>
    </row>
    <row r="404" spans="1:29" x14ac:dyDescent="0.25">
      <c r="A404" t="s">
        <v>889</v>
      </c>
      <c r="B404">
        <v>22</v>
      </c>
      <c r="C404" t="s">
        <v>29</v>
      </c>
      <c r="D404" t="s">
        <v>30</v>
      </c>
      <c r="E404" t="s">
        <v>69</v>
      </c>
      <c r="F404" t="s">
        <v>32</v>
      </c>
      <c r="G404" t="s">
        <v>44</v>
      </c>
      <c r="H404" t="s">
        <v>890</v>
      </c>
      <c r="I404" t="s">
        <v>98</v>
      </c>
      <c r="J404" s="1">
        <v>367.56</v>
      </c>
      <c r="K404">
        <v>9</v>
      </c>
      <c r="L404" t="s">
        <v>78</v>
      </c>
      <c r="M404">
        <v>4</v>
      </c>
      <c r="N404">
        <v>5</v>
      </c>
      <c r="O404">
        <v>1</v>
      </c>
      <c r="P404" t="s">
        <v>36</v>
      </c>
      <c r="Q404" t="s">
        <v>50</v>
      </c>
      <c r="R404">
        <v>0</v>
      </c>
      <c r="S404">
        <v>8</v>
      </c>
      <c r="T404" t="s">
        <v>59</v>
      </c>
      <c r="U404" t="s">
        <v>60</v>
      </c>
      <c r="V404" t="s">
        <v>66</v>
      </c>
      <c r="W404" s="2">
        <v>45491</v>
      </c>
      <c r="X404" s="4">
        <f ca="1">TODAY()-DATASET[[#This Row],[Time_of_Purchase]]</f>
        <v>643</v>
      </c>
      <c r="Y404" t="b">
        <v>0</v>
      </c>
      <c r="Z404" t="b">
        <v>0</v>
      </c>
      <c r="AA404" t="s">
        <v>40</v>
      </c>
      <c r="AB404" t="s">
        <v>53</v>
      </c>
      <c r="AC404">
        <v>14</v>
      </c>
    </row>
    <row r="405" spans="1:29" x14ac:dyDescent="0.25">
      <c r="A405" t="s">
        <v>891</v>
      </c>
      <c r="B405">
        <v>40</v>
      </c>
      <c r="C405" t="s">
        <v>43</v>
      </c>
      <c r="D405" t="s">
        <v>30</v>
      </c>
      <c r="E405" t="s">
        <v>76</v>
      </c>
      <c r="F405" t="s">
        <v>45</v>
      </c>
      <c r="G405" t="s">
        <v>44</v>
      </c>
      <c r="H405" t="s">
        <v>892</v>
      </c>
      <c r="I405" t="s">
        <v>183</v>
      </c>
      <c r="J405" s="1">
        <v>88.78</v>
      </c>
      <c r="K405">
        <v>10</v>
      </c>
      <c r="L405" t="s">
        <v>78</v>
      </c>
      <c r="M405">
        <v>5</v>
      </c>
      <c r="N405">
        <v>3</v>
      </c>
      <c r="O405">
        <v>0</v>
      </c>
      <c r="P405" t="s">
        <v>44</v>
      </c>
      <c r="Q405" t="s">
        <v>85</v>
      </c>
      <c r="R405">
        <v>1</v>
      </c>
      <c r="S405">
        <v>7</v>
      </c>
      <c r="T405" t="s">
        <v>49</v>
      </c>
      <c r="U405" t="s">
        <v>79</v>
      </c>
      <c r="V405" t="s">
        <v>51</v>
      </c>
      <c r="W405" s="2">
        <v>45297</v>
      </c>
      <c r="X405" s="4">
        <f ca="1">TODAY()-DATASET[[#This Row],[Time_of_Purchase]]</f>
        <v>837</v>
      </c>
      <c r="Y405" t="b">
        <v>0</v>
      </c>
      <c r="Z405" t="b">
        <v>0</v>
      </c>
      <c r="AA405" t="s">
        <v>74</v>
      </c>
      <c r="AB405" t="s">
        <v>53</v>
      </c>
      <c r="AC405">
        <v>13</v>
      </c>
    </row>
    <row r="406" spans="1:29" x14ac:dyDescent="0.25">
      <c r="A406" t="s">
        <v>893</v>
      </c>
      <c r="B406">
        <v>48</v>
      </c>
      <c r="C406" t="s">
        <v>43</v>
      </c>
      <c r="D406" t="s">
        <v>30</v>
      </c>
      <c r="E406" t="s">
        <v>31</v>
      </c>
      <c r="F406" t="s">
        <v>32</v>
      </c>
      <c r="G406" t="s">
        <v>30</v>
      </c>
      <c r="H406" t="s">
        <v>894</v>
      </c>
      <c r="I406" t="s">
        <v>47</v>
      </c>
      <c r="J406" s="1">
        <v>465.85</v>
      </c>
      <c r="K406">
        <v>10</v>
      </c>
      <c r="L406" t="s">
        <v>78</v>
      </c>
      <c r="M406">
        <v>5</v>
      </c>
      <c r="N406">
        <v>3</v>
      </c>
      <c r="O406">
        <v>2</v>
      </c>
      <c r="P406" t="s">
        <v>36</v>
      </c>
      <c r="Q406" t="s">
        <v>37</v>
      </c>
      <c r="R406">
        <v>2</v>
      </c>
      <c r="S406">
        <v>10</v>
      </c>
      <c r="T406" t="s">
        <v>49</v>
      </c>
      <c r="U406" t="s">
        <v>79</v>
      </c>
      <c r="V406" t="s">
        <v>51</v>
      </c>
      <c r="W406" s="2">
        <v>45386</v>
      </c>
      <c r="X406" s="4">
        <f ca="1">TODAY()-DATASET[[#This Row],[Time_of_Purchase]]</f>
        <v>748</v>
      </c>
      <c r="Y406" t="b">
        <v>1</v>
      </c>
      <c r="Z406" t="b">
        <v>0</v>
      </c>
      <c r="AA406" t="s">
        <v>52</v>
      </c>
      <c r="AB406" t="s">
        <v>53</v>
      </c>
      <c r="AC406">
        <v>7</v>
      </c>
    </row>
    <row r="407" spans="1:29" x14ac:dyDescent="0.25">
      <c r="A407" t="s">
        <v>895</v>
      </c>
      <c r="B407">
        <v>49</v>
      </c>
      <c r="C407" t="s">
        <v>43</v>
      </c>
      <c r="D407" t="s">
        <v>30</v>
      </c>
      <c r="E407" t="s">
        <v>31</v>
      </c>
      <c r="F407" t="s">
        <v>45</v>
      </c>
      <c r="G407" t="s">
        <v>44</v>
      </c>
      <c r="H407" t="s">
        <v>896</v>
      </c>
      <c r="I407" t="s">
        <v>183</v>
      </c>
      <c r="J407" s="1">
        <v>262.61</v>
      </c>
      <c r="K407">
        <v>3</v>
      </c>
      <c r="L407" t="s">
        <v>48</v>
      </c>
      <c r="M407">
        <v>2</v>
      </c>
      <c r="N407">
        <v>5</v>
      </c>
      <c r="O407">
        <v>1</v>
      </c>
      <c r="P407" t="s">
        <v>49</v>
      </c>
      <c r="Q407" t="s">
        <v>37</v>
      </c>
      <c r="R407">
        <v>0</v>
      </c>
      <c r="S407">
        <v>10</v>
      </c>
      <c r="T407" t="s">
        <v>49</v>
      </c>
      <c r="U407" t="s">
        <v>60</v>
      </c>
      <c r="V407" t="s">
        <v>66</v>
      </c>
      <c r="W407" s="2">
        <v>45350</v>
      </c>
      <c r="X407" s="4">
        <f ca="1">TODAY()-DATASET[[#This Row],[Time_of_Purchase]]</f>
        <v>784</v>
      </c>
      <c r="Y407" t="b">
        <v>0</v>
      </c>
      <c r="Z407" t="b">
        <v>1</v>
      </c>
      <c r="AA407" t="s">
        <v>52</v>
      </c>
      <c r="AB407" t="s">
        <v>53</v>
      </c>
      <c r="AC407">
        <v>6</v>
      </c>
    </row>
    <row r="408" spans="1:29" x14ac:dyDescent="0.25">
      <c r="A408" t="s">
        <v>897</v>
      </c>
      <c r="B408">
        <v>45</v>
      </c>
      <c r="C408" t="s">
        <v>274</v>
      </c>
      <c r="D408" t="s">
        <v>30</v>
      </c>
      <c r="E408" t="s">
        <v>69</v>
      </c>
      <c r="F408" t="s">
        <v>56</v>
      </c>
      <c r="G408" t="s">
        <v>30</v>
      </c>
      <c r="H408" t="s">
        <v>898</v>
      </c>
      <c r="I408" t="s">
        <v>65</v>
      </c>
      <c r="J408" s="1">
        <v>91.24</v>
      </c>
      <c r="K408">
        <v>8</v>
      </c>
      <c r="L408" t="s">
        <v>48</v>
      </c>
      <c r="M408">
        <v>4</v>
      </c>
      <c r="N408">
        <v>3</v>
      </c>
      <c r="O408">
        <v>0</v>
      </c>
      <c r="P408" t="s">
        <v>44</v>
      </c>
      <c r="Q408" t="s">
        <v>37</v>
      </c>
      <c r="R408">
        <v>0</v>
      </c>
      <c r="S408">
        <v>4</v>
      </c>
      <c r="T408" t="s">
        <v>59</v>
      </c>
      <c r="U408" t="s">
        <v>38</v>
      </c>
      <c r="V408" t="s">
        <v>86</v>
      </c>
      <c r="W408" s="2">
        <v>45593</v>
      </c>
      <c r="X408" s="4">
        <f ca="1">TODAY()-DATASET[[#This Row],[Time_of_Purchase]]</f>
        <v>541</v>
      </c>
      <c r="Y408" t="b">
        <v>1</v>
      </c>
      <c r="Z408" t="b">
        <v>0</v>
      </c>
      <c r="AA408" t="s">
        <v>52</v>
      </c>
      <c r="AB408" t="s">
        <v>53</v>
      </c>
      <c r="AC408">
        <v>4</v>
      </c>
    </row>
    <row r="409" spans="1:29" x14ac:dyDescent="0.25">
      <c r="A409" t="s">
        <v>899</v>
      </c>
      <c r="B409">
        <v>42</v>
      </c>
      <c r="C409" t="s">
        <v>29</v>
      </c>
      <c r="D409" t="s">
        <v>44</v>
      </c>
      <c r="E409" t="s">
        <v>31</v>
      </c>
      <c r="F409" t="s">
        <v>45</v>
      </c>
      <c r="G409" t="s">
        <v>44</v>
      </c>
      <c r="H409" t="s">
        <v>900</v>
      </c>
      <c r="I409" t="s">
        <v>98</v>
      </c>
      <c r="J409" s="1">
        <v>425.69</v>
      </c>
      <c r="K409">
        <v>5</v>
      </c>
      <c r="L409" t="s">
        <v>48</v>
      </c>
      <c r="M409">
        <v>2</v>
      </c>
      <c r="N409">
        <v>5</v>
      </c>
      <c r="O409">
        <v>0</v>
      </c>
      <c r="P409" t="s">
        <v>44</v>
      </c>
      <c r="Q409" t="s">
        <v>85</v>
      </c>
      <c r="R409">
        <v>0</v>
      </c>
      <c r="S409">
        <v>4</v>
      </c>
      <c r="T409" t="s">
        <v>49</v>
      </c>
      <c r="U409" t="s">
        <v>38</v>
      </c>
      <c r="V409" t="s">
        <v>39</v>
      </c>
      <c r="W409" s="2">
        <v>45464</v>
      </c>
      <c r="X409" s="4">
        <f ca="1">TODAY()-DATASET[[#This Row],[Time_of_Purchase]]</f>
        <v>670</v>
      </c>
      <c r="Y409" t="b">
        <v>0</v>
      </c>
      <c r="Z409" t="b">
        <v>1</v>
      </c>
      <c r="AA409" t="s">
        <v>62</v>
      </c>
      <c r="AB409" t="s">
        <v>41</v>
      </c>
      <c r="AC409">
        <v>4</v>
      </c>
    </row>
    <row r="410" spans="1:29" x14ac:dyDescent="0.25">
      <c r="A410" t="s">
        <v>901</v>
      </c>
      <c r="B410">
        <v>41</v>
      </c>
      <c r="C410" t="s">
        <v>29</v>
      </c>
      <c r="D410" t="s">
        <v>44</v>
      </c>
      <c r="E410" t="s">
        <v>31</v>
      </c>
      <c r="F410" t="s">
        <v>32</v>
      </c>
      <c r="G410" t="s">
        <v>44</v>
      </c>
      <c r="H410" t="s">
        <v>902</v>
      </c>
      <c r="I410" t="s">
        <v>114</v>
      </c>
      <c r="J410" s="1">
        <v>446.11</v>
      </c>
      <c r="K410">
        <v>9</v>
      </c>
      <c r="L410" t="s">
        <v>35</v>
      </c>
      <c r="M410">
        <v>3</v>
      </c>
      <c r="N410">
        <v>1</v>
      </c>
      <c r="O410">
        <v>1</v>
      </c>
      <c r="P410" t="s">
        <v>49</v>
      </c>
      <c r="Q410" t="s">
        <v>85</v>
      </c>
      <c r="R410">
        <v>0</v>
      </c>
      <c r="S410">
        <v>10</v>
      </c>
      <c r="T410" t="s">
        <v>49</v>
      </c>
      <c r="U410" t="s">
        <v>79</v>
      </c>
      <c r="V410" t="s">
        <v>51</v>
      </c>
      <c r="W410" s="2">
        <v>45449</v>
      </c>
      <c r="X410" s="4">
        <f ca="1">TODAY()-DATASET[[#This Row],[Time_of_Purchase]]</f>
        <v>685</v>
      </c>
      <c r="Y410" t="b">
        <v>1</v>
      </c>
      <c r="Z410" t="b">
        <v>1</v>
      </c>
      <c r="AA410" t="s">
        <v>52</v>
      </c>
      <c r="AB410" t="s">
        <v>67</v>
      </c>
      <c r="AC410">
        <v>11</v>
      </c>
    </row>
    <row r="411" spans="1:29" x14ac:dyDescent="0.25">
      <c r="A411" t="s">
        <v>903</v>
      </c>
      <c r="B411">
        <v>23</v>
      </c>
      <c r="C411" t="s">
        <v>88</v>
      </c>
      <c r="D411" t="s">
        <v>44</v>
      </c>
      <c r="E411" t="s">
        <v>55</v>
      </c>
      <c r="F411" t="s">
        <v>45</v>
      </c>
      <c r="G411" t="s">
        <v>44</v>
      </c>
      <c r="H411" t="s">
        <v>904</v>
      </c>
      <c r="I411" t="s">
        <v>120</v>
      </c>
      <c r="J411" s="1">
        <v>490.11</v>
      </c>
      <c r="K411">
        <v>8</v>
      </c>
      <c r="L411" t="s">
        <v>78</v>
      </c>
      <c r="M411">
        <v>3</v>
      </c>
      <c r="N411">
        <v>4</v>
      </c>
      <c r="O411">
        <v>2</v>
      </c>
      <c r="P411" t="s">
        <v>59</v>
      </c>
      <c r="Q411" t="s">
        <v>50</v>
      </c>
      <c r="R411">
        <v>1</v>
      </c>
      <c r="S411">
        <v>1</v>
      </c>
      <c r="T411" t="s">
        <v>59</v>
      </c>
      <c r="U411" t="s">
        <v>60</v>
      </c>
      <c r="V411" t="s">
        <v>66</v>
      </c>
      <c r="W411" s="2">
        <v>45650</v>
      </c>
      <c r="X411" s="4">
        <f ca="1">TODAY()-DATASET[[#This Row],[Time_of_Purchase]]</f>
        <v>484</v>
      </c>
      <c r="Y411" t="b">
        <v>0</v>
      </c>
      <c r="Z411" t="b">
        <v>0</v>
      </c>
      <c r="AA411" t="s">
        <v>74</v>
      </c>
      <c r="AB411" t="s">
        <v>53</v>
      </c>
      <c r="AC411">
        <v>14</v>
      </c>
    </row>
    <row r="412" spans="1:29" x14ac:dyDescent="0.25">
      <c r="A412" t="s">
        <v>905</v>
      </c>
      <c r="B412">
        <v>44</v>
      </c>
      <c r="C412" t="s">
        <v>29</v>
      </c>
      <c r="D412" t="s">
        <v>44</v>
      </c>
      <c r="E412" t="s">
        <v>76</v>
      </c>
      <c r="F412" t="s">
        <v>45</v>
      </c>
      <c r="G412" t="s">
        <v>30</v>
      </c>
      <c r="H412" t="s">
        <v>906</v>
      </c>
      <c r="I412" t="s">
        <v>90</v>
      </c>
      <c r="J412" s="1">
        <v>403.57</v>
      </c>
      <c r="K412">
        <v>6</v>
      </c>
      <c r="L412" t="s">
        <v>78</v>
      </c>
      <c r="M412">
        <v>2</v>
      </c>
      <c r="N412">
        <v>2</v>
      </c>
      <c r="O412">
        <v>2</v>
      </c>
      <c r="P412" t="s">
        <v>44</v>
      </c>
      <c r="Q412" t="s">
        <v>50</v>
      </c>
      <c r="R412">
        <v>2</v>
      </c>
      <c r="S412">
        <v>2</v>
      </c>
      <c r="T412" t="s">
        <v>36</v>
      </c>
      <c r="U412" t="s">
        <v>60</v>
      </c>
      <c r="V412" t="s">
        <v>66</v>
      </c>
      <c r="W412" s="2">
        <v>45610</v>
      </c>
      <c r="X412" s="4">
        <f ca="1">TODAY()-DATASET[[#This Row],[Time_of_Purchase]]</f>
        <v>524</v>
      </c>
      <c r="Y412" t="b">
        <v>0</v>
      </c>
      <c r="Z412" t="b">
        <v>0</v>
      </c>
      <c r="AA412" t="s">
        <v>62</v>
      </c>
      <c r="AB412" t="s">
        <v>67</v>
      </c>
      <c r="AC412">
        <v>1</v>
      </c>
    </row>
    <row r="413" spans="1:29" x14ac:dyDescent="0.25">
      <c r="A413" t="s">
        <v>907</v>
      </c>
      <c r="B413">
        <v>42</v>
      </c>
      <c r="C413" t="s">
        <v>29</v>
      </c>
      <c r="D413" t="s">
        <v>44</v>
      </c>
      <c r="E413" t="s">
        <v>31</v>
      </c>
      <c r="F413" t="s">
        <v>32</v>
      </c>
      <c r="G413" t="s">
        <v>30</v>
      </c>
      <c r="H413" t="s">
        <v>908</v>
      </c>
      <c r="I413" t="s">
        <v>114</v>
      </c>
      <c r="J413" s="1">
        <v>442.15</v>
      </c>
      <c r="K413">
        <v>10</v>
      </c>
      <c r="L413" t="s">
        <v>35</v>
      </c>
      <c r="M413">
        <v>2</v>
      </c>
      <c r="N413">
        <v>3</v>
      </c>
      <c r="O413">
        <v>1</v>
      </c>
      <c r="P413" t="s">
        <v>44</v>
      </c>
      <c r="Q413" t="s">
        <v>50</v>
      </c>
      <c r="R413">
        <v>2</v>
      </c>
      <c r="S413">
        <v>1</v>
      </c>
      <c r="T413" t="s">
        <v>36</v>
      </c>
      <c r="U413" t="s">
        <v>60</v>
      </c>
      <c r="V413" t="s">
        <v>39</v>
      </c>
      <c r="W413" s="2">
        <v>45644</v>
      </c>
      <c r="X413" s="4">
        <f ca="1">TODAY()-DATASET[[#This Row],[Time_of_Purchase]]</f>
        <v>490</v>
      </c>
      <c r="Y413" t="b">
        <v>0</v>
      </c>
      <c r="Z413" t="b">
        <v>1</v>
      </c>
      <c r="AA413" t="s">
        <v>40</v>
      </c>
      <c r="AB413" t="s">
        <v>41</v>
      </c>
      <c r="AC413">
        <v>9</v>
      </c>
    </row>
    <row r="414" spans="1:29" x14ac:dyDescent="0.25">
      <c r="A414" t="s">
        <v>909</v>
      </c>
      <c r="B414">
        <v>49</v>
      </c>
      <c r="C414" t="s">
        <v>29</v>
      </c>
      <c r="D414" t="s">
        <v>30</v>
      </c>
      <c r="E414" t="s">
        <v>69</v>
      </c>
      <c r="F414" t="s">
        <v>32</v>
      </c>
      <c r="G414" t="s">
        <v>44</v>
      </c>
      <c r="H414" t="s">
        <v>910</v>
      </c>
      <c r="I414" t="s">
        <v>90</v>
      </c>
      <c r="J414" s="1">
        <v>78.709999999999994</v>
      </c>
      <c r="K414">
        <v>5</v>
      </c>
      <c r="L414" t="s">
        <v>78</v>
      </c>
      <c r="M414">
        <v>4</v>
      </c>
      <c r="N414">
        <v>3</v>
      </c>
      <c r="O414">
        <v>1</v>
      </c>
      <c r="P414" t="s">
        <v>36</v>
      </c>
      <c r="Q414" t="s">
        <v>37</v>
      </c>
      <c r="R414">
        <v>1</v>
      </c>
      <c r="S414">
        <v>10</v>
      </c>
      <c r="T414" t="s">
        <v>59</v>
      </c>
      <c r="U414" t="s">
        <v>60</v>
      </c>
      <c r="V414" t="s">
        <v>51</v>
      </c>
      <c r="W414" s="2">
        <v>45392</v>
      </c>
      <c r="X414" s="4">
        <f ca="1">TODAY()-DATASET[[#This Row],[Time_of_Purchase]]</f>
        <v>742</v>
      </c>
      <c r="Y414" t="b">
        <v>1</v>
      </c>
      <c r="Z414" t="b">
        <v>1</v>
      </c>
      <c r="AA414" t="s">
        <v>74</v>
      </c>
      <c r="AB414" t="s">
        <v>41</v>
      </c>
      <c r="AC414">
        <v>4</v>
      </c>
    </row>
    <row r="415" spans="1:29" x14ac:dyDescent="0.25">
      <c r="A415" t="s">
        <v>911</v>
      </c>
      <c r="B415">
        <v>45</v>
      </c>
      <c r="C415" t="s">
        <v>29</v>
      </c>
      <c r="D415" t="s">
        <v>30</v>
      </c>
      <c r="E415" t="s">
        <v>69</v>
      </c>
      <c r="F415" t="s">
        <v>45</v>
      </c>
      <c r="G415" t="s">
        <v>44</v>
      </c>
      <c r="H415" t="s">
        <v>912</v>
      </c>
      <c r="I415" t="s">
        <v>71</v>
      </c>
      <c r="J415" s="1">
        <v>491.51</v>
      </c>
      <c r="K415">
        <v>2</v>
      </c>
      <c r="L415" t="s">
        <v>35</v>
      </c>
      <c r="M415">
        <v>2</v>
      </c>
      <c r="N415">
        <v>5</v>
      </c>
      <c r="O415">
        <v>0</v>
      </c>
      <c r="P415" t="s">
        <v>49</v>
      </c>
      <c r="Q415" t="s">
        <v>85</v>
      </c>
      <c r="R415">
        <v>1</v>
      </c>
      <c r="S415">
        <v>1</v>
      </c>
      <c r="T415" t="s">
        <v>44</v>
      </c>
      <c r="U415" t="s">
        <v>60</v>
      </c>
      <c r="V415" t="s">
        <v>51</v>
      </c>
      <c r="W415" s="2">
        <v>45632</v>
      </c>
      <c r="X415" s="4">
        <f ca="1">TODAY()-DATASET[[#This Row],[Time_of_Purchase]]</f>
        <v>502</v>
      </c>
      <c r="Y415" t="b">
        <v>1</v>
      </c>
      <c r="Z415" t="b">
        <v>0</v>
      </c>
      <c r="AA415" t="s">
        <v>40</v>
      </c>
      <c r="AB415" t="s">
        <v>41</v>
      </c>
      <c r="AC415">
        <v>7</v>
      </c>
    </row>
    <row r="416" spans="1:29" x14ac:dyDescent="0.25">
      <c r="A416" t="s">
        <v>913</v>
      </c>
      <c r="B416">
        <v>36</v>
      </c>
      <c r="C416" t="s">
        <v>29</v>
      </c>
      <c r="D416" t="s">
        <v>30</v>
      </c>
      <c r="E416" t="s">
        <v>55</v>
      </c>
      <c r="F416" t="s">
        <v>32</v>
      </c>
      <c r="G416" t="s">
        <v>30</v>
      </c>
      <c r="H416" t="s">
        <v>914</v>
      </c>
      <c r="I416" t="s">
        <v>71</v>
      </c>
      <c r="J416" s="1">
        <v>457.39</v>
      </c>
      <c r="K416">
        <v>12</v>
      </c>
      <c r="L416" t="s">
        <v>48</v>
      </c>
      <c r="M416">
        <v>1</v>
      </c>
      <c r="N416">
        <v>1</v>
      </c>
      <c r="O416">
        <v>1</v>
      </c>
      <c r="P416" t="s">
        <v>44</v>
      </c>
      <c r="Q416" t="s">
        <v>50</v>
      </c>
      <c r="R416">
        <v>1</v>
      </c>
      <c r="S416">
        <v>5</v>
      </c>
      <c r="T416" t="s">
        <v>44</v>
      </c>
      <c r="U416" t="s">
        <v>79</v>
      </c>
      <c r="V416" t="s">
        <v>39</v>
      </c>
      <c r="W416" s="2">
        <v>45594</v>
      </c>
      <c r="X416" s="4">
        <f ca="1">TODAY()-DATASET[[#This Row],[Time_of_Purchase]]</f>
        <v>540</v>
      </c>
      <c r="Y416" t="b">
        <v>1</v>
      </c>
      <c r="Z416" t="b">
        <v>0</v>
      </c>
      <c r="AA416" t="s">
        <v>62</v>
      </c>
      <c r="AB416" t="s">
        <v>53</v>
      </c>
      <c r="AC416">
        <v>9</v>
      </c>
    </row>
    <row r="417" spans="1:29" x14ac:dyDescent="0.25">
      <c r="A417" t="s">
        <v>915</v>
      </c>
      <c r="B417">
        <v>38</v>
      </c>
      <c r="C417" t="s">
        <v>29</v>
      </c>
      <c r="D417" t="s">
        <v>44</v>
      </c>
      <c r="E417" t="s">
        <v>76</v>
      </c>
      <c r="F417" t="s">
        <v>45</v>
      </c>
      <c r="G417" t="s">
        <v>44</v>
      </c>
      <c r="H417" t="s">
        <v>916</v>
      </c>
      <c r="I417" t="s">
        <v>47</v>
      </c>
      <c r="J417" s="1">
        <v>178.61</v>
      </c>
      <c r="K417">
        <v>12</v>
      </c>
      <c r="L417" t="s">
        <v>78</v>
      </c>
      <c r="M417">
        <v>5</v>
      </c>
      <c r="N417">
        <v>1</v>
      </c>
      <c r="O417">
        <v>2</v>
      </c>
      <c r="P417" t="s">
        <v>44</v>
      </c>
      <c r="Q417" t="s">
        <v>50</v>
      </c>
      <c r="R417">
        <v>0</v>
      </c>
      <c r="S417">
        <v>3</v>
      </c>
      <c r="T417" t="s">
        <v>36</v>
      </c>
      <c r="U417" t="s">
        <v>60</v>
      </c>
      <c r="V417" t="s">
        <v>39</v>
      </c>
      <c r="W417" s="2">
        <v>45483</v>
      </c>
      <c r="X417" s="4">
        <f ca="1">TODAY()-DATASET[[#This Row],[Time_of_Purchase]]</f>
        <v>651</v>
      </c>
      <c r="Y417" t="b">
        <v>1</v>
      </c>
      <c r="Z417" t="b">
        <v>0</v>
      </c>
      <c r="AA417" t="s">
        <v>62</v>
      </c>
      <c r="AB417" t="s">
        <v>41</v>
      </c>
      <c r="AC417">
        <v>8</v>
      </c>
    </row>
    <row r="418" spans="1:29" x14ac:dyDescent="0.25">
      <c r="A418" t="s">
        <v>917</v>
      </c>
      <c r="B418">
        <v>44</v>
      </c>
      <c r="C418" t="s">
        <v>43</v>
      </c>
      <c r="D418" t="s">
        <v>30</v>
      </c>
      <c r="E418" t="s">
        <v>55</v>
      </c>
      <c r="F418" t="s">
        <v>45</v>
      </c>
      <c r="G418" t="s">
        <v>30</v>
      </c>
      <c r="H418" t="s">
        <v>918</v>
      </c>
      <c r="I418" t="s">
        <v>104</v>
      </c>
      <c r="J418" s="1">
        <v>492.51</v>
      </c>
      <c r="K418">
        <v>7</v>
      </c>
      <c r="L418" t="s">
        <v>78</v>
      </c>
      <c r="M418">
        <v>1</v>
      </c>
      <c r="N418">
        <v>4</v>
      </c>
      <c r="O418">
        <v>1</v>
      </c>
      <c r="P418" t="s">
        <v>59</v>
      </c>
      <c r="Q418" t="s">
        <v>50</v>
      </c>
      <c r="R418">
        <v>0</v>
      </c>
      <c r="S418">
        <v>2</v>
      </c>
      <c r="T418" t="s">
        <v>49</v>
      </c>
      <c r="U418" t="s">
        <v>79</v>
      </c>
      <c r="V418" t="s">
        <v>51</v>
      </c>
      <c r="W418" s="2">
        <v>45321</v>
      </c>
      <c r="X418" s="4">
        <f ca="1">TODAY()-DATASET[[#This Row],[Time_of_Purchase]]</f>
        <v>813</v>
      </c>
      <c r="Y418" t="b">
        <v>1</v>
      </c>
      <c r="Z418" t="b">
        <v>1</v>
      </c>
      <c r="AA418" t="s">
        <v>52</v>
      </c>
      <c r="AB418" t="s">
        <v>53</v>
      </c>
      <c r="AC418">
        <v>4</v>
      </c>
    </row>
    <row r="419" spans="1:29" x14ac:dyDescent="0.25">
      <c r="A419" t="s">
        <v>919</v>
      </c>
      <c r="B419">
        <v>37</v>
      </c>
      <c r="C419" t="s">
        <v>274</v>
      </c>
      <c r="D419" t="s">
        <v>44</v>
      </c>
      <c r="E419" t="s">
        <v>31</v>
      </c>
      <c r="F419" t="s">
        <v>32</v>
      </c>
      <c r="G419" t="s">
        <v>44</v>
      </c>
      <c r="H419" t="s">
        <v>920</v>
      </c>
      <c r="I419" t="s">
        <v>65</v>
      </c>
      <c r="J419" s="1">
        <v>411.4</v>
      </c>
      <c r="K419">
        <v>3</v>
      </c>
      <c r="L419" t="s">
        <v>48</v>
      </c>
      <c r="M419">
        <v>1</v>
      </c>
      <c r="N419">
        <v>3</v>
      </c>
      <c r="O419">
        <v>0</v>
      </c>
      <c r="P419" t="s">
        <v>44</v>
      </c>
      <c r="Q419" t="s">
        <v>37</v>
      </c>
      <c r="R419">
        <v>2</v>
      </c>
      <c r="S419">
        <v>9</v>
      </c>
      <c r="T419" t="s">
        <v>36</v>
      </c>
      <c r="U419" t="s">
        <v>60</v>
      </c>
      <c r="V419" t="s">
        <v>51</v>
      </c>
      <c r="W419" s="2">
        <v>45516</v>
      </c>
      <c r="X419" s="4">
        <f ca="1">TODAY()-DATASET[[#This Row],[Time_of_Purchase]]</f>
        <v>618</v>
      </c>
      <c r="Y419" t="b">
        <v>1</v>
      </c>
      <c r="Z419" t="b">
        <v>0</v>
      </c>
      <c r="AA419" t="s">
        <v>62</v>
      </c>
      <c r="AB419" t="s">
        <v>53</v>
      </c>
      <c r="AC419">
        <v>6</v>
      </c>
    </row>
    <row r="420" spans="1:29" x14ac:dyDescent="0.25">
      <c r="A420" t="s">
        <v>921</v>
      </c>
      <c r="B420">
        <v>36</v>
      </c>
      <c r="C420" t="s">
        <v>43</v>
      </c>
      <c r="D420" t="s">
        <v>30</v>
      </c>
      <c r="E420" t="s">
        <v>76</v>
      </c>
      <c r="F420" t="s">
        <v>56</v>
      </c>
      <c r="G420" t="s">
        <v>44</v>
      </c>
      <c r="H420" t="s">
        <v>922</v>
      </c>
      <c r="I420" t="s">
        <v>183</v>
      </c>
      <c r="J420" s="1">
        <v>96.52</v>
      </c>
      <c r="K420">
        <v>11</v>
      </c>
      <c r="L420" t="s">
        <v>48</v>
      </c>
      <c r="M420">
        <v>5</v>
      </c>
      <c r="N420">
        <v>3</v>
      </c>
      <c r="O420">
        <v>2</v>
      </c>
      <c r="P420" t="s">
        <v>59</v>
      </c>
      <c r="Q420" t="s">
        <v>50</v>
      </c>
      <c r="R420">
        <v>1</v>
      </c>
      <c r="S420">
        <v>3</v>
      </c>
      <c r="T420" t="s">
        <v>36</v>
      </c>
      <c r="U420" t="s">
        <v>38</v>
      </c>
      <c r="V420" t="s">
        <v>86</v>
      </c>
      <c r="W420" s="2">
        <v>45368</v>
      </c>
      <c r="X420" s="4">
        <f ca="1">TODAY()-DATASET[[#This Row],[Time_of_Purchase]]</f>
        <v>766</v>
      </c>
      <c r="Y420" t="b">
        <v>0</v>
      </c>
      <c r="Z420" t="b">
        <v>0</v>
      </c>
      <c r="AA420" t="s">
        <v>74</v>
      </c>
      <c r="AB420" t="s">
        <v>53</v>
      </c>
      <c r="AC420">
        <v>11</v>
      </c>
    </row>
    <row r="421" spans="1:29" x14ac:dyDescent="0.25">
      <c r="A421" t="s">
        <v>923</v>
      </c>
      <c r="B421">
        <v>34</v>
      </c>
      <c r="C421" t="s">
        <v>43</v>
      </c>
      <c r="D421" t="s">
        <v>44</v>
      </c>
      <c r="E421" t="s">
        <v>31</v>
      </c>
      <c r="F421" t="s">
        <v>45</v>
      </c>
      <c r="G421" t="s">
        <v>30</v>
      </c>
      <c r="H421" t="s">
        <v>924</v>
      </c>
      <c r="I421" t="s">
        <v>93</v>
      </c>
      <c r="J421" s="1">
        <v>65.45</v>
      </c>
      <c r="K421">
        <v>6</v>
      </c>
      <c r="L421" t="s">
        <v>48</v>
      </c>
      <c r="M421">
        <v>2</v>
      </c>
      <c r="N421">
        <v>4</v>
      </c>
      <c r="O421">
        <v>1</v>
      </c>
      <c r="P421" t="s">
        <v>44</v>
      </c>
      <c r="Q421" t="s">
        <v>85</v>
      </c>
      <c r="R421">
        <v>0</v>
      </c>
      <c r="S421">
        <v>2</v>
      </c>
      <c r="T421" t="s">
        <v>49</v>
      </c>
      <c r="U421" t="s">
        <v>60</v>
      </c>
      <c r="V421" t="s">
        <v>39</v>
      </c>
      <c r="W421" s="2">
        <v>45556</v>
      </c>
      <c r="X421" s="4">
        <f ca="1">TODAY()-DATASET[[#This Row],[Time_of_Purchase]]</f>
        <v>578</v>
      </c>
      <c r="Y421" t="b">
        <v>1</v>
      </c>
      <c r="Z421" t="b">
        <v>1</v>
      </c>
      <c r="AA421" t="s">
        <v>62</v>
      </c>
      <c r="AB421" t="s">
        <v>41</v>
      </c>
      <c r="AC421">
        <v>3</v>
      </c>
    </row>
    <row r="422" spans="1:29" x14ac:dyDescent="0.25">
      <c r="A422" t="s">
        <v>925</v>
      </c>
      <c r="B422">
        <v>23</v>
      </c>
      <c r="C422" t="s">
        <v>43</v>
      </c>
      <c r="D422" t="s">
        <v>30</v>
      </c>
      <c r="E422" t="s">
        <v>55</v>
      </c>
      <c r="F422" t="s">
        <v>45</v>
      </c>
      <c r="G422" t="s">
        <v>30</v>
      </c>
      <c r="H422" t="s">
        <v>926</v>
      </c>
      <c r="I422" t="s">
        <v>104</v>
      </c>
      <c r="J422" s="1">
        <v>255.86</v>
      </c>
      <c r="K422">
        <v>3</v>
      </c>
      <c r="L422" t="s">
        <v>78</v>
      </c>
      <c r="M422">
        <v>4</v>
      </c>
      <c r="N422">
        <v>5</v>
      </c>
      <c r="O422">
        <v>2</v>
      </c>
      <c r="P422" t="s">
        <v>44</v>
      </c>
      <c r="Q422" t="s">
        <v>85</v>
      </c>
      <c r="R422">
        <v>0</v>
      </c>
      <c r="S422">
        <v>1</v>
      </c>
      <c r="T422" t="s">
        <v>59</v>
      </c>
      <c r="U422" t="s">
        <v>38</v>
      </c>
      <c r="V422" t="s">
        <v>51</v>
      </c>
      <c r="W422" s="2">
        <v>45376</v>
      </c>
      <c r="X422" s="4">
        <f ca="1">TODAY()-DATASET[[#This Row],[Time_of_Purchase]]</f>
        <v>758</v>
      </c>
      <c r="Y422" t="b">
        <v>1</v>
      </c>
      <c r="Z422" t="b">
        <v>0</v>
      </c>
      <c r="AA422" t="s">
        <v>74</v>
      </c>
      <c r="AB422" t="s">
        <v>41</v>
      </c>
      <c r="AC422">
        <v>4</v>
      </c>
    </row>
    <row r="423" spans="1:29" x14ac:dyDescent="0.25">
      <c r="A423" t="s">
        <v>927</v>
      </c>
      <c r="B423">
        <v>35</v>
      </c>
      <c r="C423" t="s">
        <v>43</v>
      </c>
      <c r="D423" t="s">
        <v>44</v>
      </c>
      <c r="E423" t="s">
        <v>76</v>
      </c>
      <c r="F423" t="s">
        <v>32</v>
      </c>
      <c r="G423" t="s">
        <v>44</v>
      </c>
      <c r="H423" t="s">
        <v>928</v>
      </c>
      <c r="I423" t="s">
        <v>71</v>
      </c>
      <c r="J423" s="1">
        <v>74.69</v>
      </c>
      <c r="K423">
        <v>10</v>
      </c>
      <c r="L423" t="s">
        <v>48</v>
      </c>
      <c r="M423">
        <v>5</v>
      </c>
      <c r="N423">
        <v>3</v>
      </c>
      <c r="O423">
        <v>1</v>
      </c>
      <c r="P423" t="s">
        <v>59</v>
      </c>
      <c r="Q423" t="s">
        <v>37</v>
      </c>
      <c r="R423">
        <v>0</v>
      </c>
      <c r="S423">
        <v>6</v>
      </c>
      <c r="T423" t="s">
        <v>49</v>
      </c>
      <c r="U423" t="s">
        <v>79</v>
      </c>
      <c r="V423" t="s">
        <v>51</v>
      </c>
      <c r="W423" s="2">
        <v>45608</v>
      </c>
      <c r="X423" s="4">
        <f ca="1">TODAY()-DATASET[[#This Row],[Time_of_Purchase]]</f>
        <v>526</v>
      </c>
      <c r="Y423" t="b">
        <v>0</v>
      </c>
      <c r="Z423" t="b">
        <v>1</v>
      </c>
      <c r="AA423" t="s">
        <v>40</v>
      </c>
      <c r="AB423" t="s">
        <v>41</v>
      </c>
      <c r="AC423">
        <v>3</v>
      </c>
    </row>
    <row r="424" spans="1:29" x14ac:dyDescent="0.25">
      <c r="A424" t="s">
        <v>929</v>
      </c>
      <c r="B424">
        <v>45</v>
      </c>
      <c r="C424" t="s">
        <v>43</v>
      </c>
      <c r="D424" t="s">
        <v>30</v>
      </c>
      <c r="E424" t="s">
        <v>69</v>
      </c>
      <c r="F424" t="s">
        <v>56</v>
      </c>
      <c r="G424" t="s">
        <v>30</v>
      </c>
      <c r="H424" t="s">
        <v>930</v>
      </c>
      <c r="I424" t="s">
        <v>65</v>
      </c>
      <c r="J424" s="1">
        <v>430.75</v>
      </c>
      <c r="K424">
        <v>8</v>
      </c>
      <c r="L424" t="s">
        <v>35</v>
      </c>
      <c r="M424">
        <v>3</v>
      </c>
      <c r="N424">
        <v>4</v>
      </c>
      <c r="O424">
        <v>2</v>
      </c>
      <c r="P424" t="s">
        <v>59</v>
      </c>
      <c r="Q424" t="s">
        <v>85</v>
      </c>
      <c r="R424">
        <v>1</v>
      </c>
      <c r="S424">
        <v>5</v>
      </c>
      <c r="T424" t="s">
        <v>36</v>
      </c>
      <c r="U424" t="s">
        <v>38</v>
      </c>
      <c r="V424" t="s">
        <v>86</v>
      </c>
      <c r="W424" s="2">
        <v>45388</v>
      </c>
      <c r="X424" s="4">
        <f ca="1">TODAY()-DATASET[[#This Row],[Time_of_Purchase]]</f>
        <v>746</v>
      </c>
      <c r="Y424" t="b">
        <v>0</v>
      </c>
      <c r="Z424" t="b">
        <v>0</v>
      </c>
      <c r="AA424" t="s">
        <v>40</v>
      </c>
      <c r="AB424" t="s">
        <v>41</v>
      </c>
      <c r="AC424">
        <v>6</v>
      </c>
    </row>
    <row r="425" spans="1:29" x14ac:dyDescent="0.25">
      <c r="A425" t="s">
        <v>931</v>
      </c>
      <c r="B425">
        <v>38</v>
      </c>
      <c r="C425" t="s">
        <v>43</v>
      </c>
      <c r="D425" t="s">
        <v>44</v>
      </c>
      <c r="E425" t="s">
        <v>69</v>
      </c>
      <c r="F425" t="s">
        <v>56</v>
      </c>
      <c r="G425" t="s">
        <v>44</v>
      </c>
      <c r="H425" t="s">
        <v>932</v>
      </c>
      <c r="I425" t="s">
        <v>120</v>
      </c>
      <c r="J425" s="1">
        <v>370.17</v>
      </c>
      <c r="K425">
        <v>2</v>
      </c>
      <c r="L425" t="s">
        <v>35</v>
      </c>
      <c r="M425">
        <v>5</v>
      </c>
      <c r="N425">
        <v>4</v>
      </c>
      <c r="O425">
        <v>2</v>
      </c>
      <c r="P425" t="s">
        <v>49</v>
      </c>
      <c r="Q425" t="s">
        <v>50</v>
      </c>
      <c r="R425">
        <v>1</v>
      </c>
      <c r="S425">
        <v>9</v>
      </c>
      <c r="T425" t="s">
        <v>59</v>
      </c>
      <c r="U425" t="s">
        <v>38</v>
      </c>
      <c r="V425" t="s">
        <v>86</v>
      </c>
      <c r="W425" s="2">
        <v>45619</v>
      </c>
      <c r="X425" s="4">
        <f ca="1">TODAY()-DATASET[[#This Row],[Time_of_Purchase]]</f>
        <v>515</v>
      </c>
      <c r="Y425" t="b">
        <v>0</v>
      </c>
      <c r="Z425" t="b">
        <v>1</v>
      </c>
      <c r="AA425" t="s">
        <v>40</v>
      </c>
      <c r="AB425" t="s">
        <v>67</v>
      </c>
      <c r="AC425">
        <v>1</v>
      </c>
    </row>
    <row r="426" spans="1:29" x14ac:dyDescent="0.25">
      <c r="A426" t="s">
        <v>933</v>
      </c>
      <c r="B426">
        <v>25</v>
      </c>
      <c r="C426" t="s">
        <v>43</v>
      </c>
      <c r="D426" t="s">
        <v>30</v>
      </c>
      <c r="E426" t="s">
        <v>76</v>
      </c>
      <c r="F426" t="s">
        <v>56</v>
      </c>
      <c r="G426" t="s">
        <v>44</v>
      </c>
      <c r="H426" t="s">
        <v>934</v>
      </c>
      <c r="I426" t="s">
        <v>117</v>
      </c>
      <c r="J426" s="1">
        <v>384.26</v>
      </c>
      <c r="K426">
        <v>6</v>
      </c>
      <c r="L426" t="s">
        <v>35</v>
      </c>
      <c r="M426">
        <v>4</v>
      </c>
      <c r="N426">
        <v>2</v>
      </c>
      <c r="O426">
        <v>1</v>
      </c>
      <c r="P426" t="s">
        <v>44</v>
      </c>
      <c r="Q426" t="s">
        <v>50</v>
      </c>
      <c r="R426">
        <v>0</v>
      </c>
      <c r="S426">
        <v>9</v>
      </c>
      <c r="T426" t="s">
        <v>49</v>
      </c>
      <c r="U426" t="s">
        <v>60</v>
      </c>
      <c r="V426" t="s">
        <v>51</v>
      </c>
      <c r="W426" s="2">
        <v>45484</v>
      </c>
      <c r="X426" s="4">
        <f ca="1">TODAY()-DATASET[[#This Row],[Time_of_Purchase]]</f>
        <v>650</v>
      </c>
      <c r="Y426" t="b">
        <v>0</v>
      </c>
      <c r="Z426" t="b">
        <v>1</v>
      </c>
      <c r="AA426" t="s">
        <v>40</v>
      </c>
      <c r="AB426" t="s">
        <v>41</v>
      </c>
      <c r="AC426">
        <v>11</v>
      </c>
    </row>
    <row r="427" spans="1:29" x14ac:dyDescent="0.25">
      <c r="A427" t="s">
        <v>935</v>
      </c>
      <c r="B427">
        <v>26</v>
      </c>
      <c r="C427" t="s">
        <v>43</v>
      </c>
      <c r="D427" t="s">
        <v>30</v>
      </c>
      <c r="E427" t="s">
        <v>31</v>
      </c>
      <c r="F427" t="s">
        <v>56</v>
      </c>
      <c r="G427" t="s">
        <v>30</v>
      </c>
      <c r="H427" t="s">
        <v>936</v>
      </c>
      <c r="I427" t="s">
        <v>65</v>
      </c>
      <c r="J427" s="1">
        <v>128.01</v>
      </c>
      <c r="K427">
        <v>2</v>
      </c>
      <c r="L427" t="s">
        <v>35</v>
      </c>
      <c r="M427">
        <v>4</v>
      </c>
      <c r="N427">
        <v>2</v>
      </c>
      <c r="O427">
        <v>1</v>
      </c>
      <c r="P427" t="s">
        <v>49</v>
      </c>
      <c r="Q427" t="s">
        <v>37</v>
      </c>
      <c r="R427">
        <v>0</v>
      </c>
      <c r="S427">
        <v>1</v>
      </c>
      <c r="T427" t="s">
        <v>44</v>
      </c>
      <c r="U427" t="s">
        <v>60</v>
      </c>
      <c r="V427" t="s">
        <v>61</v>
      </c>
      <c r="W427" s="2">
        <v>45399</v>
      </c>
      <c r="X427" s="4">
        <f ca="1">TODAY()-DATASET[[#This Row],[Time_of_Purchase]]</f>
        <v>735</v>
      </c>
      <c r="Y427" t="b">
        <v>1</v>
      </c>
      <c r="Z427" t="b">
        <v>0</v>
      </c>
      <c r="AA427" t="s">
        <v>40</v>
      </c>
      <c r="AB427" t="s">
        <v>41</v>
      </c>
      <c r="AC427">
        <v>10</v>
      </c>
    </row>
    <row r="428" spans="1:29" x14ac:dyDescent="0.25">
      <c r="A428" t="s">
        <v>937</v>
      </c>
      <c r="B428">
        <v>46</v>
      </c>
      <c r="C428" t="s">
        <v>29</v>
      </c>
      <c r="D428" t="s">
        <v>44</v>
      </c>
      <c r="E428" t="s">
        <v>31</v>
      </c>
      <c r="F428" t="s">
        <v>45</v>
      </c>
      <c r="G428" t="s">
        <v>44</v>
      </c>
      <c r="H428" t="s">
        <v>938</v>
      </c>
      <c r="I428" t="s">
        <v>98</v>
      </c>
      <c r="J428" s="1">
        <v>301.39999999999998</v>
      </c>
      <c r="K428">
        <v>4</v>
      </c>
      <c r="L428" t="s">
        <v>78</v>
      </c>
      <c r="M428">
        <v>5</v>
      </c>
      <c r="N428">
        <v>3</v>
      </c>
      <c r="O428">
        <v>0</v>
      </c>
      <c r="P428" t="s">
        <v>49</v>
      </c>
      <c r="Q428" t="s">
        <v>37</v>
      </c>
      <c r="R428">
        <v>0</v>
      </c>
      <c r="S428">
        <v>5</v>
      </c>
      <c r="T428" t="s">
        <v>36</v>
      </c>
      <c r="U428" t="s">
        <v>79</v>
      </c>
      <c r="V428" t="s">
        <v>61</v>
      </c>
      <c r="W428" s="2">
        <v>45549</v>
      </c>
      <c r="X428" s="4">
        <f ca="1">TODAY()-DATASET[[#This Row],[Time_of_Purchase]]</f>
        <v>585</v>
      </c>
      <c r="Y428" t="b">
        <v>0</v>
      </c>
      <c r="Z428" t="b">
        <v>1</v>
      </c>
      <c r="AA428" t="s">
        <v>74</v>
      </c>
      <c r="AB428" t="s">
        <v>53</v>
      </c>
      <c r="AC428">
        <v>5</v>
      </c>
    </row>
    <row r="429" spans="1:29" x14ac:dyDescent="0.25">
      <c r="A429" t="s">
        <v>939</v>
      </c>
      <c r="B429">
        <v>18</v>
      </c>
      <c r="C429" t="s">
        <v>29</v>
      </c>
      <c r="D429" t="s">
        <v>44</v>
      </c>
      <c r="E429" t="s">
        <v>55</v>
      </c>
      <c r="F429" t="s">
        <v>45</v>
      </c>
      <c r="G429" t="s">
        <v>44</v>
      </c>
      <c r="H429" t="s">
        <v>940</v>
      </c>
      <c r="I429" t="s">
        <v>142</v>
      </c>
      <c r="J429" s="1">
        <v>397.25</v>
      </c>
      <c r="K429">
        <v>6</v>
      </c>
      <c r="L429" t="s">
        <v>35</v>
      </c>
      <c r="M429">
        <v>5</v>
      </c>
      <c r="N429">
        <v>2</v>
      </c>
      <c r="O429">
        <v>1</v>
      </c>
      <c r="P429" t="s">
        <v>59</v>
      </c>
      <c r="Q429" t="s">
        <v>50</v>
      </c>
      <c r="R429">
        <v>1</v>
      </c>
      <c r="S429">
        <v>10</v>
      </c>
      <c r="T429" t="s">
        <v>36</v>
      </c>
      <c r="U429" t="s">
        <v>79</v>
      </c>
      <c r="V429" t="s">
        <v>86</v>
      </c>
      <c r="W429" s="2">
        <v>45512</v>
      </c>
      <c r="X429" s="4">
        <f ca="1">TODAY()-DATASET[[#This Row],[Time_of_Purchase]]</f>
        <v>622</v>
      </c>
      <c r="Y429" t="b">
        <v>0</v>
      </c>
      <c r="Z429" t="b">
        <v>1</v>
      </c>
      <c r="AA429" t="s">
        <v>52</v>
      </c>
      <c r="AB429" t="s">
        <v>41</v>
      </c>
      <c r="AC429">
        <v>2</v>
      </c>
    </row>
    <row r="430" spans="1:29" x14ac:dyDescent="0.25">
      <c r="A430" t="s">
        <v>941</v>
      </c>
      <c r="B430">
        <v>46</v>
      </c>
      <c r="C430" t="s">
        <v>43</v>
      </c>
      <c r="D430" t="s">
        <v>30</v>
      </c>
      <c r="E430" t="s">
        <v>76</v>
      </c>
      <c r="F430" t="s">
        <v>45</v>
      </c>
      <c r="G430" t="s">
        <v>30</v>
      </c>
      <c r="H430" t="s">
        <v>942</v>
      </c>
      <c r="I430" t="s">
        <v>34</v>
      </c>
      <c r="J430" s="1">
        <v>96.18</v>
      </c>
      <c r="K430">
        <v>3</v>
      </c>
      <c r="L430" t="s">
        <v>35</v>
      </c>
      <c r="M430">
        <v>3</v>
      </c>
      <c r="N430">
        <v>4</v>
      </c>
      <c r="O430">
        <v>0</v>
      </c>
      <c r="P430" t="s">
        <v>36</v>
      </c>
      <c r="Q430" t="s">
        <v>37</v>
      </c>
      <c r="R430">
        <v>1</v>
      </c>
      <c r="S430">
        <v>9</v>
      </c>
      <c r="T430" t="s">
        <v>49</v>
      </c>
      <c r="U430" t="s">
        <v>60</v>
      </c>
      <c r="V430" t="s">
        <v>86</v>
      </c>
      <c r="W430" s="2">
        <v>45417</v>
      </c>
      <c r="X430" s="4">
        <f ca="1">TODAY()-DATASET[[#This Row],[Time_of_Purchase]]</f>
        <v>717</v>
      </c>
      <c r="Y430" t="b">
        <v>0</v>
      </c>
      <c r="Z430" t="b">
        <v>0</v>
      </c>
      <c r="AA430" t="s">
        <v>74</v>
      </c>
      <c r="AB430" t="s">
        <v>67</v>
      </c>
      <c r="AC430">
        <v>10</v>
      </c>
    </row>
    <row r="431" spans="1:29" x14ac:dyDescent="0.25">
      <c r="A431" t="s">
        <v>943</v>
      </c>
      <c r="B431">
        <v>19</v>
      </c>
      <c r="C431" t="s">
        <v>29</v>
      </c>
      <c r="D431" t="s">
        <v>44</v>
      </c>
      <c r="E431" t="s">
        <v>76</v>
      </c>
      <c r="F431" t="s">
        <v>32</v>
      </c>
      <c r="G431" t="s">
        <v>44</v>
      </c>
      <c r="H431" t="s">
        <v>944</v>
      </c>
      <c r="I431" t="s">
        <v>123</v>
      </c>
      <c r="J431" s="1">
        <v>390.44</v>
      </c>
      <c r="K431">
        <v>4</v>
      </c>
      <c r="L431" t="s">
        <v>35</v>
      </c>
      <c r="M431">
        <v>5</v>
      </c>
      <c r="N431">
        <v>1</v>
      </c>
      <c r="O431">
        <v>0</v>
      </c>
      <c r="P431" t="s">
        <v>49</v>
      </c>
      <c r="Q431" t="s">
        <v>85</v>
      </c>
      <c r="R431">
        <v>0</v>
      </c>
      <c r="S431">
        <v>4</v>
      </c>
      <c r="T431" t="s">
        <v>44</v>
      </c>
      <c r="U431" t="s">
        <v>79</v>
      </c>
      <c r="V431" t="s">
        <v>66</v>
      </c>
      <c r="W431" s="2">
        <v>45337</v>
      </c>
      <c r="X431" s="4">
        <f ca="1">TODAY()-DATASET[[#This Row],[Time_of_Purchase]]</f>
        <v>797</v>
      </c>
      <c r="Y431" t="b">
        <v>1</v>
      </c>
      <c r="Z431" t="b">
        <v>0</v>
      </c>
      <c r="AA431" t="s">
        <v>40</v>
      </c>
      <c r="AB431" t="s">
        <v>53</v>
      </c>
      <c r="AC431">
        <v>4</v>
      </c>
    </row>
    <row r="432" spans="1:29" x14ac:dyDescent="0.25">
      <c r="A432" t="s">
        <v>945</v>
      </c>
      <c r="B432">
        <v>37</v>
      </c>
      <c r="C432" t="s">
        <v>29</v>
      </c>
      <c r="D432" t="s">
        <v>30</v>
      </c>
      <c r="E432" t="s">
        <v>55</v>
      </c>
      <c r="F432" t="s">
        <v>32</v>
      </c>
      <c r="G432" t="s">
        <v>30</v>
      </c>
      <c r="H432" t="s">
        <v>946</v>
      </c>
      <c r="I432" t="s">
        <v>104</v>
      </c>
      <c r="J432" s="1">
        <v>61.5</v>
      </c>
      <c r="K432">
        <v>11</v>
      </c>
      <c r="L432" t="s">
        <v>35</v>
      </c>
      <c r="M432">
        <v>4</v>
      </c>
      <c r="N432">
        <v>2</v>
      </c>
      <c r="O432">
        <v>0</v>
      </c>
      <c r="P432" t="s">
        <v>49</v>
      </c>
      <c r="Q432" t="s">
        <v>85</v>
      </c>
      <c r="R432">
        <v>0</v>
      </c>
      <c r="S432">
        <v>1</v>
      </c>
      <c r="T432" t="s">
        <v>44</v>
      </c>
      <c r="U432" t="s">
        <v>60</v>
      </c>
      <c r="V432" t="s">
        <v>66</v>
      </c>
      <c r="W432" s="2">
        <v>45317</v>
      </c>
      <c r="X432" s="4">
        <f ca="1">TODAY()-DATASET[[#This Row],[Time_of_Purchase]]</f>
        <v>817</v>
      </c>
      <c r="Y432" t="b">
        <v>1</v>
      </c>
      <c r="Z432" t="b">
        <v>1</v>
      </c>
      <c r="AA432" t="s">
        <v>74</v>
      </c>
      <c r="AB432" t="s">
        <v>67</v>
      </c>
      <c r="AC432">
        <v>8</v>
      </c>
    </row>
    <row r="433" spans="1:29" x14ac:dyDescent="0.25">
      <c r="A433" t="s">
        <v>947</v>
      </c>
      <c r="B433">
        <v>35</v>
      </c>
      <c r="C433" t="s">
        <v>29</v>
      </c>
      <c r="D433" t="s">
        <v>30</v>
      </c>
      <c r="E433" t="s">
        <v>76</v>
      </c>
      <c r="F433" t="s">
        <v>45</v>
      </c>
      <c r="G433" t="s">
        <v>44</v>
      </c>
      <c r="H433" t="s">
        <v>948</v>
      </c>
      <c r="I433" t="s">
        <v>58</v>
      </c>
      <c r="J433" s="1">
        <v>234.44</v>
      </c>
      <c r="K433">
        <v>6</v>
      </c>
      <c r="L433" t="s">
        <v>48</v>
      </c>
      <c r="M433">
        <v>3</v>
      </c>
      <c r="N433">
        <v>5</v>
      </c>
      <c r="O433">
        <v>2</v>
      </c>
      <c r="P433" t="s">
        <v>49</v>
      </c>
      <c r="Q433" t="s">
        <v>85</v>
      </c>
      <c r="R433">
        <v>0</v>
      </c>
      <c r="S433">
        <v>1</v>
      </c>
      <c r="T433" t="s">
        <v>44</v>
      </c>
      <c r="U433" t="s">
        <v>79</v>
      </c>
      <c r="V433" t="s">
        <v>66</v>
      </c>
      <c r="W433" s="2">
        <v>45435</v>
      </c>
      <c r="X433" s="4">
        <f ca="1">TODAY()-DATASET[[#This Row],[Time_of_Purchase]]</f>
        <v>699</v>
      </c>
      <c r="Y433" t="b">
        <v>0</v>
      </c>
      <c r="Z433" t="b">
        <v>1</v>
      </c>
      <c r="AA433" t="s">
        <v>62</v>
      </c>
      <c r="AB433" t="s">
        <v>67</v>
      </c>
      <c r="AC433">
        <v>5</v>
      </c>
    </row>
    <row r="434" spans="1:29" x14ac:dyDescent="0.25">
      <c r="A434" t="s">
        <v>949</v>
      </c>
      <c r="B434">
        <v>43</v>
      </c>
      <c r="C434" t="s">
        <v>43</v>
      </c>
      <c r="D434" t="s">
        <v>30</v>
      </c>
      <c r="E434" t="s">
        <v>55</v>
      </c>
      <c r="F434" t="s">
        <v>56</v>
      </c>
      <c r="G434" t="s">
        <v>30</v>
      </c>
      <c r="H434" t="s">
        <v>950</v>
      </c>
      <c r="I434" t="s">
        <v>126</v>
      </c>
      <c r="J434" s="1">
        <v>318.83999999999997</v>
      </c>
      <c r="K434">
        <v>6</v>
      </c>
      <c r="L434" t="s">
        <v>78</v>
      </c>
      <c r="M434">
        <v>1</v>
      </c>
      <c r="N434">
        <v>1</v>
      </c>
      <c r="O434">
        <v>2</v>
      </c>
      <c r="P434" t="s">
        <v>59</v>
      </c>
      <c r="Q434" t="s">
        <v>85</v>
      </c>
      <c r="R434">
        <v>0</v>
      </c>
      <c r="S434">
        <v>4</v>
      </c>
      <c r="T434" t="s">
        <v>44</v>
      </c>
      <c r="U434" t="s">
        <v>38</v>
      </c>
      <c r="V434" t="s">
        <v>66</v>
      </c>
      <c r="W434" s="2">
        <v>45402</v>
      </c>
      <c r="X434" s="4">
        <f ca="1">TODAY()-DATASET[[#This Row],[Time_of_Purchase]]</f>
        <v>732</v>
      </c>
      <c r="Y434" t="b">
        <v>0</v>
      </c>
      <c r="Z434" t="b">
        <v>1</v>
      </c>
      <c r="AA434" t="s">
        <v>52</v>
      </c>
      <c r="AB434" t="s">
        <v>53</v>
      </c>
      <c r="AC434">
        <v>10</v>
      </c>
    </row>
    <row r="435" spans="1:29" x14ac:dyDescent="0.25">
      <c r="A435" t="s">
        <v>951</v>
      </c>
      <c r="B435">
        <v>28</v>
      </c>
      <c r="C435" t="s">
        <v>43</v>
      </c>
      <c r="D435" t="s">
        <v>30</v>
      </c>
      <c r="E435" t="s">
        <v>55</v>
      </c>
      <c r="F435" t="s">
        <v>56</v>
      </c>
      <c r="G435" t="s">
        <v>44</v>
      </c>
      <c r="H435" t="s">
        <v>952</v>
      </c>
      <c r="I435" t="s">
        <v>126</v>
      </c>
      <c r="J435" s="1">
        <v>327.32</v>
      </c>
      <c r="K435">
        <v>6</v>
      </c>
      <c r="L435" t="s">
        <v>35</v>
      </c>
      <c r="M435">
        <v>4</v>
      </c>
      <c r="N435">
        <v>5</v>
      </c>
      <c r="O435">
        <v>0</v>
      </c>
      <c r="P435" t="s">
        <v>36</v>
      </c>
      <c r="Q435" t="s">
        <v>37</v>
      </c>
      <c r="R435">
        <v>0</v>
      </c>
      <c r="S435">
        <v>4</v>
      </c>
      <c r="T435" t="s">
        <v>44</v>
      </c>
      <c r="U435" t="s">
        <v>38</v>
      </c>
      <c r="V435" t="s">
        <v>66</v>
      </c>
      <c r="W435" s="2">
        <v>45452</v>
      </c>
      <c r="X435" s="4">
        <f ca="1">TODAY()-DATASET[[#This Row],[Time_of_Purchase]]</f>
        <v>682</v>
      </c>
      <c r="Y435" t="b">
        <v>1</v>
      </c>
      <c r="Z435" t="b">
        <v>1</v>
      </c>
      <c r="AA435" t="s">
        <v>62</v>
      </c>
      <c r="AB435" t="s">
        <v>67</v>
      </c>
      <c r="AC435">
        <v>13</v>
      </c>
    </row>
    <row r="436" spans="1:29" x14ac:dyDescent="0.25">
      <c r="A436" t="s">
        <v>953</v>
      </c>
      <c r="B436">
        <v>25</v>
      </c>
      <c r="C436" t="s">
        <v>43</v>
      </c>
      <c r="D436" t="s">
        <v>30</v>
      </c>
      <c r="E436" t="s">
        <v>76</v>
      </c>
      <c r="F436" t="s">
        <v>56</v>
      </c>
      <c r="G436" t="s">
        <v>44</v>
      </c>
      <c r="H436" t="s">
        <v>954</v>
      </c>
      <c r="I436" t="s">
        <v>82</v>
      </c>
      <c r="J436" s="1">
        <v>475.64</v>
      </c>
      <c r="K436">
        <v>3</v>
      </c>
      <c r="L436" t="s">
        <v>78</v>
      </c>
      <c r="M436">
        <v>3</v>
      </c>
      <c r="N436">
        <v>4</v>
      </c>
      <c r="O436">
        <v>1</v>
      </c>
      <c r="P436" t="s">
        <v>59</v>
      </c>
      <c r="Q436" t="s">
        <v>85</v>
      </c>
      <c r="R436">
        <v>1</v>
      </c>
      <c r="S436">
        <v>2</v>
      </c>
      <c r="T436" t="s">
        <v>49</v>
      </c>
      <c r="U436" t="s">
        <v>60</v>
      </c>
      <c r="V436" t="s">
        <v>51</v>
      </c>
      <c r="W436" s="2">
        <v>45337</v>
      </c>
      <c r="X436" s="4">
        <f ca="1">TODAY()-DATASET[[#This Row],[Time_of_Purchase]]</f>
        <v>797</v>
      </c>
      <c r="Y436" t="b">
        <v>1</v>
      </c>
      <c r="Z436" t="b">
        <v>1</v>
      </c>
      <c r="AA436" t="s">
        <v>74</v>
      </c>
      <c r="AB436" t="s">
        <v>53</v>
      </c>
      <c r="AC436">
        <v>9</v>
      </c>
    </row>
    <row r="437" spans="1:29" x14ac:dyDescent="0.25">
      <c r="A437" t="s">
        <v>955</v>
      </c>
      <c r="B437">
        <v>47</v>
      </c>
      <c r="C437" t="s">
        <v>43</v>
      </c>
      <c r="D437" t="s">
        <v>44</v>
      </c>
      <c r="E437" t="s">
        <v>69</v>
      </c>
      <c r="F437" t="s">
        <v>56</v>
      </c>
      <c r="G437" t="s">
        <v>30</v>
      </c>
      <c r="H437" t="s">
        <v>956</v>
      </c>
      <c r="I437" t="s">
        <v>107</v>
      </c>
      <c r="J437" s="1">
        <v>68.59</v>
      </c>
      <c r="K437">
        <v>9</v>
      </c>
      <c r="L437" t="s">
        <v>35</v>
      </c>
      <c r="M437">
        <v>3</v>
      </c>
      <c r="N437">
        <v>4</v>
      </c>
      <c r="O437">
        <v>0</v>
      </c>
      <c r="P437" t="s">
        <v>49</v>
      </c>
      <c r="Q437" t="s">
        <v>37</v>
      </c>
      <c r="R437">
        <v>2</v>
      </c>
      <c r="S437">
        <v>5</v>
      </c>
      <c r="T437" t="s">
        <v>36</v>
      </c>
      <c r="U437" t="s">
        <v>60</v>
      </c>
      <c r="V437" t="s">
        <v>51</v>
      </c>
      <c r="W437" s="2">
        <v>45400</v>
      </c>
      <c r="X437" s="4">
        <f ca="1">TODAY()-DATASET[[#This Row],[Time_of_Purchase]]</f>
        <v>734</v>
      </c>
      <c r="Y437" t="b">
        <v>0</v>
      </c>
      <c r="Z437" t="b">
        <v>1</v>
      </c>
      <c r="AA437" t="s">
        <v>52</v>
      </c>
      <c r="AB437" t="s">
        <v>53</v>
      </c>
      <c r="AC437">
        <v>5</v>
      </c>
    </row>
    <row r="438" spans="1:29" x14ac:dyDescent="0.25">
      <c r="A438" t="s">
        <v>957</v>
      </c>
      <c r="B438">
        <v>45</v>
      </c>
      <c r="C438" t="s">
        <v>212</v>
      </c>
      <c r="D438" t="s">
        <v>30</v>
      </c>
      <c r="E438" t="s">
        <v>76</v>
      </c>
      <c r="F438" t="s">
        <v>32</v>
      </c>
      <c r="G438" t="s">
        <v>30</v>
      </c>
      <c r="H438" t="s">
        <v>958</v>
      </c>
      <c r="I438" t="s">
        <v>104</v>
      </c>
      <c r="J438" s="1">
        <v>133.04</v>
      </c>
      <c r="K438">
        <v>12</v>
      </c>
      <c r="L438" t="s">
        <v>78</v>
      </c>
      <c r="M438">
        <v>1</v>
      </c>
      <c r="N438">
        <v>3</v>
      </c>
      <c r="O438">
        <v>2</v>
      </c>
      <c r="P438" t="s">
        <v>44</v>
      </c>
      <c r="Q438" t="s">
        <v>50</v>
      </c>
      <c r="R438">
        <v>2</v>
      </c>
      <c r="S438">
        <v>6</v>
      </c>
      <c r="T438" t="s">
        <v>36</v>
      </c>
      <c r="U438" t="s">
        <v>79</v>
      </c>
      <c r="V438" t="s">
        <v>86</v>
      </c>
      <c r="W438" s="2">
        <v>45480</v>
      </c>
      <c r="X438" s="4">
        <f ca="1">TODAY()-DATASET[[#This Row],[Time_of_Purchase]]</f>
        <v>654</v>
      </c>
      <c r="Y438" t="b">
        <v>1</v>
      </c>
      <c r="Z438" t="b">
        <v>1</v>
      </c>
      <c r="AA438" t="s">
        <v>62</v>
      </c>
      <c r="AB438" t="s">
        <v>53</v>
      </c>
      <c r="AC438">
        <v>11</v>
      </c>
    </row>
    <row r="439" spans="1:29" x14ac:dyDescent="0.25">
      <c r="A439" t="s">
        <v>959</v>
      </c>
      <c r="B439">
        <v>24</v>
      </c>
      <c r="C439" t="s">
        <v>190</v>
      </c>
      <c r="D439" t="s">
        <v>44</v>
      </c>
      <c r="E439" t="s">
        <v>31</v>
      </c>
      <c r="F439" t="s">
        <v>45</v>
      </c>
      <c r="G439" t="s">
        <v>30</v>
      </c>
      <c r="H439" t="s">
        <v>960</v>
      </c>
      <c r="I439" t="s">
        <v>98</v>
      </c>
      <c r="J439" s="1">
        <v>196.63</v>
      </c>
      <c r="K439">
        <v>9</v>
      </c>
      <c r="L439" t="s">
        <v>78</v>
      </c>
      <c r="M439">
        <v>4</v>
      </c>
      <c r="N439">
        <v>2</v>
      </c>
      <c r="O439">
        <v>2</v>
      </c>
      <c r="P439" t="s">
        <v>49</v>
      </c>
      <c r="Q439" t="s">
        <v>37</v>
      </c>
      <c r="R439">
        <v>1</v>
      </c>
      <c r="S439">
        <v>6</v>
      </c>
      <c r="T439" t="s">
        <v>59</v>
      </c>
      <c r="U439" t="s">
        <v>38</v>
      </c>
      <c r="V439" t="s">
        <v>66</v>
      </c>
      <c r="W439" s="2">
        <v>45641</v>
      </c>
      <c r="X439" s="4">
        <f ca="1">TODAY()-DATASET[[#This Row],[Time_of_Purchase]]</f>
        <v>493</v>
      </c>
      <c r="Y439" t="b">
        <v>1</v>
      </c>
      <c r="Z439" t="b">
        <v>0</v>
      </c>
      <c r="AA439" t="s">
        <v>40</v>
      </c>
      <c r="AB439" t="s">
        <v>41</v>
      </c>
      <c r="AC439">
        <v>7</v>
      </c>
    </row>
    <row r="440" spans="1:29" x14ac:dyDescent="0.25">
      <c r="A440" t="s">
        <v>961</v>
      </c>
      <c r="B440">
        <v>30</v>
      </c>
      <c r="C440" t="s">
        <v>43</v>
      </c>
      <c r="D440" t="s">
        <v>30</v>
      </c>
      <c r="E440" t="s">
        <v>76</v>
      </c>
      <c r="F440" t="s">
        <v>32</v>
      </c>
      <c r="G440" t="s">
        <v>44</v>
      </c>
      <c r="H440" t="s">
        <v>962</v>
      </c>
      <c r="I440" t="s">
        <v>65</v>
      </c>
      <c r="J440" s="1">
        <v>473.96</v>
      </c>
      <c r="K440">
        <v>12</v>
      </c>
      <c r="L440" t="s">
        <v>48</v>
      </c>
      <c r="M440">
        <v>2</v>
      </c>
      <c r="N440">
        <v>1</v>
      </c>
      <c r="O440">
        <v>1</v>
      </c>
      <c r="P440" t="s">
        <v>49</v>
      </c>
      <c r="Q440" t="s">
        <v>37</v>
      </c>
      <c r="R440">
        <v>2</v>
      </c>
      <c r="S440">
        <v>9</v>
      </c>
      <c r="T440" t="s">
        <v>36</v>
      </c>
      <c r="U440" t="s">
        <v>38</v>
      </c>
      <c r="V440" t="s">
        <v>51</v>
      </c>
      <c r="W440" s="2">
        <v>45501</v>
      </c>
      <c r="X440" s="4">
        <f ca="1">TODAY()-DATASET[[#This Row],[Time_of_Purchase]]</f>
        <v>633</v>
      </c>
      <c r="Y440" t="b">
        <v>1</v>
      </c>
      <c r="Z440" t="b">
        <v>0</v>
      </c>
      <c r="AA440" t="s">
        <v>62</v>
      </c>
      <c r="AB440" t="s">
        <v>67</v>
      </c>
      <c r="AC440">
        <v>14</v>
      </c>
    </row>
    <row r="441" spans="1:29" x14ac:dyDescent="0.25">
      <c r="A441" t="s">
        <v>963</v>
      </c>
      <c r="B441">
        <v>24</v>
      </c>
      <c r="C441" t="s">
        <v>29</v>
      </c>
      <c r="D441" t="s">
        <v>44</v>
      </c>
      <c r="E441" t="s">
        <v>31</v>
      </c>
      <c r="F441" t="s">
        <v>45</v>
      </c>
      <c r="G441" t="s">
        <v>30</v>
      </c>
      <c r="H441" t="s">
        <v>964</v>
      </c>
      <c r="I441" t="s">
        <v>98</v>
      </c>
      <c r="J441" s="1">
        <v>472.52</v>
      </c>
      <c r="K441">
        <v>8</v>
      </c>
      <c r="L441" t="s">
        <v>78</v>
      </c>
      <c r="M441">
        <v>2</v>
      </c>
      <c r="N441">
        <v>4</v>
      </c>
      <c r="O441">
        <v>0</v>
      </c>
      <c r="P441" t="s">
        <v>59</v>
      </c>
      <c r="Q441" t="s">
        <v>37</v>
      </c>
      <c r="R441">
        <v>2</v>
      </c>
      <c r="S441">
        <v>8</v>
      </c>
      <c r="T441" t="s">
        <v>49</v>
      </c>
      <c r="U441" t="s">
        <v>38</v>
      </c>
      <c r="V441" t="s">
        <v>86</v>
      </c>
      <c r="W441" s="2">
        <v>45315</v>
      </c>
      <c r="X441" s="4">
        <f ca="1">TODAY()-DATASET[[#This Row],[Time_of_Purchase]]</f>
        <v>819</v>
      </c>
      <c r="Y441" t="b">
        <v>0</v>
      </c>
      <c r="Z441" t="b">
        <v>1</v>
      </c>
      <c r="AA441" t="s">
        <v>74</v>
      </c>
      <c r="AB441" t="s">
        <v>41</v>
      </c>
      <c r="AC441">
        <v>14</v>
      </c>
    </row>
    <row r="442" spans="1:29" x14ac:dyDescent="0.25">
      <c r="A442" t="s">
        <v>965</v>
      </c>
      <c r="B442">
        <v>27</v>
      </c>
      <c r="C442" t="s">
        <v>29</v>
      </c>
      <c r="D442" t="s">
        <v>30</v>
      </c>
      <c r="E442" t="s">
        <v>31</v>
      </c>
      <c r="F442" t="s">
        <v>32</v>
      </c>
      <c r="G442" t="s">
        <v>30</v>
      </c>
      <c r="H442" t="s">
        <v>966</v>
      </c>
      <c r="I442" t="s">
        <v>123</v>
      </c>
      <c r="J442" s="1">
        <v>335.8</v>
      </c>
      <c r="K442">
        <v>9</v>
      </c>
      <c r="L442" t="s">
        <v>35</v>
      </c>
      <c r="M442">
        <v>3</v>
      </c>
      <c r="N442">
        <v>5</v>
      </c>
      <c r="O442">
        <v>1</v>
      </c>
      <c r="P442" t="s">
        <v>36</v>
      </c>
      <c r="Q442" t="s">
        <v>37</v>
      </c>
      <c r="R442">
        <v>2</v>
      </c>
      <c r="S442">
        <v>7</v>
      </c>
      <c r="T442" t="s">
        <v>59</v>
      </c>
      <c r="U442" t="s">
        <v>60</v>
      </c>
      <c r="V442" t="s">
        <v>61</v>
      </c>
      <c r="W442" s="2">
        <v>45332</v>
      </c>
      <c r="X442" s="4">
        <f ca="1">TODAY()-DATASET[[#This Row],[Time_of_Purchase]]</f>
        <v>802</v>
      </c>
      <c r="Y442" t="b">
        <v>1</v>
      </c>
      <c r="Z442" t="b">
        <v>0</v>
      </c>
      <c r="AA442" t="s">
        <v>52</v>
      </c>
      <c r="AB442" t="s">
        <v>53</v>
      </c>
      <c r="AC442">
        <v>5</v>
      </c>
    </row>
    <row r="443" spans="1:29" x14ac:dyDescent="0.25">
      <c r="A443" t="s">
        <v>967</v>
      </c>
      <c r="B443">
        <v>25</v>
      </c>
      <c r="C443" t="s">
        <v>43</v>
      </c>
      <c r="D443" t="s">
        <v>30</v>
      </c>
      <c r="E443" t="s">
        <v>55</v>
      </c>
      <c r="F443" t="s">
        <v>45</v>
      </c>
      <c r="G443" t="s">
        <v>44</v>
      </c>
      <c r="H443" t="s">
        <v>968</v>
      </c>
      <c r="I443" t="s">
        <v>98</v>
      </c>
      <c r="J443" s="1">
        <v>85.57</v>
      </c>
      <c r="K443">
        <v>12</v>
      </c>
      <c r="L443" t="s">
        <v>48</v>
      </c>
      <c r="M443">
        <v>2</v>
      </c>
      <c r="N443">
        <v>1</v>
      </c>
      <c r="O443">
        <v>1</v>
      </c>
      <c r="P443" t="s">
        <v>59</v>
      </c>
      <c r="Q443" t="s">
        <v>85</v>
      </c>
      <c r="R443">
        <v>2</v>
      </c>
      <c r="S443">
        <v>4</v>
      </c>
      <c r="T443" t="s">
        <v>49</v>
      </c>
      <c r="U443" t="s">
        <v>38</v>
      </c>
      <c r="V443" t="s">
        <v>61</v>
      </c>
      <c r="W443" s="2">
        <v>45535</v>
      </c>
      <c r="X443" s="4">
        <f ca="1">TODAY()-DATASET[[#This Row],[Time_of_Purchase]]</f>
        <v>599</v>
      </c>
      <c r="Y443" t="b">
        <v>1</v>
      </c>
      <c r="Z443" t="b">
        <v>1</v>
      </c>
      <c r="AA443" t="s">
        <v>74</v>
      </c>
      <c r="AB443" t="s">
        <v>41</v>
      </c>
      <c r="AC443">
        <v>9</v>
      </c>
    </row>
    <row r="444" spans="1:29" x14ac:dyDescent="0.25">
      <c r="A444" t="s">
        <v>969</v>
      </c>
      <c r="B444">
        <v>44</v>
      </c>
      <c r="C444" t="s">
        <v>88</v>
      </c>
      <c r="D444" t="s">
        <v>30</v>
      </c>
      <c r="E444" t="s">
        <v>55</v>
      </c>
      <c r="F444" t="s">
        <v>56</v>
      </c>
      <c r="G444" t="s">
        <v>30</v>
      </c>
      <c r="H444" t="s">
        <v>970</v>
      </c>
      <c r="I444" t="s">
        <v>188</v>
      </c>
      <c r="J444" s="1">
        <v>108.5</v>
      </c>
      <c r="K444">
        <v>11</v>
      </c>
      <c r="L444" t="s">
        <v>35</v>
      </c>
      <c r="M444">
        <v>5</v>
      </c>
      <c r="N444">
        <v>5</v>
      </c>
      <c r="O444">
        <v>0</v>
      </c>
      <c r="P444" t="s">
        <v>36</v>
      </c>
      <c r="Q444" t="s">
        <v>85</v>
      </c>
      <c r="R444">
        <v>1</v>
      </c>
      <c r="S444">
        <v>2</v>
      </c>
      <c r="T444" t="s">
        <v>49</v>
      </c>
      <c r="U444" t="s">
        <v>60</v>
      </c>
      <c r="V444" t="s">
        <v>51</v>
      </c>
      <c r="W444" s="2">
        <v>45489</v>
      </c>
      <c r="X444" s="4">
        <f ca="1">TODAY()-DATASET[[#This Row],[Time_of_Purchase]]</f>
        <v>645</v>
      </c>
      <c r="Y444" t="b">
        <v>0</v>
      </c>
      <c r="Z444" t="b">
        <v>0</v>
      </c>
      <c r="AA444" t="s">
        <v>52</v>
      </c>
      <c r="AB444" t="s">
        <v>41</v>
      </c>
      <c r="AC444">
        <v>10</v>
      </c>
    </row>
    <row r="445" spans="1:29" x14ac:dyDescent="0.25">
      <c r="A445" t="s">
        <v>971</v>
      </c>
      <c r="B445">
        <v>26</v>
      </c>
      <c r="C445" t="s">
        <v>43</v>
      </c>
      <c r="D445" t="s">
        <v>30</v>
      </c>
      <c r="E445" t="s">
        <v>76</v>
      </c>
      <c r="F445" t="s">
        <v>32</v>
      </c>
      <c r="G445" t="s">
        <v>30</v>
      </c>
      <c r="H445" t="s">
        <v>972</v>
      </c>
      <c r="I445" t="s">
        <v>47</v>
      </c>
      <c r="J445" s="1">
        <v>172.5</v>
      </c>
      <c r="K445">
        <v>8</v>
      </c>
      <c r="L445" t="s">
        <v>78</v>
      </c>
      <c r="M445">
        <v>1</v>
      </c>
      <c r="N445">
        <v>3</v>
      </c>
      <c r="O445">
        <v>0</v>
      </c>
      <c r="P445" t="s">
        <v>49</v>
      </c>
      <c r="Q445" t="s">
        <v>37</v>
      </c>
      <c r="R445">
        <v>0</v>
      </c>
      <c r="S445">
        <v>8</v>
      </c>
      <c r="T445" t="s">
        <v>59</v>
      </c>
      <c r="U445" t="s">
        <v>79</v>
      </c>
      <c r="V445" t="s">
        <v>39</v>
      </c>
      <c r="W445" s="2">
        <v>45492</v>
      </c>
      <c r="X445" s="4">
        <f ca="1">TODAY()-DATASET[[#This Row],[Time_of_Purchase]]</f>
        <v>642</v>
      </c>
      <c r="Y445" t="b">
        <v>1</v>
      </c>
      <c r="Z445" t="b">
        <v>0</v>
      </c>
      <c r="AA445" t="s">
        <v>62</v>
      </c>
      <c r="AB445" t="s">
        <v>41</v>
      </c>
      <c r="AC445">
        <v>7</v>
      </c>
    </row>
    <row r="446" spans="1:29" x14ac:dyDescent="0.25">
      <c r="A446" t="s">
        <v>973</v>
      </c>
      <c r="B446">
        <v>18</v>
      </c>
      <c r="C446" t="s">
        <v>29</v>
      </c>
      <c r="D446" t="s">
        <v>44</v>
      </c>
      <c r="E446" t="s">
        <v>55</v>
      </c>
      <c r="F446" t="s">
        <v>45</v>
      </c>
      <c r="G446" t="s">
        <v>30</v>
      </c>
      <c r="H446" t="s">
        <v>974</v>
      </c>
      <c r="I446" t="s">
        <v>117</v>
      </c>
      <c r="J446" s="1">
        <v>212.8</v>
      </c>
      <c r="K446">
        <v>6</v>
      </c>
      <c r="L446" t="s">
        <v>35</v>
      </c>
      <c r="M446">
        <v>3</v>
      </c>
      <c r="N446">
        <v>2</v>
      </c>
      <c r="O446">
        <v>2</v>
      </c>
      <c r="P446" t="s">
        <v>36</v>
      </c>
      <c r="Q446" t="s">
        <v>85</v>
      </c>
      <c r="R446">
        <v>1</v>
      </c>
      <c r="S446">
        <v>7</v>
      </c>
      <c r="T446" t="s">
        <v>44</v>
      </c>
      <c r="U446" t="s">
        <v>38</v>
      </c>
      <c r="V446" t="s">
        <v>39</v>
      </c>
      <c r="W446" s="2">
        <v>45429</v>
      </c>
      <c r="X446" s="4">
        <f ca="1">TODAY()-DATASET[[#This Row],[Time_of_Purchase]]</f>
        <v>705</v>
      </c>
      <c r="Y446" t="b">
        <v>1</v>
      </c>
      <c r="Z446" t="b">
        <v>1</v>
      </c>
      <c r="AA446" t="s">
        <v>74</v>
      </c>
      <c r="AB446" t="s">
        <v>53</v>
      </c>
      <c r="AC446">
        <v>1</v>
      </c>
    </row>
    <row r="447" spans="1:29" x14ac:dyDescent="0.25">
      <c r="A447" t="s">
        <v>975</v>
      </c>
      <c r="B447">
        <v>47</v>
      </c>
      <c r="C447" t="s">
        <v>29</v>
      </c>
      <c r="D447" t="s">
        <v>30</v>
      </c>
      <c r="E447" t="s">
        <v>31</v>
      </c>
      <c r="F447" t="s">
        <v>32</v>
      </c>
      <c r="G447" t="s">
        <v>44</v>
      </c>
      <c r="H447" t="s">
        <v>976</v>
      </c>
      <c r="I447" t="s">
        <v>123</v>
      </c>
      <c r="J447" s="1">
        <v>324.41000000000003</v>
      </c>
      <c r="K447">
        <v>7</v>
      </c>
      <c r="L447" t="s">
        <v>35</v>
      </c>
      <c r="M447">
        <v>4</v>
      </c>
      <c r="N447">
        <v>4</v>
      </c>
      <c r="O447">
        <v>1</v>
      </c>
      <c r="P447" t="s">
        <v>36</v>
      </c>
      <c r="Q447" t="s">
        <v>50</v>
      </c>
      <c r="R447">
        <v>0</v>
      </c>
      <c r="S447">
        <v>5</v>
      </c>
      <c r="T447" t="s">
        <v>49</v>
      </c>
      <c r="U447" t="s">
        <v>38</v>
      </c>
      <c r="V447" t="s">
        <v>61</v>
      </c>
      <c r="W447" s="2">
        <v>45411</v>
      </c>
      <c r="X447" s="4">
        <f ca="1">TODAY()-DATASET[[#This Row],[Time_of_Purchase]]</f>
        <v>723</v>
      </c>
      <c r="Y447" t="b">
        <v>1</v>
      </c>
      <c r="Z447" t="b">
        <v>1</v>
      </c>
      <c r="AA447" t="s">
        <v>40</v>
      </c>
      <c r="AB447" t="s">
        <v>41</v>
      </c>
      <c r="AC447">
        <v>4</v>
      </c>
    </row>
    <row r="448" spans="1:29" x14ac:dyDescent="0.25">
      <c r="A448" t="s">
        <v>977</v>
      </c>
      <c r="B448">
        <v>36</v>
      </c>
      <c r="C448" t="s">
        <v>43</v>
      </c>
      <c r="D448" t="s">
        <v>44</v>
      </c>
      <c r="E448" t="s">
        <v>69</v>
      </c>
      <c r="F448" t="s">
        <v>45</v>
      </c>
      <c r="G448" t="s">
        <v>30</v>
      </c>
      <c r="H448" t="s">
        <v>978</v>
      </c>
      <c r="I448" t="s">
        <v>194</v>
      </c>
      <c r="J448" s="1">
        <v>342.39</v>
      </c>
      <c r="K448">
        <v>8</v>
      </c>
      <c r="L448" t="s">
        <v>48</v>
      </c>
      <c r="M448">
        <v>1</v>
      </c>
      <c r="N448">
        <v>5</v>
      </c>
      <c r="O448">
        <v>2</v>
      </c>
      <c r="P448" t="s">
        <v>59</v>
      </c>
      <c r="Q448" t="s">
        <v>85</v>
      </c>
      <c r="R448">
        <v>2</v>
      </c>
      <c r="S448">
        <v>3</v>
      </c>
      <c r="T448" t="s">
        <v>44</v>
      </c>
      <c r="U448" t="s">
        <v>79</v>
      </c>
      <c r="V448" t="s">
        <v>66</v>
      </c>
      <c r="W448" s="2">
        <v>45295</v>
      </c>
      <c r="X448" s="4">
        <f ca="1">TODAY()-DATASET[[#This Row],[Time_of_Purchase]]</f>
        <v>839</v>
      </c>
      <c r="Y448" t="b">
        <v>0</v>
      </c>
      <c r="Z448" t="b">
        <v>0</v>
      </c>
      <c r="AA448" t="s">
        <v>40</v>
      </c>
      <c r="AB448" t="s">
        <v>53</v>
      </c>
      <c r="AC448">
        <v>9</v>
      </c>
    </row>
    <row r="449" spans="1:29" x14ac:dyDescent="0.25">
      <c r="A449" t="s">
        <v>979</v>
      </c>
      <c r="B449">
        <v>23</v>
      </c>
      <c r="C449" t="s">
        <v>29</v>
      </c>
      <c r="D449" t="s">
        <v>44</v>
      </c>
      <c r="E449" t="s">
        <v>76</v>
      </c>
      <c r="F449" t="s">
        <v>32</v>
      </c>
      <c r="G449" t="s">
        <v>44</v>
      </c>
      <c r="H449" t="s">
        <v>980</v>
      </c>
      <c r="I449" t="s">
        <v>104</v>
      </c>
      <c r="J449" s="1">
        <v>446.86</v>
      </c>
      <c r="K449">
        <v>9</v>
      </c>
      <c r="L449" t="s">
        <v>48</v>
      </c>
      <c r="M449">
        <v>2</v>
      </c>
      <c r="N449">
        <v>1</v>
      </c>
      <c r="O449">
        <v>2</v>
      </c>
      <c r="P449" t="s">
        <v>36</v>
      </c>
      <c r="Q449" t="s">
        <v>85</v>
      </c>
      <c r="R449">
        <v>0</v>
      </c>
      <c r="S449">
        <v>2</v>
      </c>
      <c r="T449" t="s">
        <v>49</v>
      </c>
      <c r="U449" t="s">
        <v>79</v>
      </c>
      <c r="V449" t="s">
        <v>51</v>
      </c>
      <c r="W449" s="2">
        <v>45603</v>
      </c>
      <c r="X449" s="4">
        <f ca="1">TODAY()-DATASET[[#This Row],[Time_of_Purchase]]</f>
        <v>531</v>
      </c>
      <c r="Y449" t="b">
        <v>0</v>
      </c>
      <c r="Z449" t="b">
        <v>0</v>
      </c>
      <c r="AA449" t="s">
        <v>52</v>
      </c>
      <c r="AB449" t="s">
        <v>41</v>
      </c>
      <c r="AC449">
        <v>5</v>
      </c>
    </row>
    <row r="450" spans="1:29" x14ac:dyDescent="0.25">
      <c r="A450" t="s">
        <v>981</v>
      </c>
      <c r="B450">
        <v>49</v>
      </c>
      <c r="C450" t="s">
        <v>43</v>
      </c>
      <c r="D450" t="s">
        <v>44</v>
      </c>
      <c r="E450" t="s">
        <v>76</v>
      </c>
      <c r="F450" t="s">
        <v>56</v>
      </c>
      <c r="G450" t="s">
        <v>44</v>
      </c>
      <c r="H450" t="s">
        <v>982</v>
      </c>
      <c r="I450" t="s">
        <v>117</v>
      </c>
      <c r="J450" s="1">
        <v>463.15</v>
      </c>
      <c r="K450">
        <v>3</v>
      </c>
      <c r="L450" t="s">
        <v>35</v>
      </c>
      <c r="M450">
        <v>1</v>
      </c>
      <c r="N450">
        <v>1</v>
      </c>
      <c r="O450">
        <v>1</v>
      </c>
      <c r="P450" t="s">
        <v>36</v>
      </c>
      <c r="Q450" t="s">
        <v>37</v>
      </c>
      <c r="R450">
        <v>1</v>
      </c>
      <c r="S450">
        <v>9</v>
      </c>
      <c r="T450" t="s">
        <v>44</v>
      </c>
      <c r="U450" t="s">
        <v>60</v>
      </c>
      <c r="V450" t="s">
        <v>61</v>
      </c>
      <c r="W450" s="2">
        <v>45407</v>
      </c>
      <c r="X450" s="4">
        <f ca="1">TODAY()-DATASET[[#This Row],[Time_of_Purchase]]</f>
        <v>727</v>
      </c>
      <c r="Y450" t="b">
        <v>1</v>
      </c>
      <c r="Z450" t="b">
        <v>1</v>
      </c>
      <c r="AA450" t="s">
        <v>40</v>
      </c>
      <c r="AB450" t="s">
        <v>53</v>
      </c>
      <c r="AC450">
        <v>9</v>
      </c>
    </row>
    <row r="451" spans="1:29" x14ac:dyDescent="0.25">
      <c r="A451" t="s">
        <v>983</v>
      </c>
      <c r="B451">
        <v>27</v>
      </c>
      <c r="C451" t="s">
        <v>29</v>
      </c>
      <c r="D451" t="s">
        <v>44</v>
      </c>
      <c r="E451" t="s">
        <v>76</v>
      </c>
      <c r="F451" t="s">
        <v>32</v>
      </c>
      <c r="G451" t="s">
        <v>44</v>
      </c>
      <c r="H451" t="s">
        <v>984</v>
      </c>
      <c r="I451" t="s">
        <v>158</v>
      </c>
      <c r="J451" s="1">
        <v>122.99</v>
      </c>
      <c r="K451">
        <v>12</v>
      </c>
      <c r="L451" t="s">
        <v>48</v>
      </c>
      <c r="M451">
        <v>1</v>
      </c>
      <c r="N451">
        <v>5</v>
      </c>
      <c r="O451">
        <v>1</v>
      </c>
      <c r="P451" t="s">
        <v>44</v>
      </c>
      <c r="Q451" t="s">
        <v>85</v>
      </c>
      <c r="R451">
        <v>1</v>
      </c>
      <c r="S451">
        <v>8</v>
      </c>
      <c r="T451" t="s">
        <v>36</v>
      </c>
      <c r="U451" t="s">
        <v>79</v>
      </c>
      <c r="V451" t="s">
        <v>86</v>
      </c>
      <c r="W451" s="2">
        <v>45568</v>
      </c>
      <c r="X451" s="4">
        <f ca="1">TODAY()-DATASET[[#This Row],[Time_of_Purchase]]</f>
        <v>566</v>
      </c>
      <c r="Y451" t="b">
        <v>1</v>
      </c>
      <c r="Z451" t="b">
        <v>0</v>
      </c>
      <c r="AA451" t="s">
        <v>74</v>
      </c>
      <c r="AB451" t="s">
        <v>41</v>
      </c>
      <c r="AC451">
        <v>1</v>
      </c>
    </row>
    <row r="452" spans="1:29" x14ac:dyDescent="0.25">
      <c r="A452" t="s">
        <v>985</v>
      </c>
      <c r="B452">
        <v>43</v>
      </c>
      <c r="C452" t="s">
        <v>43</v>
      </c>
      <c r="D452" t="s">
        <v>44</v>
      </c>
      <c r="E452" t="s">
        <v>69</v>
      </c>
      <c r="F452" t="s">
        <v>56</v>
      </c>
      <c r="G452" t="s">
        <v>44</v>
      </c>
      <c r="H452" t="s">
        <v>986</v>
      </c>
      <c r="I452" t="s">
        <v>188</v>
      </c>
      <c r="J452" s="1">
        <v>322.39999999999998</v>
      </c>
      <c r="K452">
        <v>7</v>
      </c>
      <c r="L452" t="s">
        <v>35</v>
      </c>
      <c r="M452">
        <v>4</v>
      </c>
      <c r="N452">
        <v>2</v>
      </c>
      <c r="O452">
        <v>1</v>
      </c>
      <c r="P452" t="s">
        <v>49</v>
      </c>
      <c r="Q452" t="s">
        <v>85</v>
      </c>
      <c r="R452">
        <v>2</v>
      </c>
      <c r="S452">
        <v>3</v>
      </c>
      <c r="T452" t="s">
        <v>49</v>
      </c>
      <c r="U452" t="s">
        <v>38</v>
      </c>
      <c r="V452" t="s">
        <v>86</v>
      </c>
      <c r="W452" s="2">
        <v>45511</v>
      </c>
      <c r="X452" s="4">
        <f ca="1">TODAY()-DATASET[[#This Row],[Time_of_Purchase]]</f>
        <v>623</v>
      </c>
      <c r="Y452" t="b">
        <v>1</v>
      </c>
      <c r="Z452" t="b">
        <v>1</v>
      </c>
      <c r="AA452" t="s">
        <v>40</v>
      </c>
      <c r="AB452" t="s">
        <v>67</v>
      </c>
      <c r="AC452">
        <v>2</v>
      </c>
    </row>
    <row r="453" spans="1:29" x14ac:dyDescent="0.25">
      <c r="A453" t="s">
        <v>987</v>
      </c>
      <c r="B453">
        <v>19</v>
      </c>
      <c r="C453" t="s">
        <v>29</v>
      </c>
      <c r="D453" t="s">
        <v>44</v>
      </c>
      <c r="E453" t="s">
        <v>31</v>
      </c>
      <c r="F453" t="s">
        <v>45</v>
      </c>
      <c r="G453" t="s">
        <v>30</v>
      </c>
      <c r="H453" t="s">
        <v>988</v>
      </c>
      <c r="I453" t="s">
        <v>104</v>
      </c>
      <c r="J453" s="1">
        <v>73.19</v>
      </c>
      <c r="K453">
        <v>5</v>
      </c>
      <c r="L453" t="s">
        <v>35</v>
      </c>
      <c r="M453">
        <v>2</v>
      </c>
      <c r="N453">
        <v>5</v>
      </c>
      <c r="O453">
        <v>1</v>
      </c>
      <c r="P453" t="s">
        <v>59</v>
      </c>
      <c r="Q453" t="s">
        <v>50</v>
      </c>
      <c r="R453">
        <v>2</v>
      </c>
      <c r="S453">
        <v>8</v>
      </c>
      <c r="T453" t="s">
        <v>44</v>
      </c>
      <c r="U453" t="s">
        <v>60</v>
      </c>
      <c r="V453" t="s">
        <v>51</v>
      </c>
      <c r="W453" s="2">
        <v>45393</v>
      </c>
      <c r="X453" s="4">
        <f ca="1">TODAY()-DATASET[[#This Row],[Time_of_Purchase]]</f>
        <v>741</v>
      </c>
      <c r="Y453" t="b">
        <v>0</v>
      </c>
      <c r="Z453" t="b">
        <v>1</v>
      </c>
      <c r="AA453" t="s">
        <v>40</v>
      </c>
      <c r="AB453" t="s">
        <v>41</v>
      </c>
      <c r="AC453">
        <v>3</v>
      </c>
    </row>
    <row r="454" spans="1:29" x14ac:dyDescent="0.25">
      <c r="A454" t="s">
        <v>989</v>
      </c>
      <c r="B454">
        <v>41</v>
      </c>
      <c r="C454" t="s">
        <v>29</v>
      </c>
      <c r="D454" t="s">
        <v>30</v>
      </c>
      <c r="E454" t="s">
        <v>31</v>
      </c>
      <c r="F454" t="s">
        <v>56</v>
      </c>
      <c r="G454" t="s">
        <v>44</v>
      </c>
      <c r="H454" t="s">
        <v>856</v>
      </c>
      <c r="I454" t="s">
        <v>126</v>
      </c>
      <c r="J454" s="1">
        <v>279.08</v>
      </c>
      <c r="K454">
        <v>10</v>
      </c>
      <c r="L454" t="s">
        <v>78</v>
      </c>
      <c r="M454">
        <v>4</v>
      </c>
      <c r="N454">
        <v>2</v>
      </c>
      <c r="O454">
        <v>1</v>
      </c>
      <c r="P454" t="s">
        <v>44</v>
      </c>
      <c r="Q454" t="s">
        <v>50</v>
      </c>
      <c r="R454">
        <v>2</v>
      </c>
      <c r="S454">
        <v>7</v>
      </c>
      <c r="T454" t="s">
        <v>49</v>
      </c>
      <c r="U454" t="s">
        <v>60</v>
      </c>
      <c r="V454" t="s">
        <v>39</v>
      </c>
      <c r="W454" s="2">
        <v>45407</v>
      </c>
      <c r="X454" s="4">
        <f ca="1">TODAY()-DATASET[[#This Row],[Time_of_Purchase]]</f>
        <v>727</v>
      </c>
      <c r="Y454" t="b">
        <v>0</v>
      </c>
      <c r="Z454" t="b">
        <v>1</v>
      </c>
      <c r="AA454" t="s">
        <v>52</v>
      </c>
      <c r="AB454" t="s">
        <v>41</v>
      </c>
      <c r="AC454">
        <v>3</v>
      </c>
    </row>
    <row r="455" spans="1:29" x14ac:dyDescent="0.25">
      <c r="A455" t="s">
        <v>990</v>
      </c>
      <c r="B455">
        <v>29</v>
      </c>
      <c r="C455" t="s">
        <v>29</v>
      </c>
      <c r="D455" t="s">
        <v>30</v>
      </c>
      <c r="E455" t="s">
        <v>55</v>
      </c>
      <c r="F455" t="s">
        <v>45</v>
      </c>
      <c r="G455" t="s">
        <v>30</v>
      </c>
      <c r="H455" t="s">
        <v>991</v>
      </c>
      <c r="I455" t="s">
        <v>194</v>
      </c>
      <c r="J455" s="1">
        <v>478.85</v>
      </c>
      <c r="K455">
        <v>10</v>
      </c>
      <c r="L455" t="s">
        <v>48</v>
      </c>
      <c r="M455">
        <v>4</v>
      </c>
      <c r="N455">
        <v>2</v>
      </c>
      <c r="O455">
        <v>2</v>
      </c>
      <c r="P455" t="s">
        <v>36</v>
      </c>
      <c r="Q455" t="s">
        <v>50</v>
      </c>
      <c r="R455">
        <v>2</v>
      </c>
      <c r="S455">
        <v>2</v>
      </c>
      <c r="T455" t="s">
        <v>36</v>
      </c>
      <c r="U455" t="s">
        <v>79</v>
      </c>
      <c r="V455" t="s">
        <v>86</v>
      </c>
      <c r="W455" s="2">
        <v>45410</v>
      </c>
      <c r="X455" s="4">
        <f ca="1">TODAY()-DATASET[[#This Row],[Time_of_Purchase]]</f>
        <v>724</v>
      </c>
      <c r="Y455" t="b">
        <v>0</v>
      </c>
      <c r="Z455" t="b">
        <v>0</v>
      </c>
      <c r="AA455" t="s">
        <v>74</v>
      </c>
      <c r="AB455" t="s">
        <v>41</v>
      </c>
      <c r="AC455">
        <v>4</v>
      </c>
    </row>
    <row r="456" spans="1:29" x14ac:dyDescent="0.25">
      <c r="A456" t="s">
        <v>992</v>
      </c>
      <c r="B456">
        <v>25</v>
      </c>
      <c r="C456" t="s">
        <v>43</v>
      </c>
      <c r="D456" t="s">
        <v>44</v>
      </c>
      <c r="E456" t="s">
        <v>69</v>
      </c>
      <c r="F456" t="s">
        <v>56</v>
      </c>
      <c r="G456" t="s">
        <v>44</v>
      </c>
      <c r="H456" t="s">
        <v>993</v>
      </c>
      <c r="I456" t="s">
        <v>47</v>
      </c>
      <c r="J456" s="1">
        <v>86.39</v>
      </c>
      <c r="K456">
        <v>5</v>
      </c>
      <c r="L456" t="s">
        <v>35</v>
      </c>
      <c r="M456">
        <v>4</v>
      </c>
      <c r="N456">
        <v>5</v>
      </c>
      <c r="O456">
        <v>1</v>
      </c>
      <c r="P456" t="s">
        <v>44</v>
      </c>
      <c r="Q456" t="s">
        <v>37</v>
      </c>
      <c r="R456">
        <v>1</v>
      </c>
      <c r="S456">
        <v>1</v>
      </c>
      <c r="T456" t="s">
        <v>49</v>
      </c>
      <c r="U456" t="s">
        <v>79</v>
      </c>
      <c r="V456" t="s">
        <v>61</v>
      </c>
      <c r="W456" s="2">
        <v>45544</v>
      </c>
      <c r="X456" s="4">
        <f ca="1">TODAY()-DATASET[[#This Row],[Time_of_Purchase]]</f>
        <v>590</v>
      </c>
      <c r="Y456" t="b">
        <v>0</v>
      </c>
      <c r="Z456" t="b">
        <v>0</v>
      </c>
      <c r="AA456" t="s">
        <v>40</v>
      </c>
      <c r="AB456" t="s">
        <v>53</v>
      </c>
      <c r="AC456">
        <v>7</v>
      </c>
    </row>
    <row r="457" spans="1:29" x14ac:dyDescent="0.25">
      <c r="A457" t="s">
        <v>994</v>
      </c>
      <c r="B457">
        <v>45</v>
      </c>
      <c r="C457" t="s">
        <v>43</v>
      </c>
      <c r="D457" t="s">
        <v>44</v>
      </c>
      <c r="E457" t="s">
        <v>69</v>
      </c>
      <c r="F457" t="s">
        <v>32</v>
      </c>
      <c r="G457" t="s">
        <v>30</v>
      </c>
      <c r="H457" t="s">
        <v>995</v>
      </c>
      <c r="I457" t="s">
        <v>123</v>
      </c>
      <c r="J457" s="1">
        <v>192.35</v>
      </c>
      <c r="K457">
        <v>11</v>
      </c>
      <c r="L457" t="s">
        <v>35</v>
      </c>
      <c r="M457">
        <v>3</v>
      </c>
      <c r="N457">
        <v>5</v>
      </c>
      <c r="O457">
        <v>2</v>
      </c>
      <c r="P457" t="s">
        <v>44</v>
      </c>
      <c r="Q457" t="s">
        <v>50</v>
      </c>
      <c r="R457">
        <v>2</v>
      </c>
      <c r="S457">
        <v>1</v>
      </c>
      <c r="T457" t="s">
        <v>44</v>
      </c>
      <c r="U457" t="s">
        <v>60</v>
      </c>
      <c r="V457" t="s">
        <v>39</v>
      </c>
      <c r="W457" s="2">
        <v>45420</v>
      </c>
      <c r="X457" s="4">
        <f ca="1">TODAY()-DATASET[[#This Row],[Time_of_Purchase]]</f>
        <v>714</v>
      </c>
      <c r="Y457" t="b">
        <v>1</v>
      </c>
      <c r="Z457" t="b">
        <v>0</v>
      </c>
      <c r="AA457" t="s">
        <v>62</v>
      </c>
      <c r="AB457" t="s">
        <v>67</v>
      </c>
      <c r="AC457">
        <v>11</v>
      </c>
    </row>
    <row r="458" spans="1:29" x14ac:dyDescent="0.25">
      <c r="A458" t="s">
        <v>996</v>
      </c>
      <c r="B458">
        <v>36</v>
      </c>
      <c r="C458" t="s">
        <v>29</v>
      </c>
      <c r="D458" t="s">
        <v>30</v>
      </c>
      <c r="E458" t="s">
        <v>76</v>
      </c>
      <c r="F458" t="s">
        <v>32</v>
      </c>
      <c r="G458" t="s">
        <v>44</v>
      </c>
      <c r="H458" t="s">
        <v>997</v>
      </c>
      <c r="I458" t="s">
        <v>188</v>
      </c>
      <c r="J458" s="1">
        <v>235.32</v>
      </c>
      <c r="K458">
        <v>7</v>
      </c>
      <c r="L458" t="s">
        <v>78</v>
      </c>
      <c r="M458">
        <v>2</v>
      </c>
      <c r="N458">
        <v>1</v>
      </c>
      <c r="O458">
        <v>1</v>
      </c>
      <c r="P458" t="s">
        <v>49</v>
      </c>
      <c r="Q458" t="s">
        <v>85</v>
      </c>
      <c r="R458">
        <v>1</v>
      </c>
      <c r="S458">
        <v>10</v>
      </c>
      <c r="T458" t="s">
        <v>44</v>
      </c>
      <c r="U458" t="s">
        <v>79</v>
      </c>
      <c r="V458" t="s">
        <v>51</v>
      </c>
      <c r="W458" s="2">
        <v>45452</v>
      </c>
      <c r="X458" s="4">
        <f ca="1">TODAY()-DATASET[[#This Row],[Time_of_Purchase]]</f>
        <v>682</v>
      </c>
      <c r="Y458" t="b">
        <v>0</v>
      </c>
      <c r="Z458" t="b">
        <v>1</v>
      </c>
      <c r="AA458" t="s">
        <v>62</v>
      </c>
      <c r="AB458" t="s">
        <v>67</v>
      </c>
      <c r="AC458">
        <v>11</v>
      </c>
    </row>
    <row r="459" spans="1:29" x14ac:dyDescent="0.25">
      <c r="A459" t="s">
        <v>998</v>
      </c>
      <c r="B459">
        <v>21</v>
      </c>
      <c r="C459" t="s">
        <v>29</v>
      </c>
      <c r="D459" t="s">
        <v>44</v>
      </c>
      <c r="E459" t="s">
        <v>69</v>
      </c>
      <c r="F459" t="s">
        <v>45</v>
      </c>
      <c r="G459" t="s">
        <v>44</v>
      </c>
      <c r="H459" t="s">
        <v>999</v>
      </c>
      <c r="I459" t="s">
        <v>117</v>
      </c>
      <c r="J459" s="1">
        <v>212.63</v>
      </c>
      <c r="K459">
        <v>8</v>
      </c>
      <c r="L459" t="s">
        <v>78</v>
      </c>
      <c r="M459">
        <v>4</v>
      </c>
      <c r="N459">
        <v>2</v>
      </c>
      <c r="O459">
        <v>1</v>
      </c>
      <c r="P459" t="s">
        <v>59</v>
      </c>
      <c r="Q459" t="s">
        <v>85</v>
      </c>
      <c r="R459">
        <v>0</v>
      </c>
      <c r="S459">
        <v>4</v>
      </c>
      <c r="T459" t="s">
        <v>44</v>
      </c>
      <c r="U459" t="s">
        <v>79</v>
      </c>
      <c r="V459" t="s">
        <v>61</v>
      </c>
      <c r="W459" s="2">
        <v>45531</v>
      </c>
      <c r="X459" s="4">
        <f ca="1">TODAY()-DATASET[[#This Row],[Time_of_Purchase]]</f>
        <v>603</v>
      </c>
      <c r="Y459" t="b">
        <v>0</v>
      </c>
      <c r="Z459" t="b">
        <v>1</v>
      </c>
      <c r="AA459" t="s">
        <v>40</v>
      </c>
      <c r="AB459" t="s">
        <v>41</v>
      </c>
      <c r="AC459">
        <v>6</v>
      </c>
    </row>
    <row r="460" spans="1:29" x14ac:dyDescent="0.25">
      <c r="A460" t="s">
        <v>1000</v>
      </c>
      <c r="B460">
        <v>47</v>
      </c>
      <c r="C460" t="s">
        <v>29</v>
      </c>
      <c r="D460" t="s">
        <v>30</v>
      </c>
      <c r="E460" t="s">
        <v>69</v>
      </c>
      <c r="F460" t="s">
        <v>56</v>
      </c>
      <c r="G460" t="s">
        <v>44</v>
      </c>
      <c r="H460" t="s">
        <v>1001</v>
      </c>
      <c r="I460" t="s">
        <v>47</v>
      </c>
      <c r="J460" s="1">
        <v>246.63</v>
      </c>
      <c r="K460">
        <v>8</v>
      </c>
      <c r="L460" t="s">
        <v>48</v>
      </c>
      <c r="M460">
        <v>2</v>
      </c>
      <c r="N460">
        <v>3</v>
      </c>
      <c r="O460">
        <v>1</v>
      </c>
      <c r="P460" t="s">
        <v>36</v>
      </c>
      <c r="Q460" t="s">
        <v>37</v>
      </c>
      <c r="R460">
        <v>2</v>
      </c>
      <c r="S460">
        <v>3</v>
      </c>
      <c r="T460" t="s">
        <v>36</v>
      </c>
      <c r="U460" t="s">
        <v>38</v>
      </c>
      <c r="V460" t="s">
        <v>39</v>
      </c>
      <c r="W460" s="2">
        <v>45383</v>
      </c>
      <c r="X460" s="4">
        <f ca="1">TODAY()-DATASET[[#This Row],[Time_of_Purchase]]</f>
        <v>751</v>
      </c>
      <c r="Y460" t="b">
        <v>1</v>
      </c>
      <c r="Z460" t="b">
        <v>0</v>
      </c>
      <c r="AA460" t="s">
        <v>62</v>
      </c>
      <c r="AB460" t="s">
        <v>67</v>
      </c>
      <c r="AC460">
        <v>10</v>
      </c>
    </row>
    <row r="461" spans="1:29" x14ac:dyDescent="0.25">
      <c r="A461" t="s">
        <v>1002</v>
      </c>
      <c r="B461">
        <v>26</v>
      </c>
      <c r="C461" t="s">
        <v>29</v>
      </c>
      <c r="D461" t="s">
        <v>30</v>
      </c>
      <c r="E461" t="s">
        <v>69</v>
      </c>
      <c r="F461" t="s">
        <v>32</v>
      </c>
      <c r="G461" t="s">
        <v>44</v>
      </c>
      <c r="H461" t="s">
        <v>256</v>
      </c>
      <c r="I461" t="s">
        <v>126</v>
      </c>
      <c r="J461" s="1">
        <v>228.47</v>
      </c>
      <c r="K461">
        <v>9</v>
      </c>
      <c r="L461" t="s">
        <v>78</v>
      </c>
      <c r="M461">
        <v>3</v>
      </c>
      <c r="N461">
        <v>3</v>
      </c>
      <c r="O461">
        <v>1</v>
      </c>
      <c r="P461" t="s">
        <v>36</v>
      </c>
      <c r="Q461" t="s">
        <v>85</v>
      </c>
      <c r="R461">
        <v>1</v>
      </c>
      <c r="S461">
        <v>7</v>
      </c>
      <c r="T461" t="s">
        <v>36</v>
      </c>
      <c r="U461" t="s">
        <v>79</v>
      </c>
      <c r="V461" t="s">
        <v>39</v>
      </c>
      <c r="W461" s="2">
        <v>45533</v>
      </c>
      <c r="X461" s="4">
        <f ca="1">TODAY()-DATASET[[#This Row],[Time_of_Purchase]]</f>
        <v>601</v>
      </c>
      <c r="Y461" t="b">
        <v>0</v>
      </c>
      <c r="Z461" t="b">
        <v>1</v>
      </c>
      <c r="AA461" t="s">
        <v>62</v>
      </c>
      <c r="AB461" t="s">
        <v>67</v>
      </c>
      <c r="AC461">
        <v>12</v>
      </c>
    </row>
    <row r="462" spans="1:29" x14ac:dyDescent="0.25">
      <c r="A462" t="s">
        <v>1003</v>
      </c>
      <c r="B462">
        <v>25</v>
      </c>
      <c r="C462" t="s">
        <v>29</v>
      </c>
      <c r="D462" t="s">
        <v>30</v>
      </c>
      <c r="E462" t="s">
        <v>55</v>
      </c>
      <c r="F462" t="s">
        <v>56</v>
      </c>
      <c r="G462" t="s">
        <v>44</v>
      </c>
      <c r="H462" t="s">
        <v>1004</v>
      </c>
      <c r="I462" t="s">
        <v>34</v>
      </c>
      <c r="J462" s="1">
        <v>343.77</v>
      </c>
      <c r="K462">
        <v>6</v>
      </c>
      <c r="L462" t="s">
        <v>78</v>
      </c>
      <c r="M462">
        <v>4</v>
      </c>
      <c r="N462">
        <v>3</v>
      </c>
      <c r="O462">
        <v>2</v>
      </c>
      <c r="P462" t="s">
        <v>59</v>
      </c>
      <c r="Q462" t="s">
        <v>37</v>
      </c>
      <c r="R462">
        <v>2</v>
      </c>
      <c r="S462">
        <v>9</v>
      </c>
      <c r="T462" t="s">
        <v>44</v>
      </c>
      <c r="U462" t="s">
        <v>79</v>
      </c>
      <c r="V462" t="s">
        <v>86</v>
      </c>
      <c r="W462" s="2">
        <v>45553</v>
      </c>
      <c r="X462" s="4">
        <f ca="1">TODAY()-DATASET[[#This Row],[Time_of_Purchase]]</f>
        <v>581</v>
      </c>
      <c r="Y462" t="b">
        <v>1</v>
      </c>
      <c r="Z462" t="b">
        <v>1</v>
      </c>
      <c r="AA462" t="s">
        <v>52</v>
      </c>
      <c r="AB462" t="s">
        <v>67</v>
      </c>
      <c r="AC462">
        <v>6</v>
      </c>
    </row>
    <row r="463" spans="1:29" x14ac:dyDescent="0.25">
      <c r="A463" t="s">
        <v>1005</v>
      </c>
      <c r="B463">
        <v>26</v>
      </c>
      <c r="C463" t="s">
        <v>88</v>
      </c>
      <c r="D463" t="s">
        <v>30</v>
      </c>
      <c r="E463" t="s">
        <v>31</v>
      </c>
      <c r="F463" t="s">
        <v>32</v>
      </c>
      <c r="G463" t="s">
        <v>44</v>
      </c>
      <c r="H463" t="s">
        <v>1006</v>
      </c>
      <c r="I463" t="s">
        <v>158</v>
      </c>
      <c r="J463" s="1">
        <v>339.32</v>
      </c>
      <c r="K463">
        <v>9</v>
      </c>
      <c r="L463" t="s">
        <v>48</v>
      </c>
      <c r="M463">
        <v>2</v>
      </c>
      <c r="N463">
        <v>4</v>
      </c>
      <c r="O463">
        <v>0</v>
      </c>
      <c r="P463" t="s">
        <v>49</v>
      </c>
      <c r="Q463" t="s">
        <v>85</v>
      </c>
      <c r="R463">
        <v>1</v>
      </c>
      <c r="S463">
        <v>4</v>
      </c>
      <c r="T463" t="s">
        <v>44</v>
      </c>
      <c r="U463" t="s">
        <v>38</v>
      </c>
      <c r="V463" t="s">
        <v>66</v>
      </c>
      <c r="W463" s="2">
        <v>45540</v>
      </c>
      <c r="X463" s="4">
        <f ca="1">TODAY()-DATASET[[#This Row],[Time_of_Purchase]]</f>
        <v>594</v>
      </c>
      <c r="Y463" t="b">
        <v>0</v>
      </c>
      <c r="Z463" t="b">
        <v>0</v>
      </c>
      <c r="AA463" t="s">
        <v>40</v>
      </c>
      <c r="AB463" t="s">
        <v>41</v>
      </c>
      <c r="AC463">
        <v>7</v>
      </c>
    </row>
    <row r="464" spans="1:29" x14ac:dyDescent="0.25">
      <c r="A464" t="s">
        <v>1007</v>
      </c>
      <c r="B464">
        <v>34</v>
      </c>
      <c r="C464" t="s">
        <v>43</v>
      </c>
      <c r="D464" t="s">
        <v>44</v>
      </c>
      <c r="E464" t="s">
        <v>76</v>
      </c>
      <c r="F464" t="s">
        <v>32</v>
      </c>
      <c r="G464" t="s">
        <v>30</v>
      </c>
      <c r="H464" t="s">
        <v>1008</v>
      </c>
      <c r="I464" t="s">
        <v>183</v>
      </c>
      <c r="J464" s="1">
        <v>327.05</v>
      </c>
      <c r="K464">
        <v>9</v>
      </c>
      <c r="L464" t="s">
        <v>35</v>
      </c>
      <c r="M464">
        <v>5</v>
      </c>
      <c r="N464">
        <v>4</v>
      </c>
      <c r="O464">
        <v>0</v>
      </c>
      <c r="P464" t="s">
        <v>59</v>
      </c>
      <c r="Q464" t="s">
        <v>37</v>
      </c>
      <c r="R464">
        <v>2</v>
      </c>
      <c r="S464">
        <v>3</v>
      </c>
      <c r="T464" t="s">
        <v>44</v>
      </c>
      <c r="U464" t="s">
        <v>79</v>
      </c>
      <c r="V464" t="s">
        <v>86</v>
      </c>
      <c r="W464" s="2">
        <v>45510</v>
      </c>
      <c r="X464" s="4">
        <f ca="1">TODAY()-DATASET[[#This Row],[Time_of_Purchase]]</f>
        <v>624</v>
      </c>
      <c r="Y464" t="b">
        <v>0</v>
      </c>
      <c r="Z464" t="b">
        <v>1</v>
      </c>
      <c r="AA464" t="s">
        <v>40</v>
      </c>
      <c r="AB464" t="s">
        <v>41</v>
      </c>
      <c r="AC464">
        <v>7</v>
      </c>
    </row>
    <row r="465" spans="1:29" x14ac:dyDescent="0.25">
      <c r="A465" t="s">
        <v>1009</v>
      </c>
      <c r="B465">
        <v>48</v>
      </c>
      <c r="C465" t="s">
        <v>43</v>
      </c>
      <c r="D465" t="s">
        <v>44</v>
      </c>
      <c r="E465" t="s">
        <v>76</v>
      </c>
      <c r="F465" t="s">
        <v>56</v>
      </c>
      <c r="G465" t="s">
        <v>30</v>
      </c>
      <c r="H465" t="s">
        <v>1010</v>
      </c>
      <c r="I465" t="s">
        <v>126</v>
      </c>
      <c r="J465" s="1">
        <v>334.45</v>
      </c>
      <c r="K465">
        <v>2</v>
      </c>
      <c r="L465" t="s">
        <v>48</v>
      </c>
      <c r="M465">
        <v>2</v>
      </c>
      <c r="N465">
        <v>5</v>
      </c>
      <c r="O465">
        <v>0</v>
      </c>
      <c r="P465" t="s">
        <v>49</v>
      </c>
      <c r="Q465" t="s">
        <v>50</v>
      </c>
      <c r="R465">
        <v>2</v>
      </c>
      <c r="S465">
        <v>9</v>
      </c>
      <c r="T465" t="s">
        <v>44</v>
      </c>
      <c r="U465" t="s">
        <v>38</v>
      </c>
      <c r="V465" t="s">
        <v>39</v>
      </c>
      <c r="W465" s="2">
        <v>45461</v>
      </c>
      <c r="X465" s="4">
        <f ca="1">TODAY()-DATASET[[#This Row],[Time_of_Purchase]]</f>
        <v>673</v>
      </c>
      <c r="Y465" t="b">
        <v>1</v>
      </c>
      <c r="Z465" t="b">
        <v>0</v>
      </c>
      <c r="AA465" t="s">
        <v>62</v>
      </c>
      <c r="AB465" t="s">
        <v>41</v>
      </c>
      <c r="AC465">
        <v>6</v>
      </c>
    </row>
    <row r="466" spans="1:29" x14ac:dyDescent="0.25">
      <c r="A466" t="s">
        <v>1011</v>
      </c>
      <c r="B466">
        <v>19</v>
      </c>
      <c r="C466" t="s">
        <v>43</v>
      </c>
      <c r="D466" t="s">
        <v>44</v>
      </c>
      <c r="E466" t="s">
        <v>55</v>
      </c>
      <c r="F466" t="s">
        <v>32</v>
      </c>
      <c r="G466" t="s">
        <v>30</v>
      </c>
      <c r="H466" t="s">
        <v>1012</v>
      </c>
      <c r="I466" t="s">
        <v>47</v>
      </c>
      <c r="J466" s="1">
        <v>366.16</v>
      </c>
      <c r="K466">
        <v>12</v>
      </c>
      <c r="L466" t="s">
        <v>35</v>
      </c>
      <c r="M466">
        <v>4</v>
      </c>
      <c r="N466">
        <v>4</v>
      </c>
      <c r="O466">
        <v>2</v>
      </c>
      <c r="P466" t="s">
        <v>49</v>
      </c>
      <c r="Q466" t="s">
        <v>37</v>
      </c>
      <c r="R466">
        <v>1</v>
      </c>
      <c r="S466">
        <v>5</v>
      </c>
      <c r="T466" t="s">
        <v>59</v>
      </c>
      <c r="U466" t="s">
        <v>79</v>
      </c>
      <c r="V466" t="s">
        <v>39</v>
      </c>
      <c r="W466" s="2">
        <v>45530</v>
      </c>
      <c r="X466" s="4">
        <f ca="1">TODAY()-DATASET[[#This Row],[Time_of_Purchase]]</f>
        <v>604</v>
      </c>
      <c r="Y466" t="b">
        <v>0</v>
      </c>
      <c r="Z466" t="b">
        <v>0</v>
      </c>
      <c r="AA466" t="s">
        <v>40</v>
      </c>
      <c r="AB466" t="s">
        <v>41</v>
      </c>
      <c r="AC466">
        <v>4</v>
      </c>
    </row>
    <row r="467" spans="1:29" x14ac:dyDescent="0.25">
      <c r="A467" t="s">
        <v>1013</v>
      </c>
      <c r="B467">
        <v>37</v>
      </c>
      <c r="C467" t="s">
        <v>29</v>
      </c>
      <c r="D467" t="s">
        <v>44</v>
      </c>
      <c r="E467" t="s">
        <v>69</v>
      </c>
      <c r="F467" t="s">
        <v>32</v>
      </c>
      <c r="G467" t="s">
        <v>30</v>
      </c>
      <c r="H467" t="s">
        <v>1014</v>
      </c>
      <c r="I467" t="s">
        <v>158</v>
      </c>
      <c r="J467" s="1">
        <v>481.78</v>
      </c>
      <c r="K467">
        <v>8</v>
      </c>
      <c r="L467" t="s">
        <v>48</v>
      </c>
      <c r="M467">
        <v>5</v>
      </c>
      <c r="N467">
        <v>2</v>
      </c>
      <c r="O467">
        <v>0</v>
      </c>
      <c r="P467" t="s">
        <v>49</v>
      </c>
      <c r="Q467" t="s">
        <v>85</v>
      </c>
      <c r="R467">
        <v>2</v>
      </c>
      <c r="S467">
        <v>4</v>
      </c>
      <c r="T467" t="s">
        <v>59</v>
      </c>
      <c r="U467" t="s">
        <v>38</v>
      </c>
      <c r="V467" t="s">
        <v>61</v>
      </c>
      <c r="W467" s="2">
        <v>45406</v>
      </c>
      <c r="X467" s="4">
        <f ca="1">TODAY()-DATASET[[#This Row],[Time_of_Purchase]]</f>
        <v>728</v>
      </c>
      <c r="Y467" t="b">
        <v>1</v>
      </c>
      <c r="Z467" t="b">
        <v>1</v>
      </c>
      <c r="AA467" t="s">
        <v>52</v>
      </c>
      <c r="AB467" t="s">
        <v>67</v>
      </c>
      <c r="AC467">
        <v>1</v>
      </c>
    </row>
    <row r="468" spans="1:29" x14ac:dyDescent="0.25">
      <c r="A468" t="s">
        <v>1015</v>
      </c>
      <c r="B468">
        <v>23</v>
      </c>
      <c r="C468" t="s">
        <v>29</v>
      </c>
      <c r="D468" t="s">
        <v>44</v>
      </c>
      <c r="E468" t="s">
        <v>69</v>
      </c>
      <c r="F468" t="s">
        <v>32</v>
      </c>
      <c r="G468" t="s">
        <v>30</v>
      </c>
      <c r="H468" t="s">
        <v>1016</v>
      </c>
      <c r="I468" t="s">
        <v>34</v>
      </c>
      <c r="J468" s="1">
        <v>131.47999999999999</v>
      </c>
      <c r="K468">
        <v>8</v>
      </c>
      <c r="L468" t="s">
        <v>35</v>
      </c>
      <c r="M468">
        <v>3</v>
      </c>
      <c r="N468">
        <v>5</v>
      </c>
      <c r="O468">
        <v>0</v>
      </c>
      <c r="P468" t="s">
        <v>36</v>
      </c>
      <c r="Q468" t="s">
        <v>37</v>
      </c>
      <c r="R468">
        <v>2</v>
      </c>
      <c r="S468">
        <v>1</v>
      </c>
      <c r="T468" t="s">
        <v>59</v>
      </c>
      <c r="U468" t="s">
        <v>38</v>
      </c>
      <c r="V468" t="s">
        <v>39</v>
      </c>
      <c r="W468" s="2">
        <v>45512</v>
      </c>
      <c r="X468" s="4">
        <f ca="1">TODAY()-DATASET[[#This Row],[Time_of_Purchase]]</f>
        <v>622</v>
      </c>
      <c r="Y468" t="b">
        <v>1</v>
      </c>
      <c r="Z468" t="b">
        <v>1</v>
      </c>
      <c r="AA468" t="s">
        <v>52</v>
      </c>
      <c r="AB468" t="s">
        <v>41</v>
      </c>
      <c r="AC468">
        <v>12</v>
      </c>
    </row>
    <row r="469" spans="1:29" x14ac:dyDescent="0.25">
      <c r="A469" t="s">
        <v>1017</v>
      </c>
      <c r="B469">
        <v>34</v>
      </c>
      <c r="C469" t="s">
        <v>29</v>
      </c>
      <c r="D469" t="s">
        <v>44</v>
      </c>
      <c r="E469" t="s">
        <v>69</v>
      </c>
      <c r="F469" t="s">
        <v>56</v>
      </c>
      <c r="G469" t="s">
        <v>44</v>
      </c>
      <c r="H469" t="s">
        <v>1018</v>
      </c>
      <c r="I469" t="s">
        <v>104</v>
      </c>
      <c r="J469" s="1">
        <v>402.86</v>
      </c>
      <c r="K469">
        <v>11</v>
      </c>
      <c r="L469" t="s">
        <v>48</v>
      </c>
      <c r="M469">
        <v>3</v>
      </c>
      <c r="N469">
        <v>5</v>
      </c>
      <c r="O469">
        <v>1</v>
      </c>
      <c r="P469" t="s">
        <v>44</v>
      </c>
      <c r="Q469" t="s">
        <v>50</v>
      </c>
      <c r="R469">
        <v>0</v>
      </c>
      <c r="S469">
        <v>2</v>
      </c>
      <c r="T469" t="s">
        <v>36</v>
      </c>
      <c r="U469" t="s">
        <v>79</v>
      </c>
      <c r="V469" t="s">
        <v>86</v>
      </c>
      <c r="W469" s="2">
        <v>45540</v>
      </c>
      <c r="X469" s="4">
        <f ca="1">TODAY()-DATASET[[#This Row],[Time_of_Purchase]]</f>
        <v>594</v>
      </c>
      <c r="Y469" t="b">
        <v>0</v>
      </c>
      <c r="Z469" t="b">
        <v>0</v>
      </c>
      <c r="AA469" t="s">
        <v>62</v>
      </c>
      <c r="AB469" t="s">
        <v>53</v>
      </c>
      <c r="AC469">
        <v>8</v>
      </c>
    </row>
    <row r="470" spans="1:29" x14ac:dyDescent="0.25">
      <c r="A470" t="s">
        <v>1019</v>
      </c>
      <c r="B470">
        <v>42</v>
      </c>
      <c r="C470" t="s">
        <v>43</v>
      </c>
      <c r="D470" t="s">
        <v>44</v>
      </c>
      <c r="E470" t="s">
        <v>55</v>
      </c>
      <c r="F470" t="s">
        <v>32</v>
      </c>
      <c r="G470" t="s">
        <v>30</v>
      </c>
      <c r="H470" t="s">
        <v>1020</v>
      </c>
      <c r="I470" t="s">
        <v>34</v>
      </c>
      <c r="J470" s="1">
        <v>333.18</v>
      </c>
      <c r="K470">
        <v>6</v>
      </c>
      <c r="L470" t="s">
        <v>48</v>
      </c>
      <c r="M470">
        <v>1</v>
      </c>
      <c r="N470">
        <v>1</v>
      </c>
      <c r="O470">
        <v>0</v>
      </c>
      <c r="P470" t="s">
        <v>49</v>
      </c>
      <c r="Q470" t="s">
        <v>85</v>
      </c>
      <c r="R470">
        <v>2</v>
      </c>
      <c r="S470">
        <v>5</v>
      </c>
      <c r="T470" t="s">
        <v>59</v>
      </c>
      <c r="U470" t="s">
        <v>60</v>
      </c>
      <c r="V470" t="s">
        <v>66</v>
      </c>
      <c r="W470" s="2">
        <v>45398</v>
      </c>
      <c r="X470" s="4">
        <f ca="1">TODAY()-DATASET[[#This Row],[Time_of_Purchase]]</f>
        <v>736</v>
      </c>
      <c r="Y470" t="b">
        <v>1</v>
      </c>
      <c r="Z470" t="b">
        <v>0</v>
      </c>
      <c r="AA470" t="s">
        <v>74</v>
      </c>
      <c r="AB470" t="s">
        <v>67</v>
      </c>
      <c r="AC470">
        <v>8</v>
      </c>
    </row>
    <row r="471" spans="1:29" x14ac:dyDescent="0.25">
      <c r="A471" t="s">
        <v>1021</v>
      </c>
      <c r="B471">
        <v>28</v>
      </c>
      <c r="C471" t="s">
        <v>29</v>
      </c>
      <c r="D471" t="s">
        <v>44</v>
      </c>
      <c r="E471" t="s">
        <v>69</v>
      </c>
      <c r="F471" t="s">
        <v>56</v>
      </c>
      <c r="G471" t="s">
        <v>30</v>
      </c>
      <c r="H471" t="s">
        <v>1022</v>
      </c>
      <c r="I471" t="s">
        <v>135</v>
      </c>
      <c r="J471" s="1">
        <v>73.23</v>
      </c>
      <c r="K471">
        <v>8</v>
      </c>
      <c r="L471" t="s">
        <v>78</v>
      </c>
      <c r="M471">
        <v>2</v>
      </c>
      <c r="N471">
        <v>2</v>
      </c>
      <c r="O471">
        <v>2</v>
      </c>
      <c r="P471" t="s">
        <v>59</v>
      </c>
      <c r="Q471" t="s">
        <v>85</v>
      </c>
      <c r="R471">
        <v>1</v>
      </c>
      <c r="S471">
        <v>2</v>
      </c>
      <c r="T471" t="s">
        <v>59</v>
      </c>
      <c r="U471" t="s">
        <v>60</v>
      </c>
      <c r="V471" t="s">
        <v>39</v>
      </c>
      <c r="W471" s="2">
        <v>45490</v>
      </c>
      <c r="X471" s="4">
        <f ca="1">TODAY()-DATASET[[#This Row],[Time_of_Purchase]]</f>
        <v>644</v>
      </c>
      <c r="Y471" t="b">
        <v>1</v>
      </c>
      <c r="Z471" t="b">
        <v>1</v>
      </c>
      <c r="AA471" t="s">
        <v>40</v>
      </c>
      <c r="AB471" t="s">
        <v>41</v>
      </c>
      <c r="AC471">
        <v>6</v>
      </c>
    </row>
    <row r="472" spans="1:29" x14ac:dyDescent="0.25">
      <c r="A472" t="s">
        <v>1023</v>
      </c>
      <c r="B472">
        <v>28</v>
      </c>
      <c r="C472" t="s">
        <v>43</v>
      </c>
      <c r="D472" t="s">
        <v>44</v>
      </c>
      <c r="E472" t="s">
        <v>76</v>
      </c>
      <c r="F472" t="s">
        <v>56</v>
      </c>
      <c r="G472" t="s">
        <v>30</v>
      </c>
      <c r="H472" t="s">
        <v>1024</v>
      </c>
      <c r="I472" t="s">
        <v>71</v>
      </c>
      <c r="J472" s="1">
        <v>450.47</v>
      </c>
      <c r="K472">
        <v>11</v>
      </c>
      <c r="L472" t="s">
        <v>78</v>
      </c>
      <c r="M472">
        <v>5</v>
      </c>
      <c r="N472">
        <v>2</v>
      </c>
      <c r="O472">
        <v>2</v>
      </c>
      <c r="P472" t="s">
        <v>36</v>
      </c>
      <c r="Q472" t="s">
        <v>50</v>
      </c>
      <c r="R472">
        <v>2</v>
      </c>
      <c r="S472">
        <v>3</v>
      </c>
      <c r="T472" t="s">
        <v>36</v>
      </c>
      <c r="U472" t="s">
        <v>60</v>
      </c>
      <c r="V472" t="s">
        <v>39</v>
      </c>
      <c r="W472" s="2">
        <v>45369</v>
      </c>
      <c r="X472" s="4">
        <f ca="1">TODAY()-DATASET[[#This Row],[Time_of_Purchase]]</f>
        <v>765</v>
      </c>
      <c r="Y472" t="b">
        <v>1</v>
      </c>
      <c r="Z472" t="b">
        <v>1</v>
      </c>
      <c r="AA472" t="s">
        <v>52</v>
      </c>
      <c r="AB472" t="s">
        <v>67</v>
      </c>
      <c r="AC472">
        <v>10</v>
      </c>
    </row>
    <row r="473" spans="1:29" x14ac:dyDescent="0.25">
      <c r="A473" t="s">
        <v>1025</v>
      </c>
      <c r="B473">
        <v>33</v>
      </c>
      <c r="C473" t="s">
        <v>43</v>
      </c>
      <c r="D473" t="s">
        <v>30</v>
      </c>
      <c r="E473" t="s">
        <v>55</v>
      </c>
      <c r="F473" t="s">
        <v>45</v>
      </c>
      <c r="G473" t="s">
        <v>44</v>
      </c>
      <c r="H473" t="s">
        <v>1026</v>
      </c>
      <c r="I473" t="s">
        <v>47</v>
      </c>
      <c r="J473" s="1">
        <v>175.74</v>
      </c>
      <c r="K473">
        <v>5</v>
      </c>
      <c r="L473" t="s">
        <v>78</v>
      </c>
      <c r="M473">
        <v>5</v>
      </c>
      <c r="N473">
        <v>4</v>
      </c>
      <c r="O473">
        <v>1</v>
      </c>
      <c r="P473" t="s">
        <v>49</v>
      </c>
      <c r="Q473" t="s">
        <v>50</v>
      </c>
      <c r="R473">
        <v>0</v>
      </c>
      <c r="S473">
        <v>6</v>
      </c>
      <c r="T473" t="s">
        <v>36</v>
      </c>
      <c r="U473" t="s">
        <v>38</v>
      </c>
      <c r="V473" t="s">
        <v>86</v>
      </c>
      <c r="W473" s="2">
        <v>45491</v>
      </c>
      <c r="X473" s="4">
        <f ca="1">TODAY()-DATASET[[#This Row],[Time_of_Purchase]]</f>
        <v>643</v>
      </c>
      <c r="Y473" t="b">
        <v>0</v>
      </c>
      <c r="Z473" t="b">
        <v>1</v>
      </c>
      <c r="AA473" t="s">
        <v>62</v>
      </c>
      <c r="AB473" t="s">
        <v>41</v>
      </c>
      <c r="AC473">
        <v>6</v>
      </c>
    </row>
    <row r="474" spans="1:29" x14ac:dyDescent="0.25">
      <c r="A474" t="s">
        <v>1027</v>
      </c>
      <c r="B474">
        <v>31</v>
      </c>
      <c r="C474" t="s">
        <v>29</v>
      </c>
      <c r="D474" t="s">
        <v>30</v>
      </c>
      <c r="E474" t="s">
        <v>55</v>
      </c>
      <c r="F474" t="s">
        <v>56</v>
      </c>
      <c r="G474" t="s">
        <v>44</v>
      </c>
      <c r="H474" t="s">
        <v>1028</v>
      </c>
      <c r="I474" t="s">
        <v>107</v>
      </c>
      <c r="J474" s="1">
        <v>182.6</v>
      </c>
      <c r="K474">
        <v>4</v>
      </c>
      <c r="L474" t="s">
        <v>78</v>
      </c>
      <c r="M474">
        <v>5</v>
      </c>
      <c r="N474">
        <v>2</v>
      </c>
      <c r="O474">
        <v>0.3</v>
      </c>
      <c r="P474" t="s">
        <v>59</v>
      </c>
      <c r="Q474" t="s">
        <v>50</v>
      </c>
      <c r="R474">
        <v>2</v>
      </c>
      <c r="S474">
        <v>9</v>
      </c>
      <c r="T474" t="s">
        <v>44</v>
      </c>
      <c r="U474" t="s">
        <v>38</v>
      </c>
      <c r="V474" t="s">
        <v>51</v>
      </c>
      <c r="W474" s="2">
        <v>45443</v>
      </c>
      <c r="X474" s="4">
        <f ca="1">TODAY()-DATASET[[#This Row],[Time_of_Purchase]]</f>
        <v>691</v>
      </c>
      <c r="Y474" t="b">
        <v>0</v>
      </c>
      <c r="Z474" t="b">
        <v>1</v>
      </c>
      <c r="AA474" t="s">
        <v>52</v>
      </c>
      <c r="AB474" t="s">
        <v>67</v>
      </c>
      <c r="AC474">
        <v>5</v>
      </c>
    </row>
    <row r="475" spans="1:29" x14ac:dyDescent="0.25">
      <c r="A475" t="s">
        <v>1029</v>
      </c>
      <c r="B475">
        <v>20</v>
      </c>
      <c r="C475" t="s">
        <v>29</v>
      </c>
      <c r="D475" t="s">
        <v>30</v>
      </c>
      <c r="E475" t="s">
        <v>69</v>
      </c>
      <c r="F475" t="s">
        <v>32</v>
      </c>
      <c r="G475" t="s">
        <v>44</v>
      </c>
      <c r="H475" t="s">
        <v>1030</v>
      </c>
      <c r="I475" t="s">
        <v>246</v>
      </c>
      <c r="J475" s="1">
        <v>497.8</v>
      </c>
      <c r="K475">
        <v>2</v>
      </c>
      <c r="L475" t="s">
        <v>78</v>
      </c>
      <c r="M475">
        <v>3</v>
      </c>
      <c r="N475">
        <v>5</v>
      </c>
      <c r="O475">
        <v>0.2</v>
      </c>
      <c r="P475" t="s">
        <v>44</v>
      </c>
      <c r="Q475" t="s">
        <v>37</v>
      </c>
      <c r="R475">
        <v>1</v>
      </c>
      <c r="S475">
        <v>2</v>
      </c>
      <c r="T475" t="s">
        <v>49</v>
      </c>
      <c r="U475" t="s">
        <v>60</v>
      </c>
      <c r="V475" t="s">
        <v>66</v>
      </c>
      <c r="W475" s="2">
        <v>45312</v>
      </c>
      <c r="X475" s="4">
        <f ca="1">TODAY()-DATASET[[#This Row],[Time_of_Purchase]]</f>
        <v>822</v>
      </c>
      <c r="Y475" t="b">
        <v>1</v>
      </c>
      <c r="Z475" t="b">
        <v>0</v>
      </c>
      <c r="AA475" t="s">
        <v>52</v>
      </c>
      <c r="AB475" t="s">
        <v>41</v>
      </c>
      <c r="AC475">
        <v>9</v>
      </c>
    </row>
    <row r="476" spans="1:29" x14ac:dyDescent="0.25">
      <c r="A476" t="s">
        <v>1031</v>
      </c>
      <c r="B476">
        <v>32</v>
      </c>
      <c r="C476" t="s">
        <v>43</v>
      </c>
      <c r="D476" t="s">
        <v>44</v>
      </c>
      <c r="E476" t="s">
        <v>76</v>
      </c>
      <c r="F476" t="s">
        <v>45</v>
      </c>
      <c r="G476" t="s">
        <v>44</v>
      </c>
      <c r="H476" t="s">
        <v>1032</v>
      </c>
      <c r="I476" t="s">
        <v>47</v>
      </c>
      <c r="J476" s="1">
        <v>171.17</v>
      </c>
      <c r="K476">
        <v>4</v>
      </c>
      <c r="L476" t="s">
        <v>48</v>
      </c>
      <c r="M476">
        <v>1</v>
      </c>
      <c r="N476">
        <v>3</v>
      </c>
      <c r="O476">
        <v>0</v>
      </c>
      <c r="P476" t="s">
        <v>44</v>
      </c>
      <c r="Q476" t="s">
        <v>37</v>
      </c>
      <c r="R476">
        <v>0</v>
      </c>
      <c r="S476">
        <v>4</v>
      </c>
      <c r="T476" t="s">
        <v>49</v>
      </c>
      <c r="U476" t="s">
        <v>79</v>
      </c>
      <c r="V476" t="s">
        <v>61</v>
      </c>
      <c r="W476" s="2">
        <v>45458</v>
      </c>
      <c r="X476" s="4">
        <f ca="1">TODAY()-DATASET[[#This Row],[Time_of_Purchase]]</f>
        <v>676</v>
      </c>
      <c r="Y476" t="b">
        <v>0</v>
      </c>
      <c r="Z476" t="b">
        <v>1</v>
      </c>
      <c r="AA476" t="s">
        <v>52</v>
      </c>
      <c r="AB476" t="s">
        <v>53</v>
      </c>
      <c r="AC476">
        <v>12</v>
      </c>
    </row>
    <row r="477" spans="1:29" x14ac:dyDescent="0.25">
      <c r="A477" t="s">
        <v>1033</v>
      </c>
      <c r="B477">
        <v>27</v>
      </c>
      <c r="C477" t="s">
        <v>29</v>
      </c>
      <c r="D477" t="s">
        <v>30</v>
      </c>
      <c r="E477" t="s">
        <v>55</v>
      </c>
      <c r="F477" t="s">
        <v>32</v>
      </c>
      <c r="G477" t="s">
        <v>44</v>
      </c>
      <c r="H477" t="s">
        <v>1034</v>
      </c>
      <c r="I477" t="s">
        <v>246</v>
      </c>
      <c r="J477" s="1">
        <v>425.82</v>
      </c>
      <c r="K477">
        <v>3</v>
      </c>
      <c r="L477" t="s">
        <v>48</v>
      </c>
      <c r="M477">
        <v>4</v>
      </c>
      <c r="N477">
        <v>5</v>
      </c>
      <c r="O477">
        <v>1</v>
      </c>
      <c r="P477" t="s">
        <v>59</v>
      </c>
      <c r="Q477" t="s">
        <v>50</v>
      </c>
      <c r="R477">
        <v>1</v>
      </c>
      <c r="S477">
        <v>6</v>
      </c>
      <c r="T477" t="s">
        <v>44</v>
      </c>
      <c r="U477" t="s">
        <v>60</v>
      </c>
      <c r="V477" t="s">
        <v>86</v>
      </c>
      <c r="W477" s="2">
        <v>45401</v>
      </c>
      <c r="X477" s="4">
        <f ca="1">TODAY()-DATASET[[#This Row],[Time_of_Purchase]]</f>
        <v>733</v>
      </c>
      <c r="Y477" t="b">
        <v>1</v>
      </c>
      <c r="Z477" t="b">
        <v>1</v>
      </c>
      <c r="AA477" t="s">
        <v>52</v>
      </c>
      <c r="AB477" t="s">
        <v>53</v>
      </c>
      <c r="AC477">
        <v>11</v>
      </c>
    </row>
    <row r="478" spans="1:29" x14ac:dyDescent="0.25">
      <c r="A478" t="s">
        <v>1035</v>
      </c>
      <c r="B478">
        <v>19</v>
      </c>
      <c r="C478" t="s">
        <v>29</v>
      </c>
      <c r="D478" t="s">
        <v>30</v>
      </c>
      <c r="E478" t="s">
        <v>69</v>
      </c>
      <c r="F478" t="s">
        <v>32</v>
      </c>
      <c r="G478" t="s">
        <v>30</v>
      </c>
      <c r="H478" t="s">
        <v>1036</v>
      </c>
      <c r="I478" t="s">
        <v>90</v>
      </c>
      <c r="J478" s="1">
        <v>210.58</v>
      </c>
      <c r="K478">
        <v>10</v>
      </c>
      <c r="L478" t="s">
        <v>48</v>
      </c>
      <c r="M478">
        <v>5</v>
      </c>
      <c r="N478">
        <v>1</v>
      </c>
      <c r="O478">
        <v>2</v>
      </c>
      <c r="P478" t="s">
        <v>59</v>
      </c>
      <c r="Q478" t="s">
        <v>37</v>
      </c>
      <c r="R478">
        <v>1</v>
      </c>
      <c r="S478">
        <v>3</v>
      </c>
      <c r="T478" t="s">
        <v>59</v>
      </c>
      <c r="U478" t="s">
        <v>38</v>
      </c>
      <c r="V478" t="s">
        <v>61</v>
      </c>
      <c r="W478" s="2">
        <v>45547</v>
      </c>
      <c r="X478" s="4">
        <f ca="1">TODAY()-DATASET[[#This Row],[Time_of_Purchase]]</f>
        <v>587</v>
      </c>
      <c r="Y478" t="b">
        <v>1</v>
      </c>
      <c r="Z478" t="b">
        <v>1</v>
      </c>
      <c r="AA478" t="s">
        <v>74</v>
      </c>
      <c r="AB478" t="s">
        <v>41</v>
      </c>
      <c r="AC478">
        <v>8</v>
      </c>
    </row>
    <row r="479" spans="1:29" x14ac:dyDescent="0.25">
      <c r="A479" t="s">
        <v>1037</v>
      </c>
      <c r="B479">
        <v>50</v>
      </c>
      <c r="C479" t="s">
        <v>43</v>
      </c>
      <c r="D479" t="s">
        <v>30</v>
      </c>
      <c r="E479" t="s">
        <v>55</v>
      </c>
      <c r="F479" t="s">
        <v>45</v>
      </c>
      <c r="G479" t="s">
        <v>30</v>
      </c>
      <c r="H479" t="s">
        <v>1038</v>
      </c>
      <c r="I479" t="s">
        <v>188</v>
      </c>
      <c r="J479" s="1">
        <v>199.64</v>
      </c>
      <c r="K479">
        <v>11</v>
      </c>
      <c r="L479" t="s">
        <v>78</v>
      </c>
      <c r="M479">
        <v>5</v>
      </c>
      <c r="N479">
        <v>4</v>
      </c>
      <c r="O479">
        <v>1</v>
      </c>
      <c r="P479" t="s">
        <v>44</v>
      </c>
      <c r="Q479" t="s">
        <v>37</v>
      </c>
      <c r="R479">
        <v>1</v>
      </c>
      <c r="S479">
        <v>5</v>
      </c>
      <c r="T479" t="s">
        <v>44</v>
      </c>
      <c r="U479" t="s">
        <v>79</v>
      </c>
      <c r="V479" t="s">
        <v>51</v>
      </c>
      <c r="W479" s="2">
        <v>45539</v>
      </c>
      <c r="X479" s="4">
        <f ca="1">TODAY()-DATASET[[#This Row],[Time_of_Purchase]]</f>
        <v>595</v>
      </c>
      <c r="Y479" t="b">
        <v>0</v>
      </c>
      <c r="Z479" t="b">
        <v>1</v>
      </c>
      <c r="AA479" t="s">
        <v>74</v>
      </c>
      <c r="AB479" t="s">
        <v>67</v>
      </c>
      <c r="AC479">
        <v>8</v>
      </c>
    </row>
    <row r="480" spans="1:29" x14ac:dyDescent="0.25">
      <c r="A480" t="s">
        <v>1039</v>
      </c>
      <c r="B480">
        <v>40</v>
      </c>
      <c r="C480" t="s">
        <v>212</v>
      </c>
      <c r="D480" t="s">
        <v>44</v>
      </c>
      <c r="E480" t="s">
        <v>31</v>
      </c>
      <c r="F480" t="s">
        <v>32</v>
      </c>
      <c r="G480" t="s">
        <v>30</v>
      </c>
      <c r="H480" t="s">
        <v>1040</v>
      </c>
      <c r="I480" t="s">
        <v>114</v>
      </c>
      <c r="J480" s="1">
        <v>162.22</v>
      </c>
      <c r="K480">
        <v>10</v>
      </c>
      <c r="L480" t="s">
        <v>48</v>
      </c>
      <c r="M480">
        <v>5</v>
      </c>
      <c r="N480">
        <v>5</v>
      </c>
      <c r="O480">
        <v>0.2</v>
      </c>
      <c r="P480" t="s">
        <v>44</v>
      </c>
      <c r="Q480" t="s">
        <v>37</v>
      </c>
      <c r="R480">
        <v>1</v>
      </c>
      <c r="S480">
        <v>1</v>
      </c>
      <c r="T480" t="s">
        <v>49</v>
      </c>
      <c r="U480" t="s">
        <v>79</v>
      </c>
      <c r="V480" t="s">
        <v>66</v>
      </c>
      <c r="W480" s="2">
        <v>45410</v>
      </c>
      <c r="X480" s="4">
        <f ca="1">TODAY()-DATASET[[#This Row],[Time_of_Purchase]]</f>
        <v>724</v>
      </c>
      <c r="Y480" t="b">
        <v>1</v>
      </c>
      <c r="Z480" t="b">
        <v>1</v>
      </c>
      <c r="AA480" t="s">
        <v>52</v>
      </c>
      <c r="AB480" t="s">
        <v>41</v>
      </c>
      <c r="AC480">
        <v>8</v>
      </c>
    </row>
    <row r="481" spans="1:29" x14ac:dyDescent="0.25">
      <c r="A481" t="s">
        <v>1041</v>
      </c>
      <c r="B481">
        <v>20</v>
      </c>
      <c r="C481" t="s">
        <v>43</v>
      </c>
      <c r="D481" t="s">
        <v>44</v>
      </c>
      <c r="E481" t="s">
        <v>31</v>
      </c>
      <c r="F481" t="s">
        <v>32</v>
      </c>
      <c r="G481" t="s">
        <v>44</v>
      </c>
      <c r="H481" t="s">
        <v>1042</v>
      </c>
      <c r="I481" t="s">
        <v>90</v>
      </c>
      <c r="J481" s="1">
        <v>401.75</v>
      </c>
      <c r="K481">
        <v>8</v>
      </c>
      <c r="L481" t="s">
        <v>78</v>
      </c>
      <c r="M481">
        <v>3</v>
      </c>
      <c r="N481">
        <v>4</v>
      </c>
      <c r="O481">
        <v>0.3</v>
      </c>
      <c r="P481" t="s">
        <v>36</v>
      </c>
      <c r="Q481" t="s">
        <v>37</v>
      </c>
      <c r="R481">
        <v>1</v>
      </c>
      <c r="S481">
        <v>8</v>
      </c>
      <c r="T481" t="s">
        <v>44</v>
      </c>
      <c r="U481" t="s">
        <v>60</v>
      </c>
      <c r="V481" t="s">
        <v>51</v>
      </c>
      <c r="W481" s="2">
        <v>45634</v>
      </c>
      <c r="X481" s="4">
        <f ca="1">TODAY()-DATASET[[#This Row],[Time_of_Purchase]]</f>
        <v>500</v>
      </c>
      <c r="Y481" t="b">
        <v>0</v>
      </c>
      <c r="Z481" t="b">
        <v>1</v>
      </c>
      <c r="AA481" t="s">
        <v>52</v>
      </c>
      <c r="AB481" t="s">
        <v>53</v>
      </c>
      <c r="AC481">
        <v>6</v>
      </c>
    </row>
    <row r="482" spans="1:29" x14ac:dyDescent="0.25">
      <c r="A482" t="s">
        <v>1043</v>
      </c>
      <c r="B482">
        <v>24</v>
      </c>
      <c r="C482" t="s">
        <v>29</v>
      </c>
      <c r="D482" t="s">
        <v>30</v>
      </c>
      <c r="E482" t="s">
        <v>31</v>
      </c>
      <c r="F482" t="s">
        <v>56</v>
      </c>
      <c r="G482" t="s">
        <v>30</v>
      </c>
      <c r="H482" t="s">
        <v>1044</v>
      </c>
      <c r="I482" t="s">
        <v>98</v>
      </c>
      <c r="J482" s="1">
        <v>365.88</v>
      </c>
      <c r="K482">
        <v>12</v>
      </c>
      <c r="L482" t="s">
        <v>78</v>
      </c>
      <c r="M482">
        <v>3</v>
      </c>
      <c r="N482">
        <v>3</v>
      </c>
      <c r="O482">
        <v>2</v>
      </c>
      <c r="P482" t="s">
        <v>49</v>
      </c>
      <c r="Q482" t="s">
        <v>85</v>
      </c>
      <c r="R482">
        <v>0</v>
      </c>
      <c r="S482">
        <v>9</v>
      </c>
      <c r="T482" t="s">
        <v>44</v>
      </c>
      <c r="U482" t="s">
        <v>60</v>
      </c>
      <c r="V482" t="s">
        <v>66</v>
      </c>
      <c r="W482" s="2">
        <v>45601</v>
      </c>
      <c r="X482" s="4">
        <f ca="1">TODAY()-DATASET[[#This Row],[Time_of_Purchase]]</f>
        <v>533</v>
      </c>
      <c r="Y482" t="b">
        <v>1</v>
      </c>
      <c r="Z482" t="b">
        <v>0</v>
      </c>
      <c r="AA482" t="s">
        <v>40</v>
      </c>
      <c r="AB482" t="s">
        <v>67</v>
      </c>
      <c r="AC482">
        <v>7</v>
      </c>
    </row>
    <row r="483" spans="1:29" x14ac:dyDescent="0.25">
      <c r="A483" t="s">
        <v>1045</v>
      </c>
      <c r="B483">
        <v>46</v>
      </c>
      <c r="C483" t="s">
        <v>43</v>
      </c>
      <c r="D483" t="s">
        <v>30</v>
      </c>
      <c r="E483" t="s">
        <v>55</v>
      </c>
      <c r="F483" t="s">
        <v>45</v>
      </c>
      <c r="G483" t="s">
        <v>30</v>
      </c>
      <c r="H483" t="s">
        <v>1046</v>
      </c>
      <c r="I483" t="s">
        <v>188</v>
      </c>
      <c r="J483" s="1">
        <v>58.29</v>
      </c>
      <c r="K483">
        <v>6</v>
      </c>
      <c r="L483" t="s">
        <v>35</v>
      </c>
      <c r="M483">
        <v>2</v>
      </c>
      <c r="N483">
        <v>3</v>
      </c>
      <c r="O483">
        <v>2</v>
      </c>
      <c r="P483" t="s">
        <v>49</v>
      </c>
      <c r="Q483" t="s">
        <v>37</v>
      </c>
      <c r="R483">
        <v>1</v>
      </c>
      <c r="S483">
        <v>7</v>
      </c>
      <c r="T483" t="s">
        <v>59</v>
      </c>
      <c r="U483" t="s">
        <v>38</v>
      </c>
      <c r="V483" t="s">
        <v>66</v>
      </c>
      <c r="W483" s="2">
        <v>45335</v>
      </c>
      <c r="X483" s="4">
        <f ca="1">TODAY()-DATASET[[#This Row],[Time_of_Purchase]]</f>
        <v>799</v>
      </c>
      <c r="Y483" t="b">
        <v>0</v>
      </c>
      <c r="Z483" t="b">
        <v>1</v>
      </c>
      <c r="AA483" t="s">
        <v>62</v>
      </c>
      <c r="AB483" t="s">
        <v>53</v>
      </c>
      <c r="AC483">
        <v>14</v>
      </c>
    </row>
    <row r="484" spans="1:29" x14ac:dyDescent="0.25">
      <c r="A484" t="s">
        <v>1047</v>
      </c>
      <c r="B484">
        <v>50</v>
      </c>
      <c r="C484" t="s">
        <v>43</v>
      </c>
      <c r="D484" t="s">
        <v>44</v>
      </c>
      <c r="E484" t="s">
        <v>31</v>
      </c>
      <c r="F484" t="s">
        <v>56</v>
      </c>
      <c r="G484" t="s">
        <v>44</v>
      </c>
      <c r="H484" t="s">
        <v>64</v>
      </c>
      <c r="I484" t="s">
        <v>142</v>
      </c>
      <c r="J484" s="1">
        <v>66.86</v>
      </c>
      <c r="K484">
        <v>3</v>
      </c>
      <c r="L484" t="s">
        <v>35</v>
      </c>
      <c r="M484">
        <v>1</v>
      </c>
      <c r="N484">
        <v>1</v>
      </c>
      <c r="O484">
        <v>1</v>
      </c>
      <c r="P484" t="s">
        <v>49</v>
      </c>
      <c r="Q484" t="s">
        <v>85</v>
      </c>
      <c r="R484">
        <v>0</v>
      </c>
      <c r="S484">
        <v>10</v>
      </c>
      <c r="T484" t="s">
        <v>49</v>
      </c>
      <c r="U484" t="s">
        <v>79</v>
      </c>
      <c r="V484" t="s">
        <v>66</v>
      </c>
      <c r="W484" s="2">
        <v>45316</v>
      </c>
      <c r="X484" s="4">
        <f ca="1">TODAY()-DATASET[[#This Row],[Time_of_Purchase]]</f>
        <v>818</v>
      </c>
      <c r="Y484" t="b">
        <v>1</v>
      </c>
      <c r="Z484" t="b">
        <v>1</v>
      </c>
      <c r="AA484" t="s">
        <v>52</v>
      </c>
      <c r="AB484" t="s">
        <v>67</v>
      </c>
      <c r="AC484">
        <v>9</v>
      </c>
    </row>
    <row r="485" spans="1:29" x14ac:dyDescent="0.25">
      <c r="A485" t="s">
        <v>1048</v>
      </c>
      <c r="B485">
        <v>29</v>
      </c>
      <c r="C485" t="s">
        <v>29</v>
      </c>
      <c r="D485" t="s">
        <v>44</v>
      </c>
      <c r="E485" t="s">
        <v>55</v>
      </c>
      <c r="F485" t="s">
        <v>32</v>
      </c>
      <c r="G485" t="s">
        <v>30</v>
      </c>
      <c r="H485" t="s">
        <v>1049</v>
      </c>
      <c r="I485" t="s">
        <v>158</v>
      </c>
      <c r="J485" s="1">
        <v>279.33999999999997</v>
      </c>
      <c r="K485">
        <v>5</v>
      </c>
      <c r="L485" t="s">
        <v>35</v>
      </c>
      <c r="M485">
        <v>3</v>
      </c>
      <c r="N485">
        <v>1</v>
      </c>
      <c r="O485">
        <v>0</v>
      </c>
      <c r="P485" t="s">
        <v>49</v>
      </c>
      <c r="Q485" t="s">
        <v>85</v>
      </c>
      <c r="R485">
        <v>2</v>
      </c>
      <c r="S485">
        <v>6</v>
      </c>
      <c r="T485" t="s">
        <v>59</v>
      </c>
      <c r="U485" t="s">
        <v>38</v>
      </c>
      <c r="V485" t="s">
        <v>51</v>
      </c>
      <c r="W485" s="2">
        <v>45526</v>
      </c>
      <c r="X485" s="4">
        <f ca="1">TODAY()-DATASET[[#This Row],[Time_of_Purchase]]</f>
        <v>608</v>
      </c>
      <c r="Y485" t="b">
        <v>0</v>
      </c>
      <c r="Z485" t="b">
        <v>1</v>
      </c>
      <c r="AA485" t="s">
        <v>52</v>
      </c>
      <c r="AB485" t="s">
        <v>41</v>
      </c>
      <c r="AC485">
        <v>11</v>
      </c>
    </row>
    <row r="486" spans="1:29" x14ac:dyDescent="0.25">
      <c r="A486" t="s">
        <v>1050</v>
      </c>
      <c r="B486">
        <v>34</v>
      </c>
      <c r="C486" t="s">
        <v>148</v>
      </c>
      <c r="D486" t="s">
        <v>44</v>
      </c>
      <c r="E486" t="s">
        <v>76</v>
      </c>
      <c r="F486" t="s">
        <v>32</v>
      </c>
      <c r="G486" t="s">
        <v>44</v>
      </c>
      <c r="H486" t="s">
        <v>1051</v>
      </c>
      <c r="I486" t="s">
        <v>117</v>
      </c>
      <c r="J486" s="1">
        <v>358.5</v>
      </c>
      <c r="K486">
        <v>3</v>
      </c>
      <c r="L486" t="s">
        <v>78</v>
      </c>
      <c r="M486">
        <v>3</v>
      </c>
      <c r="N486">
        <v>4</v>
      </c>
      <c r="O486">
        <v>2</v>
      </c>
      <c r="P486" t="s">
        <v>49</v>
      </c>
      <c r="Q486" t="s">
        <v>85</v>
      </c>
      <c r="R486">
        <v>2</v>
      </c>
      <c r="S486">
        <v>3</v>
      </c>
      <c r="T486" t="s">
        <v>36</v>
      </c>
      <c r="U486" t="s">
        <v>38</v>
      </c>
      <c r="V486" t="s">
        <v>86</v>
      </c>
      <c r="W486" s="2">
        <v>45610</v>
      </c>
      <c r="X486" s="4">
        <f ca="1">TODAY()-DATASET[[#This Row],[Time_of_Purchase]]</f>
        <v>524</v>
      </c>
      <c r="Y486" t="b">
        <v>0</v>
      </c>
      <c r="Z486" t="b">
        <v>1</v>
      </c>
      <c r="AA486" t="s">
        <v>62</v>
      </c>
      <c r="AB486" t="s">
        <v>53</v>
      </c>
      <c r="AC486">
        <v>8</v>
      </c>
    </row>
    <row r="487" spans="1:29" x14ac:dyDescent="0.25">
      <c r="A487" t="s">
        <v>1052</v>
      </c>
      <c r="B487">
        <v>44</v>
      </c>
      <c r="C487" t="s">
        <v>29</v>
      </c>
      <c r="D487" t="s">
        <v>44</v>
      </c>
      <c r="E487" t="s">
        <v>69</v>
      </c>
      <c r="F487" t="s">
        <v>32</v>
      </c>
      <c r="G487" t="s">
        <v>44</v>
      </c>
      <c r="H487" t="s">
        <v>1053</v>
      </c>
      <c r="I487" t="s">
        <v>246</v>
      </c>
      <c r="J487" s="1">
        <v>360.92</v>
      </c>
      <c r="K487">
        <v>7</v>
      </c>
      <c r="L487" t="s">
        <v>78</v>
      </c>
      <c r="M487">
        <v>2</v>
      </c>
      <c r="N487">
        <v>1</v>
      </c>
      <c r="O487">
        <v>2</v>
      </c>
      <c r="P487" t="s">
        <v>36</v>
      </c>
      <c r="Q487" t="s">
        <v>85</v>
      </c>
      <c r="R487">
        <v>0</v>
      </c>
      <c r="S487">
        <v>9</v>
      </c>
      <c r="T487" t="s">
        <v>59</v>
      </c>
      <c r="U487" t="s">
        <v>60</v>
      </c>
      <c r="V487" t="s">
        <v>51</v>
      </c>
      <c r="W487" s="2">
        <v>45606</v>
      </c>
      <c r="X487" s="4">
        <f ca="1">TODAY()-DATASET[[#This Row],[Time_of_Purchase]]</f>
        <v>528</v>
      </c>
      <c r="Y487" t="b">
        <v>0</v>
      </c>
      <c r="Z487" t="b">
        <v>1</v>
      </c>
      <c r="AA487" t="s">
        <v>62</v>
      </c>
      <c r="AB487" t="s">
        <v>53</v>
      </c>
      <c r="AC487">
        <v>8</v>
      </c>
    </row>
    <row r="488" spans="1:29" x14ac:dyDescent="0.25">
      <c r="A488" t="s">
        <v>1054</v>
      </c>
      <c r="B488">
        <v>38</v>
      </c>
      <c r="C488" t="s">
        <v>352</v>
      </c>
      <c r="D488" t="s">
        <v>30</v>
      </c>
      <c r="E488" t="s">
        <v>31</v>
      </c>
      <c r="F488" t="s">
        <v>56</v>
      </c>
      <c r="G488" t="s">
        <v>44</v>
      </c>
      <c r="H488" t="s">
        <v>1055</v>
      </c>
      <c r="I488" t="s">
        <v>158</v>
      </c>
      <c r="J488" s="1">
        <v>374.36</v>
      </c>
      <c r="K488">
        <v>4</v>
      </c>
      <c r="L488" t="s">
        <v>78</v>
      </c>
      <c r="M488">
        <v>2</v>
      </c>
      <c r="N488">
        <v>2</v>
      </c>
      <c r="O488">
        <v>0</v>
      </c>
      <c r="P488" t="s">
        <v>36</v>
      </c>
      <c r="Q488" t="s">
        <v>37</v>
      </c>
      <c r="R488">
        <v>1</v>
      </c>
      <c r="S488">
        <v>9</v>
      </c>
      <c r="T488" t="s">
        <v>36</v>
      </c>
      <c r="U488" t="s">
        <v>60</v>
      </c>
      <c r="V488" t="s">
        <v>66</v>
      </c>
      <c r="W488" s="2">
        <v>45568</v>
      </c>
      <c r="X488" s="4">
        <f ca="1">TODAY()-DATASET[[#This Row],[Time_of_Purchase]]</f>
        <v>566</v>
      </c>
      <c r="Y488" t="b">
        <v>0</v>
      </c>
      <c r="Z488" t="b">
        <v>0</v>
      </c>
      <c r="AA488" t="s">
        <v>52</v>
      </c>
      <c r="AB488" t="s">
        <v>53</v>
      </c>
      <c r="AC488">
        <v>1</v>
      </c>
    </row>
    <row r="489" spans="1:29" x14ac:dyDescent="0.25">
      <c r="A489" t="s">
        <v>1056</v>
      </c>
      <c r="B489">
        <v>22</v>
      </c>
      <c r="C489" t="s">
        <v>148</v>
      </c>
      <c r="D489" t="s">
        <v>44</v>
      </c>
      <c r="E489" t="s">
        <v>69</v>
      </c>
      <c r="F489" t="s">
        <v>45</v>
      </c>
      <c r="G489" t="s">
        <v>30</v>
      </c>
      <c r="H489" t="s">
        <v>1057</v>
      </c>
      <c r="I489" t="s">
        <v>123</v>
      </c>
      <c r="J489" s="1">
        <v>435.37</v>
      </c>
      <c r="K489">
        <v>11</v>
      </c>
      <c r="L489" t="s">
        <v>78</v>
      </c>
      <c r="M489">
        <v>4</v>
      </c>
      <c r="N489">
        <v>2</v>
      </c>
      <c r="O489">
        <v>1</v>
      </c>
      <c r="P489" t="s">
        <v>59</v>
      </c>
      <c r="Q489" t="s">
        <v>85</v>
      </c>
      <c r="R489">
        <v>0</v>
      </c>
      <c r="S489">
        <v>3</v>
      </c>
      <c r="T489" t="s">
        <v>44</v>
      </c>
      <c r="U489" t="s">
        <v>38</v>
      </c>
      <c r="V489" t="s">
        <v>39</v>
      </c>
      <c r="W489" s="2">
        <v>45534</v>
      </c>
      <c r="X489" s="4">
        <f ca="1">TODAY()-DATASET[[#This Row],[Time_of_Purchase]]</f>
        <v>600</v>
      </c>
      <c r="Y489" t="b">
        <v>1</v>
      </c>
      <c r="Z489" t="b">
        <v>1</v>
      </c>
      <c r="AA489" t="s">
        <v>74</v>
      </c>
      <c r="AB489" t="s">
        <v>53</v>
      </c>
      <c r="AC489">
        <v>4</v>
      </c>
    </row>
    <row r="490" spans="1:29" x14ac:dyDescent="0.25">
      <c r="A490" t="s">
        <v>1058</v>
      </c>
      <c r="B490">
        <v>44</v>
      </c>
      <c r="C490" t="s">
        <v>43</v>
      </c>
      <c r="D490" t="s">
        <v>44</v>
      </c>
      <c r="E490" t="s">
        <v>55</v>
      </c>
      <c r="F490" t="s">
        <v>56</v>
      </c>
      <c r="G490" t="s">
        <v>44</v>
      </c>
      <c r="H490" t="s">
        <v>1059</v>
      </c>
      <c r="I490" t="s">
        <v>65</v>
      </c>
      <c r="J490" s="1">
        <v>459.3</v>
      </c>
      <c r="K490">
        <v>9</v>
      </c>
      <c r="L490" t="s">
        <v>78</v>
      </c>
      <c r="M490">
        <v>4</v>
      </c>
      <c r="N490">
        <v>4</v>
      </c>
      <c r="O490">
        <v>1</v>
      </c>
      <c r="P490" t="s">
        <v>36</v>
      </c>
      <c r="Q490" t="s">
        <v>37</v>
      </c>
      <c r="R490">
        <v>2</v>
      </c>
      <c r="S490">
        <v>5</v>
      </c>
      <c r="T490" t="s">
        <v>49</v>
      </c>
      <c r="U490" t="s">
        <v>79</v>
      </c>
      <c r="V490" t="s">
        <v>66</v>
      </c>
      <c r="W490" s="2">
        <v>45574</v>
      </c>
      <c r="X490" s="4">
        <f ca="1">TODAY()-DATASET[[#This Row],[Time_of_Purchase]]</f>
        <v>560</v>
      </c>
      <c r="Y490" t="b">
        <v>0</v>
      </c>
      <c r="Z490" t="b">
        <v>1</v>
      </c>
      <c r="AA490" t="s">
        <v>74</v>
      </c>
      <c r="AB490" t="s">
        <v>41</v>
      </c>
      <c r="AC490">
        <v>1</v>
      </c>
    </row>
    <row r="491" spans="1:29" x14ac:dyDescent="0.25">
      <c r="A491" t="s">
        <v>1060</v>
      </c>
      <c r="B491">
        <v>43</v>
      </c>
      <c r="C491" t="s">
        <v>29</v>
      </c>
      <c r="D491" t="s">
        <v>44</v>
      </c>
      <c r="E491" t="s">
        <v>76</v>
      </c>
      <c r="F491" t="s">
        <v>56</v>
      </c>
      <c r="G491" t="s">
        <v>30</v>
      </c>
      <c r="H491" t="s">
        <v>1061</v>
      </c>
      <c r="I491" t="s">
        <v>246</v>
      </c>
      <c r="J491" s="1">
        <v>426.89</v>
      </c>
      <c r="K491">
        <v>2</v>
      </c>
      <c r="L491" t="s">
        <v>35</v>
      </c>
      <c r="M491">
        <v>5</v>
      </c>
      <c r="N491">
        <v>1</v>
      </c>
      <c r="O491">
        <v>1</v>
      </c>
      <c r="P491" t="s">
        <v>44</v>
      </c>
      <c r="Q491" t="s">
        <v>50</v>
      </c>
      <c r="R491">
        <v>1</v>
      </c>
      <c r="S491">
        <v>3</v>
      </c>
      <c r="T491" t="s">
        <v>59</v>
      </c>
      <c r="U491" t="s">
        <v>60</v>
      </c>
      <c r="V491" t="s">
        <v>51</v>
      </c>
      <c r="W491" s="2">
        <v>45598</v>
      </c>
      <c r="X491" s="4">
        <f ca="1">TODAY()-DATASET[[#This Row],[Time_of_Purchase]]</f>
        <v>536</v>
      </c>
      <c r="Y491" t="b">
        <v>1</v>
      </c>
      <c r="Z491" t="b">
        <v>0</v>
      </c>
      <c r="AA491" t="s">
        <v>52</v>
      </c>
      <c r="AB491" t="s">
        <v>67</v>
      </c>
      <c r="AC491">
        <v>10</v>
      </c>
    </row>
    <row r="492" spans="1:29" x14ac:dyDescent="0.25">
      <c r="A492" t="s">
        <v>1062</v>
      </c>
      <c r="B492">
        <v>25</v>
      </c>
      <c r="C492" t="s">
        <v>43</v>
      </c>
      <c r="D492" t="s">
        <v>30</v>
      </c>
      <c r="E492" t="s">
        <v>76</v>
      </c>
      <c r="F492" t="s">
        <v>56</v>
      </c>
      <c r="G492" t="s">
        <v>44</v>
      </c>
      <c r="H492" t="s">
        <v>1063</v>
      </c>
      <c r="I492" t="s">
        <v>101</v>
      </c>
      <c r="J492" s="1">
        <v>365.37</v>
      </c>
      <c r="K492">
        <v>6</v>
      </c>
      <c r="L492" t="s">
        <v>35</v>
      </c>
      <c r="M492">
        <v>1</v>
      </c>
      <c r="N492">
        <v>2</v>
      </c>
      <c r="O492">
        <v>1</v>
      </c>
      <c r="P492" t="s">
        <v>59</v>
      </c>
      <c r="Q492" t="s">
        <v>85</v>
      </c>
      <c r="R492">
        <v>1</v>
      </c>
      <c r="S492">
        <v>5</v>
      </c>
      <c r="T492" t="s">
        <v>59</v>
      </c>
      <c r="U492" t="s">
        <v>60</v>
      </c>
      <c r="V492" t="s">
        <v>51</v>
      </c>
      <c r="W492" s="2">
        <v>45475</v>
      </c>
      <c r="X492" s="4">
        <f ca="1">TODAY()-DATASET[[#This Row],[Time_of_Purchase]]</f>
        <v>659</v>
      </c>
      <c r="Y492" t="b">
        <v>1</v>
      </c>
      <c r="Z492" t="b">
        <v>1</v>
      </c>
      <c r="AA492" t="s">
        <v>52</v>
      </c>
      <c r="AB492" t="s">
        <v>67</v>
      </c>
      <c r="AC492">
        <v>7</v>
      </c>
    </row>
    <row r="493" spans="1:29" x14ac:dyDescent="0.25">
      <c r="A493" t="s">
        <v>1064</v>
      </c>
      <c r="B493">
        <v>21</v>
      </c>
      <c r="C493" t="s">
        <v>29</v>
      </c>
      <c r="D493" t="s">
        <v>30</v>
      </c>
      <c r="E493" t="s">
        <v>76</v>
      </c>
      <c r="F493" t="s">
        <v>56</v>
      </c>
      <c r="G493" t="s">
        <v>44</v>
      </c>
      <c r="H493" t="s">
        <v>1065</v>
      </c>
      <c r="I493" t="s">
        <v>93</v>
      </c>
      <c r="J493" s="1">
        <v>487.25</v>
      </c>
      <c r="K493">
        <v>4</v>
      </c>
      <c r="L493" t="s">
        <v>78</v>
      </c>
      <c r="M493">
        <v>3</v>
      </c>
      <c r="N493">
        <v>2</v>
      </c>
      <c r="O493">
        <v>1</v>
      </c>
      <c r="P493" t="s">
        <v>44</v>
      </c>
      <c r="Q493" t="s">
        <v>85</v>
      </c>
      <c r="R493">
        <v>0</v>
      </c>
      <c r="S493">
        <v>4</v>
      </c>
      <c r="T493" t="s">
        <v>44</v>
      </c>
      <c r="U493" t="s">
        <v>79</v>
      </c>
      <c r="V493" t="s">
        <v>86</v>
      </c>
      <c r="W493" s="2">
        <v>45573</v>
      </c>
      <c r="X493" s="4">
        <f ca="1">TODAY()-DATASET[[#This Row],[Time_of_Purchase]]</f>
        <v>561</v>
      </c>
      <c r="Y493" t="b">
        <v>0</v>
      </c>
      <c r="Z493" t="b">
        <v>0</v>
      </c>
      <c r="AA493" t="s">
        <v>52</v>
      </c>
      <c r="AB493" t="s">
        <v>53</v>
      </c>
      <c r="AC493">
        <v>1</v>
      </c>
    </row>
    <row r="494" spans="1:29" x14ac:dyDescent="0.25">
      <c r="A494" t="s">
        <v>1066</v>
      </c>
      <c r="B494">
        <v>29</v>
      </c>
      <c r="C494" t="s">
        <v>29</v>
      </c>
      <c r="D494" t="s">
        <v>30</v>
      </c>
      <c r="E494" t="s">
        <v>31</v>
      </c>
      <c r="F494" t="s">
        <v>45</v>
      </c>
      <c r="G494" t="s">
        <v>44</v>
      </c>
      <c r="H494" t="s">
        <v>1067</v>
      </c>
      <c r="I494" t="s">
        <v>123</v>
      </c>
      <c r="J494" s="1">
        <v>187.22</v>
      </c>
      <c r="K494">
        <v>10</v>
      </c>
      <c r="L494" t="s">
        <v>78</v>
      </c>
      <c r="M494">
        <v>5</v>
      </c>
      <c r="N494">
        <v>3</v>
      </c>
      <c r="O494">
        <v>0</v>
      </c>
      <c r="P494" t="s">
        <v>49</v>
      </c>
      <c r="Q494" t="s">
        <v>85</v>
      </c>
      <c r="R494">
        <v>1</v>
      </c>
      <c r="S494">
        <v>4</v>
      </c>
      <c r="T494" t="s">
        <v>59</v>
      </c>
      <c r="U494" t="s">
        <v>79</v>
      </c>
      <c r="V494" t="s">
        <v>39</v>
      </c>
      <c r="W494" s="2">
        <v>45447</v>
      </c>
      <c r="X494" s="4">
        <f ca="1">TODAY()-DATASET[[#This Row],[Time_of_Purchase]]</f>
        <v>687</v>
      </c>
      <c r="Y494" t="b">
        <v>0</v>
      </c>
      <c r="Z494" t="b">
        <v>0</v>
      </c>
      <c r="AA494" t="s">
        <v>52</v>
      </c>
      <c r="AB494" t="s">
        <v>53</v>
      </c>
      <c r="AC494">
        <v>4</v>
      </c>
    </row>
    <row r="495" spans="1:29" x14ac:dyDescent="0.25">
      <c r="A495" t="s">
        <v>1068</v>
      </c>
      <c r="B495">
        <v>41</v>
      </c>
      <c r="C495" t="s">
        <v>43</v>
      </c>
      <c r="D495" t="s">
        <v>44</v>
      </c>
      <c r="E495" t="s">
        <v>76</v>
      </c>
      <c r="F495" t="s">
        <v>56</v>
      </c>
      <c r="G495" t="s">
        <v>44</v>
      </c>
      <c r="H495" t="s">
        <v>1069</v>
      </c>
      <c r="I495" t="s">
        <v>126</v>
      </c>
      <c r="J495" s="1">
        <v>396.82</v>
      </c>
      <c r="K495">
        <v>7</v>
      </c>
      <c r="L495" t="s">
        <v>35</v>
      </c>
      <c r="M495">
        <v>3</v>
      </c>
      <c r="N495">
        <v>4</v>
      </c>
      <c r="O495">
        <v>1</v>
      </c>
      <c r="P495" t="s">
        <v>36</v>
      </c>
      <c r="Q495" t="s">
        <v>37</v>
      </c>
      <c r="R495">
        <v>1</v>
      </c>
      <c r="S495">
        <v>9</v>
      </c>
      <c r="T495" t="s">
        <v>44</v>
      </c>
      <c r="U495" t="s">
        <v>79</v>
      </c>
      <c r="V495" t="s">
        <v>39</v>
      </c>
      <c r="W495" s="2">
        <v>45517</v>
      </c>
      <c r="X495" s="4">
        <f ca="1">TODAY()-DATASET[[#This Row],[Time_of_Purchase]]</f>
        <v>617</v>
      </c>
      <c r="Y495" t="b">
        <v>1</v>
      </c>
      <c r="Z495" t="b">
        <v>1</v>
      </c>
      <c r="AA495" t="s">
        <v>40</v>
      </c>
      <c r="AB495" t="s">
        <v>41</v>
      </c>
      <c r="AC495">
        <v>9</v>
      </c>
    </row>
    <row r="496" spans="1:29" x14ac:dyDescent="0.25">
      <c r="A496" t="s">
        <v>1070</v>
      </c>
      <c r="B496">
        <v>38</v>
      </c>
      <c r="C496" t="s">
        <v>148</v>
      </c>
      <c r="D496" t="s">
        <v>44</v>
      </c>
      <c r="E496" t="s">
        <v>76</v>
      </c>
      <c r="F496" t="s">
        <v>56</v>
      </c>
      <c r="G496" t="s">
        <v>44</v>
      </c>
      <c r="H496" t="s">
        <v>1071</v>
      </c>
      <c r="I496" t="s">
        <v>194</v>
      </c>
      <c r="J496" s="1">
        <v>246.74</v>
      </c>
      <c r="K496">
        <v>10</v>
      </c>
      <c r="L496" t="s">
        <v>78</v>
      </c>
      <c r="M496">
        <v>2</v>
      </c>
      <c r="N496">
        <v>3</v>
      </c>
      <c r="O496">
        <v>0</v>
      </c>
      <c r="P496" t="s">
        <v>49</v>
      </c>
      <c r="Q496" t="s">
        <v>50</v>
      </c>
      <c r="R496">
        <v>1</v>
      </c>
      <c r="S496">
        <v>6</v>
      </c>
      <c r="T496" t="s">
        <v>44</v>
      </c>
      <c r="U496" t="s">
        <v>79</v>
      </c>
      <c r="V496" t="s">
        <v>51</v>
      </c>
      <c r="W496" s="2">
        <v>45378</v>
      </c>
      <c r="X496" s="4">
        <f ca="1">TODAY()-DATASET[[#This Row],[Time_of_Purchase]]</f>
        <v>756</v>
      </c>
      <c r="Y496" t="b">
        <v>0</v>
      </c>
      <c r="Z496" t="b">
        <v>0</v>
      </c>
      <c r="AA496" t="s">
        <v>40</v>
      </c>
      <c r="AB496" t="s">
        <v>67</v>
      </c>
      <c r="AC496">
        <v>8</v>
      </c>
    </row>
    <row r="497" spans="1:29" x14ac:dyDescent="0.25">
      <c r="A497" t="s">
        <v>1072</v>
      </c>
      <c r="B497">
        <v>26</v>
      </c>
      <c r="C497" t="s">
        <v>43</v>
      </c>
      <c r="D497" t="s">
        <v>44</v>
      </c>
      <c r="E497" t="s">
        <v>69</v>
      </c>
      <c r="F497" t="s">
        <v>32</v>
      </c>
      <c r="G497" t="s">
        <v>44</v>
      </c>
      <c r="H497" t="s">
        <v>1073</v>
      </c>
      <c r="I497" t="s">
        <v>98</v>
      </c>
      <c r="J497" s="1">
        <v>128.74</v>
      </c>
      <c r="K497">
        <v>12</v>
      </c>
      <c r="L497" t="s">
        <v>35</v>
      </c>
      <c r="M497">
        <v>5</v>
      </c>
      <c r="N497">
        <v>1</v>
      </c>
      <c r="O497">
        <v>1</v>
      </c>
      <c r="P497" t="s">
        <v>49</v>
      </c>
      <c r="Q497" t="s">
        <v>37</v>
      </c>
      <c r="R497">
        <v>1</v>
      </c>
      <c r="S497">
        <v>8</v>
      </c>
      <c r="T497" t="s">
        <v>44</v>
      </c>
      <c r="U497" t="s">
        <v>79</v>
      </c>
      <c r="V497" t="s">
        <v>51</v>
      </c>
      <c r="W497" s="2">
        <v>45297</v>
      </c>
      <c r="X497" s="4">
        <f ca="1">TODAY()-DATASET[[#This Row],[Time_of_Purchase]]</f>
        <v>837</v>
      </c>
      <c r="Y497" t="b">
        <v>0</v>
      </c>
      <c r="Z497" t="b">
        <v>1</v>
      </c>
      <c r="AA497" t="s">
        <v>74</v>
      </c>
      <c r="AB497" t="s">
        <v>53</v>
      </c>
      <c r="AC497">
        <v>1</v>
      </c>
    </row>
    <row r="498" spans="1:29" x14ac:dyDescent="0.25">
      <c r="A498" t="s">
        <v>1074</v>
      </c>
      <c r="B498">
        <v>41</v>
      </c>
      <c r="C498" t="s">
        <v>29</v>
      </c>
      <c r="D498" t="s">
        <v>30</v>
      </c>
      <c r="E498" t="s">
        <v>69</v>
      </c>
      <c r="F498" t="s">
        <v>56</v>
      </c>
      <c r="G498" t="s">
        <v>30</v>
      </c>
      <c r="H498" t="s">
        <v>1075</v>
      </c>
      <c r="I498" t="s">
        <v>126</v>
      </c>
      <c r="J498" s="1">
        <v>339.63</v>
      </c>
      <c r="K498">
        <v>2</v>
      </c>
      <c r="L498" t="s">
        <v>48</v>
      </c>
      <c r="M498">
        <v>3</v>
      </c>
      <c r="N498">
        <v>3</v>
      </c>
      <c r="O498">
        <v>2</v>
      </c>
      <c r="P498" t="s">
        <v>49</v>
      </c>
      <c r="Q498" t="s">
        <v>85</v>
      </c>
      <c r="R498">
        <v>2</v>
      </c>
      <c r="S498">
        <v>1</v>
      </c>
      <c r="T498" t="s">
        <v>59</v>
      </c>
      <c r="U498" t="s">
        <v>38</v>
      </c>
      <c r="V498" t="s">
        <v>51</v>
      </c>
      <c r="W498" s="2">
        <v>45530</v>
      </c>
      <c r="X498" s="4">
        <f ca="1">TODAY()-DATASET[[#This Row],[Time_of_Purchase]]</f>
        <v>604</v>
      </c>
      <c r="Y498" t="b">
        <v>1</v>
      </c>
      <c r="Z498" t="b">
        <v>0</v>
      </c>
      <c r="AA498" t="s">
        <v>62</v>
      </c>
      <c r="AB498" t="s">
        <v>41</v>
      </c>
      <c r="AC498">
        <v>6</v>
      </c>
    </row>
    <row r="499" spans="1:29" x14ac:dyDescent="0.25">
      <c r="A499" t="s">
        <v>1076</v>
      </c>
      <c r="B499">
        <v>46</v>
      </c>
      <c r="C499" t="s">
        <v>29</v>
      </c>
      <c r="D499" t="s">
        <v>44</v>
      </c>
      <c r="E499" t="s">
        <v>55</v>
      </c>
      <c r="F499" t="s">
        <v>32</v>
      </c>
      <c r="G499" t="s">
        <v>44</v>
      </c>
      <c r="H499" t="s">
        <v>1077</v>
      </c>
      <c r="I499" t="s">
        <v>90</v>
      </c>
      <c r="J499" s="1">
        <v>223.58</v>
      </c>
      <c r="K499">
        <v>11</v>
      </c>
      <c r="L499" t="s">
        <v>35</v>
      </c>
      <c r="M499">
        <v>4</v>
      </c>
      <c r="N499">
        <v>3</v>
      </c>
      <c r="O499">
        <v>0</v>
      </c>
      <c r="P499" t="s">
        <v>44</v>
      </c>
      <c r="Q499" t="s">
        <v>85</v>
      </c>
      <c r="R499">
        <v>0</v>
      </c>
      <c r="S499">
        <v>6</v>
      </c>
      <c r="T499" t="s">
        <v>36</v>
      </c>
      <c r="U499" t="s">
        <v>38</v>
      </c>
      <c r="V499" t="s">
        <v>51</v>
      </c>
      <c r="W499" s="2">
        <v>45432</v>
      </c>
      <c r="X499" s="4">
        <f ca="1">TODAY()-DATASET[[#This Row],[Time_of_Purchase]]</f>
        <v>702</v>
      </c>
      <c r="Y499" t="b">
        <v>0</v>
      </c>
      <c r="Z499" t="b">
        <v>0</v>
      </c>
      <c r="AA499" t="s">
        <v>62</v>
      </c>
      <c r="AB499" t="s">
        <v>41</v>
      </c>
      <c r="AC499">
        <v>11</v>
      </c>
    </row>
    <row r="500" spans="1:29" x14ac:dyDescent="0.25">
      <c r="A500" t="s">
        <v>1078</v>
      </c>
      <c r="B500">
        <v>39</v>
      </c>
      <c r="C500" t="s">
        <v>352</v>
      </c>
      <c r="D500" t="s">
        <v>44</v>
      </c>
      <c r="E500" t="s">
        <v>69</v>
      </c>
      <c r="F500" t="s">
        <v>32</v>
      </c>
      <c r="G500" t="s">
        <v>30</v>
      </c>
      <c r="H500" t="s">
        <v>1079</v>
      </c>
      <c r="I500" t="s">
        <v>34</v>
      </c>
      <c r="J500" s="1">
        <v>446.92</v>
      </c>
      <c r="K500">
        <v>5</v>
      </c>
      <c r="L500" t="s">
        <v>35</v>
      </c>
      <c r="M500">
        <v>1</v>
      </c>
      <c r="N500">
        <v>1</v>
      </c>
      <c r="O500">
        <v>1</v>
      </c>
      <c r="P500" t="s">
        <v>49</v>
      </c>
      <c r="Q500" t="s">
        <v>85</v>
      </c>
      <c r="R500">
        <v>2</v>
      </c>
      <c r="S500">
        <v>6</v>
      </c>
      <c r="T500" t="s">
        <v>36</v>
      </c>
      <c r="U500" t="s">
        <v>60</v>
      </c>
      <c r="V500" t="s">
        <v>51</v>
      </c>
      <c r="W500" s="2">
        <v>45492</v>
      </c>
      <c r="X500" s="4">
        <f ca="1">TODAY()-DATASET[[#This Row],[Time_of_Purchase]]</f>
        <v>642</v>
      </c>
      <c r="Y500" t="b">
        <v>1</v>
      </c>
      <c r="Z500" t="b">
        <v>0</v>
      </c>
      <c r="AA500" t="s">
        <v>74</v>
      </c>
      <c r="AB500" t="s">
        <v>67</v>
      </c>
      <c r="AC500">
        <v>10</v>
      </c>
    </row>
    <row r="501" spans="1:29" x14ac:dyDescent="0.25">
      <c r="A501" t="s">
        <v>1080</v>
      </c>
      <c r="B501">
        <v>43</v>
      </c>
      <c r="C501" t="s">
        <v>43</v>
      </c>
      <c r="D501" t="s">
        <v>30</v>
      </c>
      <c r="E501" t="s">
        <v>76</v>
      </c>
      <c r="F501" t="s">
        <v>32</v>
      </c>
      <c r="G501" t="s">
        <v>30</v>
      </c>
      <c r="H501" t="s">
        <v>1081</v>
      </c>
      <c r="I501" t="s">
        <v>117</v>
      </c>
      <c r="J501" s="1">
        <v>175.65</v>
      </c>
      <c r="K501">
        <v>11</v>
      </c>
      <c r="L501" t="s">
        <v>35</v>
      </c>
      <c r="M501">
        <v>4</v>
      </c>
      <c r="N501">
        <v>3</v>
      </c>
      <c r="O501">
        <v>2</v>
      </c>
      <c r="P501" t="s">
        <v>59</v>
      </c>
      <c r="Q501" t="s">
        <v>50</v>
      </c>
      <c r="R501">
        <v>1</v>
      </c>
      <c r="S501">
        <v>7</v>
      </c>
      <c r="T501" t="s">
        <v>36</v>
      </c>
      <c r="U501" t="s">
        <v>38</v>
      </c>
      <c r="V501" t="s">
        <v>66</v>
      </c>
      <c r="W501" s="2">
        <v>45634</v>
      </c>
      <c r="X501" s="4">
        <f ca="1">TODAY()-DATASET[[#This Row],[Time_of_Purchase]]</f>
        <v>500</v>
      </c>
      <c r="Y501" t="b">
        <v>0</v>
      </c>
      <c r="Z501" t="b">
        <v>1</v>
      </c>
      <c r="AA501" t="s">
        <v>52</v>
      </c>
      <c r="AB501" t="s">
        <v>67</v>
      </c>
      <c r="AC501">
        <v>8</v>
      </c>
    </row>
    <row r="502" spans="1:29" x14ac:dyDescent="0.25">
      <c r="A502" t="s">
        <v>1082</v>
      </c>
      <c r="B502">
        <v>44</v>
      </c>
      <c r="C502" t="s">
        <v>148</v>
      </c>
      <c r="D502" t="s">
        <v>30</v>
      </c>
      <c r="E502" t="s">
        <v>31</v>
      </c>
      <c r="F502" t="s">
        <v>32</v>
      </c>
      <c r="G502" t="s">
        <v>30</v>
      </c>
      <c r="H502" t="s">
        <v>1083</v>
      </c>
      <c r="I502" t="s">
        <v>183</v>
      </c>
      <c r="J502" s="1">
        <v>491.49</v>
      </c>
      <c r="K502">
        <v>10</v>
      </c>
      <c r="L502" t="s">
        <v>35</v>
      </c>
      <c r="M502">
        <v>1</v>
      </c>
      <c r="N502">
        <v>1</v>
      </c>
      <c r="O502">
        <v>0</v>
      </c>
      <c r="P502" t="s">
        <v>59</v>
      </c>
      <c r="Q502" t="s">
        <v>37</v>
      </c>
      <c r="R502">
        <v>2</v>
      </c>
      <c r="S502">
        <v>7</v>
      </c>
      <c r="T502" t="s">
        <v>36</v>
      </c>
      <c r="U502" t="s">
        <v>79</v>
      </c>
      <c r="V502" t="s">
        <v>51</v>
      </c>
      <c r="W502" s="2">
        <v>45440</v>
      </c>
      <c r="X502" s="4">
        <f ca="1">TODAY()-DATASET[[#This Row],[Time_of_Purchase]]</f>
        <v>694</v>
      </c>
      <c r="Y502" t="b">
        <v>0</v>
      </c>
      <c r="Z502" t="b">
        <v>0</v>
      </c>
      <c r="AA502" t="s">
        <v>74</v>
      </c>
      <c r="AB502" t="s">
        <v>53</v>
      </c>
      <c r="AC502">
        <v>1</v>
      </c>
    </row>
    <row r="503" spans="1:29" x14ac:dyDescent="0.25">
      <c r="A503" t="s">
        <v>1084</v>
      </c>
      <c r="B503">
        <v>26</v>
      </c>
      <c r="C503" t="s">
        <v>43</v>
      </c>
      <c r="D503" t="s">
        <v>30</v>
      </c>
      <c r="E503" t="s">
        <v>69</v>
      </c>
      <c r="F503" t="s">
        <v>32</v>
      </c>
      <c r="G503" t="s">
        <v>30</v>
      </c>
      <c r="H503" t="s">
        <v>1085</v>
      </c>
      <c r="I503" t="s">
        <v>188</v>
      </c>
      <c r="J503" s="1">
        <v>88.4</v>
      </c>
      <c r="K503">
        <v>5</v>
      </c>
      <c r="L503" t="s">
        <v>48</v>
      </c>
      <c r="M503">
        <v>5</v>
      </c>
      <c r="N503">
        <v>2</v>
      </c>
      <c r="O503">
        <v>0</v>
      </c>
      <c r="P503" t="s">
        <v>49</v>
      </c>
      <c r="Q503" t="s">
        <v>50</v>
      </c>
      <c r="R503">
        <v>0</v>
      </c>
      <c r="S503">
        <v>4</v>
      </c>
      <c r="T503" t="s">
        <v>49</v>
      </c>
      <c r="U503" t="s">
        <v>79</v>
      </c>
      <c r="V503" t="s">
        <v>86</v>
      </c>
      <c r="W503" s="2">
        <v>45438</v>
      </c>
      <c r="X503" s="4">
        <f ca="1">TODAY()-DATASET[[#This Row],[Time_of_Purchase]]</f>
        <v>696</v>
      </c>
      <c r="Y503" t="b">
        <v>1</v>
      </c>
      <c r="Z503" t="b">
        <v>0</v>
      </c>
      <c r="AA503" t="s">
        <v>40</v>
      </c>
      <c r="AB503" t="s">
        <v>41</v>
      </c>
      <c r="AC503">
        <v>4</v>
      </c>
    </row>
    <row r="504" spans="1:29" x14ac:dyDescent="0.25">
      <c r="A504" t="s">
        <v>1086</v>
      </c>
      <c r="B504">
        <v>29</v>
      </c>
      <c r="C504" t="s">
        <v>43</v>
      </c>
      <c r="D504" t="s">
        <v>30</v>
      </c>
      <c r="E504" t="s">
        <v>69</v>
      </c>
      <c r="F504" t="s">
        <v>56</v>
      </c>
      <c r="G504" t="s">
        <v>44</v>
      </c>
      <c r="H504" t="s">
        <v>1087</v>
      </c>
      <c r="I504" t="s">
        <v>58</v>
      </c>
      <c r="J504" s="1">
        <v>430.9</v>
      </c>
      <c r="K504">
        <v>8</v>
      </c>
      <c r="L504" t="s">
        <v>78</v>
      </c>
      <c r="M504">
        <v>4</v>
      </c>
      <c r="N504">
        <v>5</v>
      </c>
      <c r="O504">
        <v>1</v>
      </c>
      <c r="P504" t="s">
        <v>44</v>
      </c>
      <c r="Q504" t="s">
        <v>50</v>
      </c>
      <c r="R504">
        <v>0</v>
      </c>
      <c r="S504">
        <v>6</v>
      </c>
      <c r="T504" t="s">
        <v>36</v>
      </c>
      <c r="U504" t="s">
        <v>38</v>
      </c>
      <c r="V504" t="s">
        <v>39</v>
      </c>
      <c r="W504" s="2">
        <v>45449</v>
      </c>
      <c r="X504" s="4">
        <f ca="1">TODAY()-DATASET[[#This Row],[Time_of_Purchase]]</f>
        <v>685</v>
      </c>
      <c r="Y504" t="b">
        <v>0</v>
      </c>
      <c r="Z504" t="b">
        <v>0</v>
      </c>
      <c r="AA504" t="s">
        <v>52</v>
      </c>
      <c r="AB504" t="s">
        <v>53</v>
      </c>
      <c r="AC504">
        <v>11</v>
      </c>
    </row>
    <row r="505" spans="1:29" x14ac:dyDescent="0.25">
      <c r="A505" t="s">
        <v>1088</v>
      </c>
      <c r="B505">
        <v>50</v>
      </c>
      <c r="C505" t="s">
        <v>43</v>
      </c>
      <c r="D505" t="s">
        <v>44</v>
      </c>
      <c r="E505" t="s">
        <v>69</v>
      </c>
      <c r="F505" t="s">
        <v>45</v>
      </c>
      <c r="G505" t="s">
        <v>44</v>
      </c>
      <c r="H505" t="s">
        <v>1089</v>
      </c>
      <c r="I505" t="s">
        <v>93</v>
      </c>
      <c r="J505" s="1">
        <v>435.23</v>
      </c>
      <c r="K505">
        <v>2</v>
      </c>
      <c r="L505" t="s">
        <v>48</v>
      </c>
      <c r="M505">
        <v>2</v>
      </c>
      <c r="N505">
        <v>4</v>
      </c>
      <c r="O505">
        <v>0</v>
      </c>
      <c r="P505" t="s">
        <v>36</v>
      </c>
      <c r="Q505" t="s">
        <v>37</v>
      </c>
      <c r="R505">
        <v>2</v>
      </c>
      <c r="S505">
        <v>2</v>
      </c>
      <c r="T505" t="s">
        <v>49</v>
      </c>
      <c r="U505" t="s">
        <v>60</v>
      </c>
      <c r="V505" t="s">
        <v>86</v>
      </c>
      <c r="W505" s="2">
        <v>45349</v>
      </c>
      <c r="X505" s="4">
        <f ca="1">TODAY()-DATASET[[#This Row],[Time_of_Purchase]]</f>
        <v>785</v>
      </c>
      <c r="Y505" t="b">
        <v>0</v>
      </c>
      <c r="Z505" t="b">
        <v>1</v>
      </c>
      <c r="AA505" t="s">
        <v>62</v>
      </c>
      <c r="AB505" t="s">
        <v>67</v>
      </c>
      <c r="AC505">
        <v>13</v>
      </c>
    </row>
    <row r="506" spans="1:29" x14ac:dyDescent="0.25">
      <c r="A506" t="s">
        <v>1090</v>
      </c>
      <c r="B506">
        <v>19</v>
      </c>
      <c r="C506" t="s">
        <v>29</v>
      </c>
      <c r="D506" t="s">
        <v>44</v>
      </c>
      <c r="E506" t="s">
        <v>76</v>
      </c>
      <c r="F506" t="s">
        <v>56</v>
      </c>
      <c r="G506" t="s">
        <v>30</v>
      </c>
      <c r="H506" t="s">
        <v>1091</v>
      </c>
      <c r="I506" t="s">
        <v>126</v>
      </c>
      <c r="J506" s="1">
        <v>218.65</v>
      </c>
      <c r="K506">
        <v>3</v>
      </c>
      <c r="L506" t="s">
        <v>78</v>
      </c>
      <c r="M506">
        <v>4</v>
      </c>
      <c r="N506">
        <v>2</v>
      </c>
      <c r="O506">
        <v>2</v>
      </c>
      <c r="P506" t="s">
        <v>59</v>
      </c>
      <c r="Q506" t="s">
        <v>85</v>
      </c>
      <c r="R506">
        <v>0</v>
      </c>
      <c r="S506">
        <v>9</v>
      </c>
      <c r="T506" t="s">
        <v>49</v>
      </c>
      <c r="U506" t="s">
        <v>60</v>
      </c>
      <c r="V506" t="s">
        <v>39</v>
      </c>
      <c r="W506" s="2">
        <v>45490</v>
      </c>
      <c r="X506" s="4">
        <f ca="1">TODAY()-DATASET[[#This Row],[Time_of_Purchase]]</f>
        <v>644</v>
      </c>
      <c r="Y506" t="b">
        <v>1</v>
      </c>
      <c r="Z506" t="b">
        <v>1</v>
      </c>
      <c r="AA506" t="s">
        <v>62</v>
      </c>
      <c r="AB506" t="s">
        <v>53</v>
      </c>
      <c r="AC506">
        <v>4</v>
      </c>
    </row>
    <row r="507" spans="1:29" x14ac:dyDescent="0.25">
      <c r="A507" t="s">
        <v>1092</v>
      </c>
      <c r="B507">
        <v>27</v>
      </c>
      <c r="C507" t="s">
        <v>43</v>
      </c>
      <c r="D507" t="s">
        <v>44</v>
      </c>
      <c r="E507" t="s">
        <v>69</v>
      </c>
      <c r="F507" t="s">
        <v>45</v>
      </c>
      <c r="G507" t="s">
        <v>30</v>
      </c>
      <c r="H507" t="s">
        <v>1093</v>
      </c>
      <c r="I507" t="s">
        <v>142</v>
      </c>
      <c r="J507" s="1">
        <v>207.66</v>
      </c>
      <c r="K507">
        <v>10</v>
      </c>
      <c r="L507" t="s">
        <v>48</v>
      </c>
      <c r="M507">
        <v>2</v>
      </c>
      <c r="N507">
        <v>3</v>
      </c>
      <c r="O507">
        <v>1</v>
      </c>
      <c r="P507" t="s">
        <v>44</v>
      </c>
      <c r="Q507" t="s">
        <v>85</v>
      </c>
      <c r="R507">
        <v>2</v>
      </c>
      <c r="S507">
        <v>2</v>
      </c>
      <c r="T507" t="s">
        <v>49</v>
      </c>
      <c r="U507" t="s">
        <v>79</v>
      </c>
      <c r="V507" t="s">
        <v>66</v>
      </c>
      <c r="W507" s="2">
        <v>45481</v>
      </c>
      <c r="X507" s="4">
        <f ca="1">TODAY()-DATASET[[#This Row],[Time_of_Purchase]]</f>
        <v>653</v>
      </c>
      <c r="Y507" t="b">
        <v>0</v>
      </c>
      <c r="Z507" t="b">
        <v>1</v>
      </c>
      <c r="AA507" t="s">
        <v>52</v>
      </c>
      <c r="AB507" t="s">
        <v>53</v>
      </c>
      <c r="AC507">
        <v>8</v>
      </c>
    </row>
    <row r="508" spans="1:29" x14ac:dyDescent="0.25">
      <c r="A508" t="s">
        <v>1094</v>
      </c>
      <c r="B508">
        <v>34</v>
      </c>
      <c r="C508" t="s">
        <v>29</v>
      </c>
      <c r="D508" t="s">
        <v>44</v>
      </c>
      <c r="E508" t="s">
        <v>31</v>
      </c>
      <c r="F508" t="s">
        <v>45</v>
      </c>
      <c r="G508" t="s">
        <v>44</v>
      </c>
      <c r="H508" t="s">
        <v>1095</v>
      </c>
      <c r="I508" t="s">
        <v>135</v>
      </c>
      <c r="J508" s="1">
        <v>141.09</v>
      </c>
      <c r="K508">
        <v>7</v>
      </c>
      <c r="L508" t="s">
        <v>48</v>
      </c>
      <c r="M508">
        <v>3</v>
      </c>
      <c r="N508">
        <v>4</v>
      </c>
      <c r="O508">
        <v>0</v>
      </c>
      <c r="P508" t="s">
        <v>44</v>
      </c>
      <c r="Q508" t="s">
        <v>85</v>
      </c>
      <c r="R508">
        <v>2</v>
      </c>
      <c r="S508">
        <v>3</v>
      </c>
      <c r="T508" t="s">
        <v>44</v>
      </c>
      <c r="U508" t="s">
        <v>79</v>
      </c>
      <c r="V508" t="s">
        <v>61</v>
      </c>
      <c r="W508" s="2">
        <v>45462</v>
      </c>
      <c r="X508" s="4">
        <f ca="1">TODAY()-DATASET[[#This Row],[Time_of_Purchase]]</f>
        <v>672</v>
      </c>
      <c r="Y508" t="b">
        <v>0</v>
      </c>
      <c r="Z508" t="b">
        <v>1</v>
      </c>
      <c r="AA508" t="s">
        <v>52</v>
      </c>
      <c r="AB508" t="s">
        <v>67</v>
      </c>
      <c r="AC508">
        <v>1</v>
      </c>
    </row>
    <row r="509" spans="1:29" x14ac:dyDescent="0.25">
      <c r="A509" t="s">
        <v>1096</v>
      </c>
      <c r="B509">
        <v>39</v>
      </c>
      <c r="C509" t="s">
        <v>43</v>
      </c>
      <c r="D509" t="s">
        <v>44</v>
      </c>
      <c r="E509" t="s">
        <v>76</v>
      </c>
      <c r="F509" t="s">
        <v>32</v>
      </c>
      <c r="G509" t="s">
        <v>30</v>
      </c>
      <c r="H509" t="s">
        <v>1097</v>
      </c>
      <c r="I509" t="s">
        <v>114</v>
      </c>
      <c r="J509" s="1">
        <v>142.69999999999999</v>
      </c>
      <c r="K509">
        <v>6</v>
      </c>
      <c r="L509" t="s">
        <v>48</v>
      </c>
      <c r="M509">
        <v>3</v>
      </c>
      <c r="N509">
        <v>2</v>
      </c>
      <c r="O509">
        <v>1</v>
      </c>
      <c r="P509" t="s">
        <v>36</v>
      </c>
      <c r="Q509" t="s">
        <v>85</v>
      </c>
      <c r="R509">
        <v>0</v>
      </c>
      <c r="S509">
        <v>4</v>
      </c>
      <c r="T509" t="s">
        <v>36</v>
      </c>
      <c r="U509" t="s">
        <v>79</v>
      </c>
      <c r="V509" t="s">
        <v>39</v>
      </c>
      <c r="W509" s="2">
        <v>45429</v>
      </c>
      <c r="X509" s="4">
        <f ca="1">TODAY()-DATASET[[#This Row],[Time_of_Purchase]]</f>
        <v>705</v>
      </c>
      <c r="Y509" t="b">
        <v>0</v>
      </c>
      <c r="Z509" t="b">
        <v>1</v>
      </c>
      <c r="AA509" t="s">
        <v>62</v>
      </c>
      <c r="AB509" t="s">
        <v>41</v>
      </c>
      <c r="AC509">
        <v>11</v>
      </c>
    </row>
    <row r="510" spans="1:29" x14ac:dyDescent="0.25">
      <c r="A510" t="s">
        <v>1098</v>
      </c>
      <c r="B510">
        <v>44</v>
      </c>
      <c r="C510" t="s">
        <v>43</v>
      </c>
      <c r="D510" t="s">
        <v>44</v>
      </c>
      <c r="E510" t="s">
        <v>76</v>
      </c>
      <c r="F510" t="s">
        <v>56</v>
      </c>
      <c r="G510" t="s">
        <v>44</v>
      </c>
      <c r="H510" t="s">
        <v>1099</v>
      </c>
      <c r="I510" t="s">
        <v>101</v>
      </c>
      <c r="J510" s="1">
        <v>64.09</v>
      </c>
      <c r="K510">
        <v>10</v>
      </c>
      <c r="L510" t="s">
        <v>78</v>
      </c>
      <c r="M510">
        <v>5</v>
      </c>
      <c r="N510">
        <v>5</v>
      </c>
      <c r="O510">
        <v>0</v>
      </c>
      <c r="P510" t="s">
        <v>36</v>
      </c>
      <c r="Q510" t="s">
        <v>37</v>
      </c>
      <c r="R510">
        <v>0</v>
      </c>
      <c r="S510">
        <v>6</v>
      </c>
      <c r="T510" t="s">
        <v>59</v>
      </c>
      <c r="U510" t="s">
        <v>79</v>
      </c>
      <c r="V510" t="s">
        <v>39</v>
      </c>
      <c r="W510" s="2">
        <v>45585</v>
      </c>
      <c r="X510" s="4">
        <f ca="1">TODAY()-DATASET[[#This Row],[Time_of_Purchase]]</f>
        <v>549</v>
      </c>
      <c r="Y510" t="b">
        <v>1</v>
      </c>
      <c r="Z510" t="b">
        <v>0</v>
      </c>
      <c r="AA510" t="s">
        <v>40</v>
      </c>
      <c r="AB510" t="s">
        <v>67</v>
      </c>
      <c r="AC510">
        <v>7</v>
      </c>
    </row>
    <row r="511" spans="1:29" x14ac:dyDescent="0.25">
      <c r="A511" t="s">
        <v>1100</v>
      </c>
      <c r="B511">
        <v>20</v>
      </c>
      <c r="C511" t="s">
        <v>29</v>
      </c>
      <c r="D511" t="s">
        <v>30</v>
      </c>
      <c r="E511" t="s">
        <v>31</v>
      </c>
      <c r="F511" t="s">
        <v>45</v>
      </c>
      <c r="G511" t="s">
        <v>30</v>
      </c>
      <c r="H511" t="s">
        <v>820</v>
      </c>
      <c r="I511" t="s">
        <v>126</v>
      </c>
      <c r="J511" s="1">
        <v>126.26</v>
      </c>
      <c r="K511">
        <v>2</v>
      </c>
      <c r="L511" t="s">
        <v>78</v>
      </c>
      <c r="M511">
        <v>4</v>
      </c>
      <c r="N511">
        <v>5</v>
      </c>
      <c r="O511">
        <v>1</v>
      </c>
      <c r="P511" t="s">
        <v>36</v>
      </c>
      <c r="Q511" t="s">
        <v>37</v>
      </c>
      <c r="R511">
        <v>1</v>
      </c>
      <c r="S511">
        <v>6</v>
      </c>
      <c r="T511" t="s">
        <v>36</v>
      </c>
      <c r="U511" t="s">
        <v>60</v>
      </c>
      <c r="V511" t="s">
        <v>61</v>
      </c>
      <c r="W511" s="2">
        <v>45554</v>
      </c>
      <c r="X511" s="4">
        <f ca="1">TODAY()-DATASET[[#This Row],[Time_of_Purchase]]</f>
        <v>580</v>
      </c>
      <c r="Y511" t="b">
        <v>1</v>
      </c>
      <c r="Z511" t="b">
        <v>0</v>
      </c>
      <c r="AA511" t="s">
        <v>74</v>
      </c>
      <c r="AB511" t="s">
        <v>53</v>
      </c>
      <c r="AC511">
        <v>13</v>
      </c>
    </row>
    <row r="512" spans="1:29" x14ac:dyDescent="0.25">
      <c r="A512" t="s">
        <v>1101</v>
      </c>
      <c r="B512">
        <v>42</v>
      </c>
      <c r="C512" t="s">
        <v>29</v>
      </c>
      <c r="D512" t="s">
        <v>30</v>
      </c>
      <c r="E512" t="s">
        <v>55</v>
      </c>
      <c r="F512" t="s">
        <v>45</v>
      </c>
      <c r="G512" t="s">
        <v>44</v>
      </c>
      <c r="H512" t="s">
        <v>1102</v>
      </c>
      <c r="I512" t="s">
        <v>107</v>
      </c>
      <c r="J512" s="1">
        <v>195.05</v>
      </c>
      <c r="K512">
        <v>5</v>
      </c>
      <c r="L512" t="s">
        <v>48</v>
      </c>
      <c r="M512">
        <v>2</v>
      </c>
      <c r="N512">
        <v>1</v>
      </c>
      <c r="O512">
        <v>2</v>
      </c>
      <c r="P512" t="s">
        <v>49</v>
      </c>
      <c r="Q512" t="s">
        <v>50</v>
      </c>
      <c r="R512">
        <v>0</v>
      </c>
      <c r="S512">
        <v>10</v>
      </c>
      <c r="T512" t="s">
        <v>44</v>
      </c>
      <c r="U512" t="s">
        <v>60</v>
      </c>
      <c r="V512" t="s">
        <v>66</v>
      </c>
      <c r="W512" s="2">
        <v>45433</v>
      </c>
      <c r="X512" s="4">
        <f ca="1">TODAY()-DATASET[[#This Row],[Time_of_Purchase]]</f>
        <v>701</v>
      </c>
      <c r="Y512" t="b">
        <v>1</v>
      </c>
      <c r="Z512" t="b">
        <v>0</v>
      </c>
      <c r="AA512" t="s">
        <v>62</v>
      </c>
      <c r="AB512" t="s">
        <v>41</v>
      </c>
      <c r="AC512">
        <v>11</v>
      </c>
    </row>
    <row r="513" spans="1:29" x14ac:dyDescent="0.25">
      <c r="A513" t="s">
        <v>1103</v>
      </c>
      <c r="B513">
        <v>22</v>
      </c>
      <c r="C513" t="s">
        <v>29</v>
      </c>
      <c r="D513" t="s">
        <v>30</v>
      </c>
      <c r="E513" t="s">
        <v>31</v>
      </c>
      <c r="F513" t="s">
        <v>56</v>
      </c>
      <c r="G513" t="s">
        <v>44</v>
      </c>
      <c r="H513" t="s">
        <v>1104</v>
      </c>
      <c r="I513" t="s">
        <v>158</v>
      </c>
      <c r="J513" s="1">
        <v>432.84</v>
      </c>
      <c r="K513">
        <v>7</v>
      </c>
      <c r="L513" t="s">
        <v>35</v>
      </c>
      <c r="M513">
        <v>4</v>
      </c>
      <c r="N513">
        <v>5</v>
      </c>
      <c r="O513">
        <v>2</v>
      </c>
      <c r="P513" t="s">
        <v>44</v>
      </c>
      <c r="Q513" t="s">
        <v>85</v>
      </c>
      <c r="R513">
        <v>0</v>
      </c>
      <c r="S513">
        <v>1</v>
      </c>
      <c r="T513" t="s">
        <v>44</v>
      </c>
      <c r="U513" t="s">
        <v>38</v>
      </c>
      <c r="V513" t="s">
        <v>61</v>
      </c>
      <c r="W513" s="2">
        <v>45327</v>
      </c>
      <c r="X513" s="4">
        <f ca="1">TODAY()-DATASET[[#This Row],[Time_of_Purchase]]</f>
        <v>807</v>
      </c>
      <c r="Y513" t="b">
        <v>0</v>
      </c>
      <c r="Z513" t="b">
        <v>0</v>
      </c>
      <c r="AA513" t="s">
        <v>52</v>
      </c>
      <c r="AB513" t="s">
        <v>41</v>
      </c>
      <c r="AC513">
        <v>4</v>
      </c>
    </row>
    <row r="514" spans="1:29" x14ac:dyDescent="0.25">
      <c r="A514" t="s">
        <v>1105</v>
      </c>
      <c r="B514">
        <v>30</v>
      </c>
      <c r="C514" t="s">
        <v>43</v>
      </c>
      <c r="D514" t="s">
        <v>44</v>
      </c>
      <c r="E514" t="s">
        <v>31</v>
      </c>
      <c r="F514" t="s">
        <v>32</v>
      </c>
      <c r="G514" t="s">
        <v>30</v>
      </c>
      <c r="H514" t="s">
        <v>1106</v>
      </c>
      <c r="I514" t="s">
        <v>246</v>
      </c>
      <c r="J514" s="1">
        <v>404.12</v>
      </c>
      <c r="K514">
        <v>6</v>
      </c>
      <c r="L514" t="s">
        <v>48</v>
      </c>
      <c r="M514">
        <v>1</v>
      </c>
      <c r="N514">
        <v>3</v>
      </c>
      <c r="O514">
        <v>1</v>
      </c>
      <c r="P514" t="s">
        <v>44</v>
      </c>
      <c r="Q514" t="s">
        <v>85</v>
      </c>
      <c r="R514">
        <v>0</v>
      </c>
      <c r="S514">
        <v>4</v>
      </c>
      <c r="T514" t="s">
        <v>59</v>
      </c>
      <c r="U514" t="s">
        <v>60</v>
      </c>
      <c r="V514" t="s">
        <v>61</v>
      </c>
      <c r="W514" s="2">
        <v>45351</v>
      </c>
      <c r="X514" s="4">
        <f ca="1">TODAY()-DATASET[[#This Row],[Time_of_Purchase]]</f>
        <v>783</v>
      </c>
      <c r="Y514" t="b">
        <v>0</v>
      </c>
      <c r="Z514" t="b">
        <v>0</v>
      </c>
      <c r="AA514" t="s">
        <v>62</v>
      </c>
      <c r="AB514" t="s">
        <v>67</v>
      </c>
      <c r="AC514">
        <v>11</v>
      </c>
    </row>
    <row r="515" spans="1:29" x14ac:dyDescent="0.25">
      <c r="A515" t="s">
        <v>1107</v>
      </c>
      <c r="B515">
        <v>39</v>
      </c>
      <c r="C515" t="s">
        <v>43</v>
      </c>
      <c r="D515" t="s">
        <v>44</v>
      </c>
      <c r="E515" t="s">
        <v>76</v>
      </c>
      <c r="F515" t="s">
        <v>56</v>
      </c>
      <c r="G515" t="s">
        <v>44</v>
      </c>
      <c r="H515" t="s">
        <v>1108</v>
      </c>
      <c r="I515" t="s">
        <v>158</v>
      </c>
      <c r="J515" s="1">
        <v>438.26</v>
      </c>
      <c r="K515">
        <v>10</v>
      </c>
      <c r="L515" t="s">
        <v>48</v>
      </c>
      <c r="M515">
        <v>3</v>
      </c>
      <c r="N515">
        <v>4</v>
      </c>
      <c r="O515">
        <v>1</v>
      </c>
      <c r="P515" t="s">
        <v>36</v>
      </c>
      <c r="Q515" t="s">
        <v>37</v>
      </c>
      <c r="R515">
        <v>1</v>
      </c>
      <c r="S515">
        <v>3</v>
      </c>
      <c r="T515" t="s">
        <v>49</v>
      </c>
      <c r="U515" t="s">
        <v>60</v>
      </c>
      <c r="V515" t="s">
        <v>61</v>
      </c>
      <c r="W515" s="2">
        <v>45477</v>
      </c>
      <c r="X515" s="4">
        <f ca="1">TODAY()-DATASET[[#This Row],[Time_of_Purchase]]</f>
        <v>657</v>
      </c>
      <c r="Y515" t="b">
        <v>1</v>
      </c>
      <c r="Z515" t="b">
        <v>0</v>
      </c>
      <c r="AA515" t="s">
        <v>74</v>
      </c>
      <c r="AB515" t="s">
        <v>67</v>
      </c>
      <c r="AC515">
        <v>10</v>
      </c>
    </row>
    <row r="516" spans="1:29" x14ac:dyDescent="0.25">
      <c r="A516" t="s">
        <v>1109</v>
      </c>
      <c r="B516">
        <v>19</v>
      </c>
      <c r="C516" t="s">
        <v>29</v>
      </c>
      <c r="D516" t="s">
        <v>44</v>
      </c>
      <c r="E516" t="s">
        <v>55</v>
      </c>
      <c r="F516" t="s">
        <v>32</v>
      </c>
      <c r="G516" t="s">
        <v>44</v>
      </c>
      <c r="H516" t="s">
        <v>1110</v>
      </c>
      <c r="I516" t="s">
        <v>246</v>
      </c>
      <c r="J516" s="1">
        <v>233.02</v>
      </c>
      <c r="K516">
        <v>4</v>
      </c>
      <c r="L516" t="s">
        <v>35</v>
      </c>
      <c r="M516">
        <v>3</v>
      </c>
      <c r="N516">
        <v>3</v>
      </c>
      <c r="O516">
        <v>1</v>
      </c>
      <c r="P516" t="s">
        <v>49</v>
      </c>
      <c r="Q516" t="s">
        <v>50</v>
      </c>
      <c r="R516">
        <v>0</v>
      </c>
      <c r="S516">
        <v>3</v>
      </c>
      <c r="T516" t="s">
        <v>49</v>
      </c>
      <c r="U516" t="s">
        <v>60</v>
      </c>
      <c r="V516" t="s">
        <v>86</v>
      </c>
      <c r="W516" s="2">
        <v>45594</v>
      </c>
      <c r="X516" s="4">
        <f ca="1">TODAY()-DATASET[[#This Row],[Time_of_Purchase]]</f>
        <v>540</v>
      </c>
      <c r="Y516" t="b">
        <v>0</v>
      </c>
      <c r="Z516" t="b">
        <v>0</v>
      </c>
      <c r="AA516" t="s">
        <v>62</v>
      </c>
      <c r="AB516" t="s">
        <v>53</v>
      </c>
      <c r="AC516">
        <v>8</v>
      </c>
    </row>
    <row r="517" spans="1:29" x14ac:dyDescent="0.25">
      <c r="A517" t="s">
        <v>1111</v>
      </c>
      <c r="B517">
        <v>26</v>
      </c>
      <c r="C517" t="s">
        <v>29</v>
      </c>
      <c r="D517" t="s">
        <v>30</v>
      </c>
      <c r="E517" t="s">
        <v>69</v>
      </c>
      <c r="F517" t="s">
        <v>32</v>
      </c>
      <c r="G517" t="s">
        <v>30</v>
      </c>
      <c r="H517" t="s">
        <v>1112</v>
      </c>
      <c r="I517" t="s">
        <v>114</v>
      </c>
      <c r="J517" s="1">
        <v>273.41000000000003</v>
      </c>
      <c r="K517">
        <v>7</v>
      </c>
      <c r="L517" t="s">
        <v>78</v>
      </c>
      <c r="M517">
        <v>3</v>
      </c>
      <c r="N517">
        <v>5</v>
      </c>
      <c r="O517">
        <v>2</v>
      </c>
      <c r="P517" t="s">
        <v>59</v>
      </c>
      <c r="Q517" t="s">
        <v>85</v>
      </c>
      <c r="R517">
        <v>0</v>
      </c>
      <c r="S517">
        <v>9</v>
      </c>
      <c r="T517" t="s">
        <v>49</v>
      </c>
      <c r="U517" t="s">
        <v>38</v>
      </c>
      <c r="V517" t="s">
        <v>66</v>
      </c>
      <c r="W517" s="2">
        <v>45582</v>
      </c>
      <c r="X517" s="4">
        <f ca="1">TODAY()-DATASET[[#This Row],[Time_of_Purchase]]</f>
        <v>552</v>
      </c>
      <c r="Y517" t="b">
        <v>1</v>
      </c>
      <c r="Z517" t="b">
        <v>0</v>
      </c>
      <c r="AA517" t="s">
        <v>74</v>
      </c>
      <c r="AB517" t="s">
        <v>53</v>
      </c>
      <c r="AC517">
        <v>2</v>
      </c>
    </row>
    <row r="518" spans="1:29" x14ac:dyDescent="0.25">
      <c r="A518" t="s">
        <v>1113</v>
      </c>
      <c r="B518">
        <v>21</v>
      </c>
      <c r="C518" t="s">
        <v>29</v>
      </c>
      <c r="D518" t="s">
        <v>44</v>
      </c>
      <c r="E518" t="s">
        <v>31</v>
      </c>
      <c r="F518" t="s">
        <v>45</v>
      </c>
      <c r="G518" t="s">
        <v>30</v>
      </c>
      <c r="H518" t="s">
        <v>1114</v>
      </c>
      <c r="I518" t="s">
        <v>71</v>
      </c>
      <c r="J518" s="1">
        <v>338.96</v>
      </c>
      <c r="K518">
        <v>10</v>
      </c>
      <c r="L518" t="s">
        <v>78</v>
      </c>
      <c r="M518">
        <v>1</v>
      </c>
      <c r="N518">
        <v>4</v>
      </c>
      <c r="O518">
        <v>2</v>
      </c>
      <c r="P518" t="s">
        <v>44</v>
      </c>
      <c r="Q518" t="s">
        <v>37</v>
      </c>
      <c r="R518">
        <v>1</v>
      </c>
      <c r="S518">
        <v>9</v>
      </c>
      <c r="T518" t="s">
        <v>44</v>
      </c>
      <c r="U518" t="s">
        <v>79</v>
      </c>
      <c r="V518" t="s">
        <v>61</v>
      </c>
      <c r="W518" s="2">
        <v>45600</v>
      </c>
      <c r="X518" s="4">
        <f ca="1">TODAY()-DATASET[[#This Row],[Time_of_Purchase]]</f>
        <v>534</v>
      </c>
      <c r="Y518" t="b">
        <v>1</v>
      </c>
      <c r="Z518" t="b">
        <v>1</v>
      </c>
      <c r="AA518" t="s">
        <v>52</v>
      </c>
      <c r="AB518" t="s">
        <v>53</v>
      </c>
      <c r="AC518">
        <v>4</v>
      </c>
    </row>
    <row r="519" spans="1:29" x14ac:dyDescent="0.25">
      <c r="A519" t="s">
        <v>1115</v>
      </c>
      <c r="B519">
        <v>37</v>
      </c>
      <c r="C519" t="s">
        <v>43</v>
      </c>
      <c r="D519" t="s">
        <v>30</v>
      </c>
      <c r="E519" t="s">
        <v>76</v>
      </c>
      <c r="F519" t="s">
        <v>56</v>
      </c>
      <c r="G519" t="s">
        <v>44</v>
      </c>
      <c r="H519" t="s">
        <v>1116</v>
      </c>
      <c r="I519" t="s">
        <v>98</v>
      </c>
      <c r="J519" s="1">
        <v>75.91</v>
      </c>
      <c r="K519">
        <v>12</v>
      </c>
      <c r="L519" t="s">
        <v>35</v>
      </c>
      <c r="M519">
        <v>3</v>
      </c>
      <c r="N519">
        <v>5</v>
      </c>
      <c r="O519">
        <v>2</v>
      </c>
      <c r="P519" t="s">
        <v>59</v>
      </c>
      <c r="Q519" t="s">
        <v>85</v>
      </c>
      <c r="R519">
        <v>0</v>
      </c>
      <c r="S519">
        <v>6</v>
      </c>
      <c r="T519" t="s">
        <v>36</v>
      </c>
      <c r="U519" t="s">
        <v>79</v>
      </c>
      <c r="V519" t="s">
        <v>51</v>
      </c>
      <c r="W519" s="2">
        <v>45617</v>
      </c>
      <c r="X519" s="4">
        <f ca="1">TODAY()-DATASET[[#This Row],[Time_of_Purchase]]</f>
        <v>517</v>
      </c>
      <c r="Y519" t="b">
        <v>1</v>
      </c>
      <c r="Z519" t="b">
        <v>1</v>
      </c>
      <c r="AA519" t="s">
        <v>74</v>
      </c>
      <c r="AB519" t="s">
        <v>41</v>
      </c>
      <c r="AC519">
        <v>1</v>
      </c>
    </row>
    <row r="520" spans="1:29" x14ac:dyDescent="0.25">
      <c r="A520" t="s">
        <v>1117</v>
      </c>
      <c r="B520">
        <v>23</v>
      </c>
      <c r="C520" t="s">
        <v>43</v>
      </c>
      <c r="D520" t="s">
        <v>44</v>
      </c>
      <c r="E520" t="s">
        <v>31</v>
      </c>
      <c r="F520" t="s">
        <v>45</v>
      </c>
      <c r="G520" t="s">
        <v>44</v>
      </c>
      <c r="H520" t="s">
        <v>1118</v>
      </c>
      <c r="I520" t="s">
        <v>93</v>
      </c>
      <c r="J520" s="1">
        <v>425.21</v>
      </c>
      <c r="K520">
        <v>12</v>
      </c>
      <c r="L520" t="s">
        <v>78</v>
      </c>
      <c r="M520">
        <v>2</v>
      </c>
      <c r="N520">
        <v>4</v>
      </c>
      <c r="O520">
        <v>2</v>
      </c>
      <c r="P520" t="s">
        <v>59</v>
      </c>
      <c r="Q520" t="s">
        <v>37</v>
      </c>
      <c r="R520">
        <v>0</v>
      </c>
      <c r="S520">
        <v>4</v>
      </c>
      <c r="T520" t="s">
        <v>44</v>
      </c>
      <c r="U520" t="s">
        <v>79</v>
      </c>
      <c r="V520" t="s">
        <v>66</v>
      </c>
      <c r="W520" s="2">
        <v>45376</v>
      </c>
      <c r="X520" s="4">
        <f ca="1">TODAY()-DATASET[[#This Row],[Time_of_Purchase]]</f>
        <v>758</v>
      </c>
      <c r="Y520" t="b">
        <v>1</v>
      </c>
      <c r="Z520" t="b">
        <v>1</v>
      </c>
      <c r="AA520" t="s">
        <v>74</v>
      </c>
      <c r="AB520" t="s">
        <v>67</v>
      </c>
      <c r="AC520">
        <v>12</v>
      </c>
    </row>
    <row r="521" spans="1:29" x14ac:dyDescent="0.25">
      <c r="A521" t="s">
        <v>1119</v>
      </c>
      <c r="B521">
        <v>46</v>
      </c>
      <c r="C521" t="s">
        <v>43</v>
      </c>
      <c r="D521" t="s">
        <v>30</v>
      </c>
      <c r="E521" t="s">
        <v>31</v>
      </c>
      <c r="F521" t="s">
        <v>56</v>
      </c>
      <c r="G521" t="s">
        <v>30</v>
      </c>
      <c r="H521" t="s">
        <v>1120</v>
      </c>
      <c r="I521" t="s">
        <v>120</v>
      </c>
      <c r="J521" s="1">
        <v>268.8</v>
      </c>
      <c r="K521">
        <v>2</v>
      </c>
      <c r="L521" t="s">
        <v>48</v>
      </c>
      <c r="M521">
        <v>1</v>
      </c>
      <c r="N521">
        <v>3</v>
      </c>
      <c r="O521">
        <v>0</v>
      </c>
      <c r="P521" t="s">
        <v>44</v>
      </c>
      <c r="Q521" t="s">
        <v>85</v>
      </c>
      <c r="R521">
        <v>1</v>
      </c>
      <c r="S521">
        <v>7</v>
      </c>
      <c r="T521" t="s">
        <v>36</v>
      </c>
      <c r="U521" t="s">
        <v>79</v>
      </c>
      <c r="V521" t="s">
        <v>61</v>
      </c>
      <c r="W521" s="2">
        <v>45402</v>
      </c>
      <c r="X521" s="4">
        <f ca="1">TODAY()-DATASET[[#This Row],[Time_of_Purchase]]</f>
        <v>732</v>
      </c>
      <c r="Y521" t="b">
        <v>0</v>
      </c>
      <c r="Z521" t="b">
        <v>0</v>
      </c>
      <c r="AA521" t="s">
        <v>40</v>
      </c>
      <c r="AB521" t="s">
        <v>53</v>
      </c>
      <c r="AC521">
        <v>12</v>
      </c>
    </row>
    <row r="522" spans="1:29" x14ac:dyDescent="0.25">
      <c r="A522" t="s">
        <v>1121</v>
      </c>
      <c r="B522">
        <v>35</v>
      </c>
      <c r="C522" t="s">
        <v>29</v>
      </c>
      <c r="D522" t="s">
        <v>30</v>
      </c>
      <c r="E522" t="s">
        <v>76</v>
      </c>
      <c r="F522" t="s">
        <v>56</v>
      </c>
      <c r="G522" t="s">
        <v>44</v>
      </c>
      <c r="H522" t="s">
        <v>1122</v>
      </c>
      <c r="I522" t="s">
        <v>104</v>
      </c>
      <c r="J522" s="1">
        <v>170.71</v>
      </c>
      <c r="K522">
        <v>10</v>
      </c>
      <c r="L522" t="s">
        <v>35</v>
      </c>
      <c r="M522">
        <v>5</v>
      </c>
      <c r="N522">
        <v>3</v>
      </c>
      <c r="O522">
        <v>0</v>
      </c>
      <c r="P522" t="s">
        <v>59</v>
      </c>
      <c r="Q522" t="s">
        <v>37</v>
      </c>
      <c r="R522">
        <v>1</v>
      </c>
      <c r="S522">
        <v>9</v>
      </c>
      <c r="T522" t="s">
        <v>59</v>
      </c>
      <c r="U522" t="s">
        <v>79</v>
      </c>
      <c r="V522" t="s">
        <v>39</v>
      </c>
      <c r="W522" s="2">
        <v>45396</v>
      </c>
      <c r="X522" s="4">
        <f ca="1">TODAY()-DATASET[[#This Row],[Time_of_Purchase]]</f>
        <v>738</v>
      </c>
      <c r="Y522" t="b">
        <v>1</v>
      </c>
      <c r="Z522" t="b">
        <v>1</v>
      </c>
      <c r="AA522" t="s">
        <v>74</v>
      </c>
      <c r="AB522" t="s">
        <v>41</v>
      </c>
      <c r="AC522">
        <v>7</v>
      </c>
    </row>
    <row r="523" spans="1:29" x14ac:dyDescent="0.25">
      <c r="A523" t="s">
        <v>1123</v>
      </c>
      <c r="B523">
        <v>33</v>
      </c>
      <c r="C523" t="s">
        <v>190</v>
      </c>
      <c r="D523" t="s">
        <v>30</v>
      </c>
      <c r="E523" t="s">
        <v>69</v>
      </c>
      <c r="F523" t="s">
        <v>45</v>
      </c>
      <c r="G523" t="s">
        <v>30</v>
      </c>
      <c r="H523" t="s">
        <v>1124</v>
      </c>
      <c r="I523" t="s">
        <v>101</v>
      </c>
      <c r="J523" s="1">
        <v>444.05</v>
      </c>
      <c r="K523">
        <v>10</v>
      </c>
      <c r="L523" t="s">
        <v>78</v>
      </c>
      <c r="M523">
        <v>5</v>
      </c>
      <c r="N523">
        <v>4</v>
      </c>
      <c r="O523">
        <v>0</v>
      </c>
      <c r="P523" t="s">
        <v>59</v>
      </c>
      <c r="Q523" t="s">
        <v>50</v>
      </c>
      <c r="R523">
        <v>1</v>
      </c>
      <c r="S523">
        <v>8</v>
      </c>
      <c r="T523" t="s">
        <v>49</v>
      </c>
      <c r="U523" t="s">
        <v>79</v>
      </c>
      <c r="V523" t="s">
        <v>51</v>
      </c>
      <c r="W523" s="2">
        <v>45447</v>
      </c>
      <c r="X523" s="4">
        <f ca="1">TODAY()-DATASET[[#This Row],[Time_of_Purchase]]</f>
        <v>687</v>
      </c>
      <c r="Y523" t="b">
        <v>1</v>
      </c>
      <c r="Z523" t="b">
        <v>1</v>
      </c>
      <c r="AA523" t="s">
        <v>52</v>
      </c>
      <c r="AB523" t="s">
        <v>53</v>
      </c>
      <c r="AC523">
        <v>8</v>
      </c>
    </row>
    <row r="524" spans="1:29" x14ac:dyDescent="0.25">
      <c r="A524" t="s">
        <v>1125</v>
      </c>
      <c r="B524">
        <v>47</v>
      </c>
      <c r="C524" t="s">
        <v>43</v>
      </c>
      <c r="D524" t="s">
        <v>30</v>
      </c>
      <c r="E524" t="s">
        <v>76</v>
      </c>
      <c r="F524" t="s">
        <v>45</v>
      </c>
      <c r="G524" t="s">
        <v>30</v>
      </c>
      <c r="H524" t="s">
        <v>1126</v>
      </c>
      <c r="I524" t="s">
        <v>34</v>
      </c>
      <c r="J524" s="1">
        <v>255.1</v>
      </c>
      <c r="K524">
        <v>5</v>
      </c>
      <c r="L524" t="s">
        <v>35</v>
      </c>
      <c r="M524">
        <v>5</v>
      </c>
      <c r="N524">
        <v>1</v>
      </c>
      <c r="O524">
        <v>2</v>
      </c>
      <c r="P524" t="s">
        <v>44</v>
      </c>
      <c r="Q524" t="s">
        <v>85</v>
      </c>
      <c r="R524">
        <v>1</v>
      </c>
      <c r="S524">
        <v>1</v>
      </c>
      <c r="T524" t="s">
        <v>59</v>
      </c>
      <c r="U524" t="s">
        <v>79</v>
      </c>
      <c r="V524" t="s">
        <v>51</v>
      </c>
      <c r="W524" s="2">
        <v>45319</v>
      </c>
      <c r="X524" s="4">
        <f ca="1">TODAY()-DATASET[[#This Row],[Time_of_Purchase]]</f>
        <v>815</v>
      </c>
      <c r="Y524" t="b">
        <v>1</v>
      </c>
      <c r="Z524" t="b">
        <v>0</v>
      </c>
      <c r="AA524" t="s">
        <v>74</v>
      </c>
      <c r="AB524" t="s">
        <v>41</v>
      </c>
      <c r="AC524">
        <v>14</v>
      </c>
    </row>
    <row r="525" spans="1:29" x14ac:dyDescent="0.25">
      <c r="A525" t="s">
        <v>1127</v>
      </c>
      <c r="B525">
        <v>32</v>
      </c>
      <c r="C525" t="s">
        <v>43</v>
      </c>
      <c r="D525" t="s">
        <v>44</v>
      </c>
      <c r="E525" t="s">
        <v>69</v>
      </c>
      <c r="F525" t="s">
        <v>32</v>
      </c>
      <c r="G525" t="s">
        <v>44</v>
      </c>
      <c r="H525" t="s">
        <v>1128</v>
      </c>
      <c r="I525" t="s">
        <v>142</v>
      </c>
      <c r="J525" s="1">
        <v>236.44</v>
      </c>
      <c r="K525">
        <v>6</v>
      </c>
      <c r="L525" t="s">
        <v>35</v>
      </c>
      <c r="M525">
        <v>4</v>
      </c>
      <c r="N525">
        <v>4</v>
      </c>
      <c r="O525">
        <v>0</v>
      </c>
      <c r="P525" t="s">
        <v>49</v>
      </c>
      <c r="Q525" t="s">
        <v>85</v>
      </c>
      <c r="R525">
        <v>2</v>
      </c>
      <c r="S525">
        <v>2</v>
      </c>
      <c r="T525" t="s">
        <v>36</v>
      </c>
      <c r="U525" t="s">
        <v>60</v>
      </c>
      <c r="V525" t="s">
        <v>51</v>
      </c>
      <c r="W525" s="2">
        <v>45427</v>
      </c>
      <c r="X525" s="4">
        <f ca="1">TODAY()-DATASET[[#This Row],[Time_of_Purchase]]</f>
        <v>707</v>
      </c>
      <c r="Y525" t="b">
        <v>0</v>
      </c>
      <c r="Z525" t="b">
        <v>0</v>
      </c>
      <c r="AA525" t="s">
        <v>62</v>
      </c>
      <c r="AB525" t="s">
        <v>53</v>
      </c>
      <c r="AC525">
        <v>6</v>
      </c>
    </row>
    <row r="526" spans="1:29" x14ac:dyDescent="0.25">
      <c r="A526" t="s">
        <v>1129</v>
      </c>
      <c r="B526">
        <v>20</v>
      </c>
      <c r="C526" t="s">
        <v>43</v>
      </c>
      <c r="D526" t="s">
        <v>30</v>
      </c>
      <c r="E526" t="s">
        <v>69</v>
      </c>
      <c r="F526" t="s">
        <v>32</v>
      </c>
      <c r="G526" t="s">
        <v>44</v>
      </c>
      <c r="H526" t="s">
        <v>1130</v>
      </c>
      <c r="I526" t="s">
        <v>71</v>
      </c>
      <c r="J526" s="1">
        <v>201.69</v>
      </c>
      <c r="K526">
        <v>11</v>
      </c>
      <c r="L526" t="s">
        <v>35</v>
      </c>
      <c r="M526">
        <v>4</v>
      </c>
      <c r="N526">
        <v>5</v>
      </c>
      <c r="O526">
        <v>0</v>
      </c>
      <c r="P526" t="s">
        <v>44</v>
      </c>
      <c r="Q526" t="s">
        <v>85</v>
      </c>
      <c r="R526">
        <v>2</v>
      </c>
      <c r="S526">
        <v>8</v>
      </c>
      <c r="T526" t="s">
        <v>59</v>
      </c>
      <c r="U526" t="s">
        <v>38</v>
      </c>
      <c r="V526" t="s">
        <v>66</v>
      </c>
      <c r="W526" s="2">
        <v>45492</v>
      </c>
      <c r="X526" s="4">
        <f ca="1">TODAY()-DATASET[[#This Row],[Time_of_Purchase]]</f>
        <v>642</v>
      </c>
      <c r="Y526" t="b">
        <v>1</v>
      </c>
      <c r="Z526" t="b">
        <v>0</v>
      </c>
      <c r="AA526" t="s">
        <v>74</v>
      </c>
      <c r="AB526" t="s">
        <v>41</v>
      </c>
      <c r="AC526">
        <v>3</v>
      </c>
    </row>
    <row r="527" spans="1:29" x14ac:dyDescent="0.25">
      <c r="A527" t="s">
        <v>1131</v>
      </c>
      <c r="B527">
        <v>37</v>
      </c>
      <c r="C527" t="s">
        <v>29</v>
      </c>
      <c r="D527" t="s">
        <v>44</v>
      </c>
      <c r="E527" t="s">
        <v>55</v>
      </c>
      <c r="F527" t="s">
        <v>32</v>
      </c>
      <c r="G527" t="s">
        <v>30</v>
      </c>
      <c r="H527" t="s">
        <v>1132</v>
      </c>
      <c r="I527" t="s">
        <v>135</v>
      </c>
      <c r="J527" s="1">
        <v>390.51</v>
      </c>
      <c r="K527">
        <v>6</v>
      </c>
      <c r="L527" t="s">
        <v>78</v>
      </c>
      <c r="M527">
        <v>3</v>
      </c>
      <c r="N527">
        <v>2</v>
      </c>
      <c r="O527">
        <v>0</v>
      </c>
      <c r="P527" t="s">
        <v>49</v>
      </c>
      <c r="Q527" t="s">
        <v>85</v>
      </c>
      <c r="R527">
        <v>0</v>
      </c>
      <c r="S527">
        <v>2</v>
      </c>
      <c r="T527" t="s">
        <v>44</v>
      </c>
      <c r="U527" t="s">
        <v>79</v>
      </c>
      <c r="V527" t="s">
        <v>86</v>
      </c>
      <c r="W527" s="2">
        <v>45397</v>
      </c>
      <c r="X527" s="4">
        <f ca="1">TODAY()-DATASET[[#This Row],[Time_of_Purchase]]</f>
        <v>737</v>
      </c>
      <c r="Y527" t="b">
        <v>0</v>
      </c>
      <c r="Z527" t="b">
        <v>0</v>
      </c>
      <c r="AA527" t="s">
        <v>52</v>
      </c>
      <c r="AB527" t="s">
        <v>67</v>
      </c>
      <c r="AC527">
        <v>6</v>
      </c>
    </row>
    <row r="528" spans="1:29" x14ac:dyDescent="0.25">
      <c r="A528" t="s">
        <v>1133</v>
      </c>
      <c r="B528">
        <v>35</v>
      </c>
      <c r="C528" t="s">
        <v>190</v>
      </c>
      <c r="D528" t="s">
        <v>44</v>
      </c>
      <c r="E528" t="s">
        <v>76</v>
      </c>
      <c r="F528" t="s">
        <v>56</v>
      </c>
      <c r="G528" t="s">
        <v>44</v>
      </c>
      <c r="H528" t="s">
        <v>1134</v>
      </c>
      <c r="I528" t="s">
        <v>183</v>
      </c>
      <c r="J528" s="1">
        <v>442.29</v>
      </c>
      <c r="K528">
        <v>9</v>
      </c>
      <c r="L528" t="s">
        <v>35</v>
      </c>
      <c r="M528">
        <v>1</v>
      </c>
      <c r="N528">
        <v>2</v>
      </c>
      <c r="O528">
        <v>0</v>
      </c>
      <c r="P528" t="s">
        <v>49</v>
      </c>
      <c r="Q528" t="s">
        <v>37</v>
      </c>
      <c r="R528">
        <v>1</v>
      </c>
      <c r="S528">
        <v>2</v>
      </c>
      <c r="T528" t="s">
        <v>59</v>
      </c>
      <c r="U528" t="s">
        <v>38</v>
      </c>
      <c r="V528" t="s">
        <v>51</v>
      </c>
      <c r="W528" s="2">
        <v>45546</v>
      </c>
      <c r="X528" s="4">
        <f ca="1">TODAY()-DATASET[[#This Row],[Time_of_Purchase]]</f>
        <v>588</v>
      </c>
      <c r="Y528" t="b">
        <v>0</v>
      </c>
      <c r="Z528" t="b">
        <v>0</v>
      </c>
      <c r="AA528" t="s">
        <v>74</v>
      </c>
      <c r="AB528" t="s">
        <v>67</v>
      </c>
      <c r="AC528">
        <v>13</v>
      </c>
    </row>
    <row r="529" spans="1:29" x14ac:dyDescent="0.25">
      <c r="A529" t="s">
        <v>1135</v>
      </c>
      <c r="B529">
        <v>18</v>
      </c>
      <c r="C529" t="s">
        <v>29</v>
      </c>
      <c r="D529" t="s">
        <v>30</v>
      </c>
      <c r="E529" t="s">
        <v>55</v>
      </c>
      <c r="F529" t="s">
        <v>45</v>
      </c>
      <c r="G529" t="s">
        <v>44</v>
      </c>
      <c r="H529" t="s">
        <v>1136</v>
      </c>
      <c r="I529" t="s">
        <v>71</v>
      </c>
      <c r="J529" s="1">
        <v>89.6</v>
      </c>
      <c r="K529">
        <v>7</v>
      </c>
      <c r="L529" t="s">
        <v>48</v>
      </c>
      <c r="M529">
        <v>5</v>
      </c>
      <c r="N529">
        <v>3</v>
      </c>
      <c r="O529">
        <v>2</v>
      </c>
      <c r="P529" t="s">
        <v>36</v>
      </c>
      <c r="Q529" t="s">
        <v>50</v>
      </c>
      <c r="R529">
        <v>1</v>
      </c>
      <c r="S529">
        <v>5</v>
      </c>
      <c r="T529" t="s">
        <v>59</v>
      </c>
      <c r="U529" t="s">
        <v>79</v>
      </c>
      <c r="V529" t="s">
        <v>86</v>
      </c>
      <c r="W529" s="2">
        <v>45361</v>
      </c>
      <c r="X529" s="4">
        <f ca="1">TODAY()-DATASET[[#This Row],[Time_of_Purchase]]</f>
        <v>773</v>
      </c>
      <c r="Y529" t="b">
        <v>0</v>
      </c>
      <c r="Z529" t="b">
        <v>0</v>
      </c>
      <c r="AA529" t="s">
        <v>74</v>
      </c>
      <c r="AB529" t="s">
        <v>53</v>
      </c>
      <c r="AC529">
        <v>8</v>
      </c>
    </row>
    <row r="530" spans="1:29" x14ac:dyDescent="0.25">
      <c r="A530" t="s">
        <v>1137</v>
      </c>
      <c r="B530">
        <v>27</v>
      </c>
      <c r="C530" t="s">
        <v>43</v>
      </c>
      <c r="D530" t="s">
        <v>30</v>
      </c>
      <c r="E530" t="s">
        <v>69</v>
      </c>
      <c r="F530" t="s">
        <v>45</v>
      </c>
      <c r="G530" t="s">
        <v>44</v>
      </c>
      <c r="H530" t="s">
        <v>1138</v>
      </c>
      <c r="I530" t="s">
        <v>90</v>
      </c>
      <c r="J530" s="1">
        <v>166.74</v>
      </c>
      <c r="K530">
        <v>6</v>
      </c>
      <c r="L530" t="s">
        <v>35</v>
      </c>
      <c r="M530">
        <v>2</v>
      </c>
      <c r="N530">
        <v>5</v>
      </c>
      <c r="O530">
        <v>0</v>
      </c>
      <c r="P530" t="s">
        <v>44</v>
      </c>
      <c r="Q530" t="s">
        <v>50</v>
      </c>
      <c r="R530">
        <v>0</v>
      </c>
      <c r="S530">
        <v>6</v>
      </c>
      <c r="T530" t="s">
        <v>59</v>
      </c>
      <c r="U530" t="s">
        <v>79</v>
      </c>
      <c r="V530" t="s">
        <v>66</v>
      </c>
      <c r="W530" s="2">
        <v>45305</v>
      </c>
      <c r="X530" s="4">
        <f ca="1">TODAY()-DATASET[[#This Row],[Time_of_Purchase]]</f>
        <v>829</v>
      </c>
      <c r="Y530" t="b">
        <v>0</v>
      </c>
      <c r="Z530" t="b">
        <v>0</v>
      </c>
      <c r="AA530" t="s">
        <v>62</v>
      </c>
      <c r="AB530" t="s">
        <v>41</v>
      </c>
      <c r="AC530">
        <v>1</v>
      </c>
    </row>
    <row r="531" spans="1:29" x14ac:dyDescent="0.25">
      <c r="A531" t="s">
        <v>1139</v>
      </c>
      <c r="B531">
        <v>29</v>
      </c>
      <c r="C531" t="s">
        <v>29</v>
      </c>
      <c r="D531" t="s">
        <v>44</v>
      </c>
      <c r="E531" t="s">
        <v>31</v>
      </c>
      <c r="F531" t="s">
        <v>32</v>
      </c>
      <c r="G531" t="s">
        <v>30</v>
      </c>
      <c r="H531" t="s">
        <v>1140</v>
      </c>
      <c r="I531" t="s">
        <v>93</v>
      </c>
      <c r="J531" s="1">
        <v>299.27999999999997</v>
      </c>
      <c r="K531">
        <v>12</v>
      </c>
      <c r="L531" t="s">
        <v>35</v>
      </c>
      <c r="M531">
        <v>4</v>
      </c>
      <c r="N531">
        <v>5</v>
      </c>
      <c r="O531">
        <v>1</v>
      </c>
      <c r="P531" t="s">
        <v>44</v>
      </c>
      <c r="Q531" t="s">
        <v>37</v>
      </c>
      <c r="R531">
        <v>0</v>
      </c>
      <c r="S531">
        <v>9</v>
      </c>
      <c r="T531" t="s">
        <v>44</v>
      </c>
      <c r="U531" t="s">
        <v>60</v>
      </c>
      <c r="V531" t="s">
        <v>61</v>
      </c>
      <c r="W531" s="2">
        <v>45441</v>
      </c>
      <c r="X531" s="4">
        <f ca="1">TODAY()-DATASET[[#This Row],[Time_of_Purchase]]</f>
        <v>693</v>
      </c>
      <c r="Y531" t="b">
        <v>0</v>
      </c>
      <c r="Z531" t="b">
        <v>0</v>
      </c>
      <c r="AA531" t="s">
        <v>52</v>
      </c>
      <c r="AB531" t="s">
        <v>53</v>
      </c>
      <c r="AC531">
        <v>3</v>
      </c>
    </row>
    <row r="532" spans="1:29" x14ac:dyDescent="0.25">
      <c r="A532" t="s">
        <v>1141</v>
      </c>
      <c r="B532">
        <v>24</v>
      </c>
      <c r="C532" t="s">
        <v>43</v>
      </c>
      <c r="D532" t="s">
        <v>44</v>
      </c>
      <c r="E532" t="s">
        <v>69</v>
      </c>
      <c r="F532" t="s">
        <v>56</v>
      </c>
      <c r="G532" t="s">
        <v>44</v>
      </c>
      <c r="H532" t="s">
        <v>1142</v>
      </c>
      <c r="I532" t="s">
        <v>90</v>
      </c>
      <c r="J532" s="1">
        <v>404.57</v>
      </c>
      <c r="K532">
        <v>5</v>
      </c>
      <c r="L532" t="s">
        <v>35</v>
      </c>
      <c r="M532">
        <v>4</v>
      </c>
      <c r="N532">
        <v>3</v>
      </c>
      <c r="O532">
        <v>0</v>
      </c>
      <c r="P532" t="s">
        <v>49</v>
      </c>
      <c r="Q532" t="s">
        <v>50</v>
      </c>
      <c r="R532">
        <v>2</v>
      </c>
      <c r="S532">
        <v>7</v>
      </c>
      <c r="T532" t="s">
        <v>36</v>
      </c>
      <c r="U532" t="s">
        <v>60</v>
      </c>
      <c r="V532" t="s">
        <v>61</v>
      </c>
      <c r="W532" s="2">
        <v>45535</v>
      </c>
      <c r="X532" s="4">
        <f ca="1">TODAY()-DATASET[[#This Row],[Time_of_Purchase]]</f>
        <v>599</v>
      </c>
      <c r="Y532" t="b">
        <v>0</v>
      </c>
      <c r="Z532" t="b">
        <v>1</v>
      </c>
      <c r="AA532" t="s">
        <v>40</v>
      </c>
      <c r="AB532" t="s">
        <v>67</v>
      </c>
      <c r="AC532">
        <v>14</v>
      </c>
    </row>
    <row r="533" spans="1:29" x14ac:dyDescent="0.25">
      <c r="A533" t="s">
        <v>1143</v>
      </c>
      <c r="B533">
        <v>27</v>
      </c>
      <c r="C533" t="s">
        <v>43</v>
      </c>
      <c r="D533" t="s">
        <v>44</v>
      </c>
      <c r="E533" t="s">
        <v>55</v>
      </c>
      <c r="F533" t="s">
        <v>32</v>
      </c>
      <c r="G533" t="s">
        <v>44</v>
      </c>
      <c r="H533" t="s">
        <v>1144</v>
      </c>
      <c r="I533" t="s">
        <v>120</v>
      </c>
      <c r="J533" s="1">
        <v>344.81</v>
      </c>
      <c r="K533">
        <v>10</v>
      </c>
      <c r="L533" t="s">
        <v>48</v>
      </c>
      <c r="M533">
        <v>3</v>
      </c>
      <c r="N533">
        <v>1</v>
      </c>
      <c r="O533">
        <v>2</v>
      </c>
      <c r="P533" t="s">
        <v>59</v>
      </c>
      <c r="Q533" t="s">
        <v>37</v>
      </c>
      <c r="R533">
        <v>1</v>
      </c>
      <c r="S533">
        <v>9</v>
      </c>
      <c r="T533" t="s">
        <v>44</v>
      </c>
      <c r="U533" t="s">
        <v>79</v>
      </c>
      <c r="V533" t="s">
        <v>66</v>
      </c>
      <c r="W533" s="2">
        <v>45649</v>
      </c>
      <c r="X533" s="4">
        <f ca="1">TODAY()-DATASET[[#This Row],[Time_of_Purchase]]</f>
        <v>485</v>
      </c>
      <c r="Y533" t="b">
        <v>1</v>
      </c>
      <c r="Z533" t="b">
        <v>1</v>
      </c>
      <c r="AA533" t="s">
        <v>52</v>
      </c>
      <c r="AB533" t="s">
        <v>67</v>
      </c>
      <c r="AC533">
        <v>14</v>
      </c>
    </row>
    <row r="534" spans="1:29" x14ac:dyDescent="0.25">
      <c r="A534" t="s">
        <v>1145</v>
      </c>
      <c r="B534">
        <v>34</v>
      </c>
      <c r="C534" t="s">
        <v>43</v>
      </c>
      <c r="D534" t="s">
        <v>44</v>
      </c>
      <c r="E534" t="s">
        <v>55</v>
      </c>
      <c r="F534" t="s">
        <v>56</v>
      </c>
      <c r="G534" t="s">
        <v>44</v>
      </c>
      <c r="H534" t="s">
        <v>1146</v>
      </c>
      <c r="I534" t="s">
        <v>104</v>
      </c>
      <c r="J534" s="1">
        <v>217.84</v>
      </c>
      <c r="K534">
        <v>10</v>
      </c>
      <c r="L534" t="s">
        <v>78</v>
      </c>
      <c r="M534">
        <v>2</v>
      </c>
      <c r="N534">
        <v>2</v>
      </c>
      <c r="O534">
        <v>2</v>
      </c>
      <c r="P534" t="s">
        <v>36</v>
      </c>
      <c r="Q534" t="s">
        <v>85</v>
      </c>
      <c r="R534">
        <v>0</v>
      </c>
      <c r="S534">
        <v>8</v>
      </c>
      <c r="T534" t="s">
        <v>44</v>
      </c>
      <c r="U534" t="s">
        <v>38</v>
      </c>
      <c r="V534" t="s">
        <v>86</v>
      </c>
      <c r="W534" s="2">
        <v>45307</v>
      </c>
      <c r="X534" s="4">
        <f ca="1">TODAY()-DATASET[[#This Row],[Time_of_Purchase]]</f>
        <v>827</v>
      </c>
      <c r="Y534" t="b">
        <v>1</v>
      </c>
      <c r="Z534" t="b">
        <v>1</v>
      </c>
      <c r="AA534" t="s">
        <v>52</v>
      </c>
      <c r="AB534" t="s">
        <v>53</v>
      </c>
      <c r="AC534">
        <v>11</v>
      </c>
    </row>
    <row r="535" spans="1:29" x14ac:dyDescent="0.25">
      <c r="A535" t="s">
        <v>1147</v>
      </c>
      <c r="B535">
        <v>21</v>
      </c>
      <c r="C535" t="s">
        <v>43</v>
      </c>
      <c r="D535" t="s">
        <v>30</v>
      </c>
      <c r="E535" t="s">
        <v>76</v>
      </c>
      <c r="F535" t="s">
        <v>32</v>
      </c>
      <c r="G535" t="s">
        <v>30</v>
      </c>
      <c r="H535" t="s">
        <v>1148</v>
      </c>
      <c r="I535" t="s">
        <v>90</v>
      </c>
      <c r="J535" s="1">
        <v>445.34</v>
      </c>
      <c r="K535">
        <v>9</v>
      </c>
      <c r="L535" t="s">
        <v>48</v>
      </c>
      <c r="M535">
        <v>5</v>
      </c>
      <c r="N535">
        <v>2</v>
      </c>
      <c r="O535">
        <v>1</v>
      </c>
      <c r="P535" t="s">
        <v>59</v>
      </c>
      <c r="Q535" t="s">
        <v>37</v>
      </c>
      <c r="R535">
        <v>1</v>
      </c>
      <c r="S535">
        <v>3</v>
      </c>
      <c r="T535" t="s">
        <v>44</v>
      </c>
      <c r="U535" t="s">
        <v>38</v>
      </c>
      <c r="V535" t="s">
        <v>86</v>
      </c>
      <c r="W535" s="2">
        <v>45355</v>
      </c>
      <c r="X535" s="4">
        <f ca="1">TODAY()-DATASET[[#This Row],[Time_of_Purchase]]</f>
        <v>779</v>
      </c>
      <c r="Y535" t="b">
        <v>1</v>
      </c>
      <c r="Z535" t="b">
        <v>1</v>
      </c>
      <c r="AA535" t="s">
        <v>62</v>
      </c>
      <c r="AB535" t="s">
        <v>41</v>
      </c>
      <c r="AC535">
        <v>3</v>
      </c>
    </row>
    <row r="536" spans="1:29" x14ac:dyDescent="0.25">
      <c r="A536" t="s">
        <v>1149</v>
      </c>
      <c r="B536">
        <v>18</v>
      </c>
      <c r="C536" t="s">
        <v>43</v>
      </c>
      <c r="D536" t="s">
        <v>44</v>
      </c>
      <c r="E536" t="s">
        <v>69</v>
      </c>
      <c r="F536" t="s">
        <v>45</v>
      </c>
      <c r="G536" t="s">
        <v>44</v>
      </c>
      <c r="H536" t="s">
        <v>1150</v>
      </c>
      <c r="I536" t="s">
        <v>65</v>
      </c>
      <c r="J536" s="1">
        <v>151.72999999999999</v>
      </c>
      <c r="K536">
        <v>3</v>
      </c>
      <c r="L536" t="s">
        <v>48</v>
      </c>
      <c r="M536">
        <v>2</v>
      </c>
      <c r="N536">
        <v>4</v>
      </c>
      <c r="O536">
        <v>1</v>
      </c>
      <c r="P536" t="s">
        <v>49</v>
      </c>
      <c r="Q536" t="s">
        <v>85</v>
      </c>
      <c r="R536">
        <v>1</v>
      </c>
      <c r="S536">
        <v>3</v>
      </c>
      <c r="T536" t="s">
        <v>36</v>
      </c>
      <c r="U536" t="s">
        <v>60</v>
      </c>
      <c r="V536" t="s">
        <v>66</v>
      </c>
      <c r="W536" s="2">
        <v>45559</v>
      </c>
      <c r="X536" s="4">
        <f ca="1">TODAY()-DATASET[[#This Row],[Time_of_Purchase]]</f>
        <v>575</v>
      </c>
      <c r="Y536" t="b">
        <v>0</v>
      </c>
      <c r="Z536" t="b">
        <v>1</v>
      </c>
      <c r="AA536" t="s">
        <v>52</v>
      </c>
      <c r="AB536" t="s">
        <v>67</v>
      </c>
      <c r="AC536">
        <v>11</v>
      </c>
    </row>
    <row r="537" spans="1:29" x14ac:dyDescent="0.25">
      <c r="A537" t="s">
        <v>1151</v>
      </c>
      <c r="B537">
        <v>50</v>
      </c>
      <c r="C537" t="s">
        <v>88</v>
      </c>
      <c r="D537" t="s">
        <v>44</v>
      </c>
      <c r="E537" t="s">
        <v>31</v>
      </c>
      <c r="F537" t="s">
        <v>45</v>
      </c>
      <c r="G537" t="s">
        <v>44</v>
      </c>
      <c r="H537" t="s">
        <v>1152</v>
      </c>
      <c r="I537" t="s">
        <v>117</v>
      </c>
      <c r="J537" s="1">
        <v>123.73</v>
      </c>
      <c r="K537">
        <v>9</v>
      </c>
      <c r="L537" t="s">
        <v>78</v>
      </c>
      <c r="M537">
        <v>1</v>
      </c>
      <c r="N537">
        <v>4</v>
      </c>
      <c r="O537">
        <v>0</v>
      </c>
      <c r="P537" t="s">
        <v>44</v>
      </c>
      <c r="Q537" t="s">
        <v>50</v>
      </c>
      <c r="R537">
        <v>2</v>
      </c>
      <c r="S537">
        <v>5</v>
      </c>
      <c r="T537" t="s">
        <v>44</v>
      </c>
      <c r="U537" t="s">
        <v>60</v>
      </c>
      <c r="V537" t="s">
        <v>39</v>
      </c>
      <c r="W537" s="2">
        <v>45572</v>
      </c>
      <c r="X537" s="4">
        <f ca="1">TODAY()-DATASET[[#This Row],[Time_of_Purchase]]</f>
        <v>562</v>
      </c>
      <c r="Y537" t="b">
        <v>0</v>
      </c>
      <c r="Z537" t="b">
        <v>1</v>
      </c>
      <c r="AA537" t="s">
        <v>40</v>
      </c>
      <c r="AB537" t="s">
        <v>41</v>
      </c>
      <c r="AC537">
        <v>10</v>
      </c>
    </row>
    <row r="538" spans="1:29" x14ac:dyDescent="0.25">
      <c r="A538" t="s">
        <v>1153</v>
      </c>
      <c r="B538">
        <v>31</v>
      </c>
      <c r="C538" t="s">
        <v>43</v>
      </c>
      <c r="D538" t="s">
        <v>30</v>
      </c>
      <c r="E538" t="s">
        <v>55</v>
      </c>
      <c r="F538" t="s">
        <v>56</v>
      </c>
      <c r="G538" t="s">
        <v>44</v>
      </c>
      <c r="H538" t="s">
        <v>1154</v>
      </c>
      <c r="I538" t="s">
        <v>194</v>
      </c>
      <c r="J538" s="1">
        <v>370.54</v>
      </c>
      <c r="K538">
        <v>2</v>
      </c>
      <c r="L538" t="s">
        <v>48</v>
      </c>
      <c r="M538">
        <v>3</v>
      </c>
      <c r="N538">
        <v>3</v>
      </c>
      <c r="O538">
        <v>0</v>
      </c>
      <c r="P538" t="s">
        <v>59</v>
      </c>
      <c r="Q538" t="s">
        <v>85</v>
      </c>
      <c r="R538">
        <v>1</v>
      </c>
      <c r="S538">
        <v>9</v>
      </c>
      <c r="T538" t="s">
        <v>59</v>
      </c>
      <c r="U538" t="s">
        <v>60</v>
      </c>
      <c r="V538" t="s">
        <v>39</v>
      </c>
      <c r="W538" s="2">
        <v>45376</v>
      </c>
      <c r="X538" s="4">
        <f ca="1">TODAY()-DATASET[[#This Row],[Time_of_Purchase]]</f>
        <v>758</v>
      </c>
      <c r="Y538" t="b">
        <v>1</v>
      </c>
      <c r="Z538" t="b">
        <v>0</v>
      </c>
      <c r="AA538" t="s">
        <v>62</v>
      </c>
      <c r="AB538" t="s">
        <v>41</v>
      </c>
      <c r="AC538">
        <v>7</v>
      </c>
    </row>
    <row r="539" spans="1:29" x14ac:dyDescent="0.25">
      <c r="A539" t="s">
        <v>1155</v>
      </c>
      <c r="B539">
        <v>45</v>
      </c>
      <c r="C539" t="s">
        <v>43</v>
      </c>
      <c r="D539" t="s">
        <v>44</v>
      </c>
      <c r="E539" t="s">
        <v>31</v>
      </c>
      <c r="F539" t="s">
        <v>56</v>
      </c>
      <c r="G539" t="s">
        <v>44</v>
      </c>
      <c r="H539" t="s">
        <v>1156</v>
      </c>
      <c r="I539" t="s">
        <v>123</v>
      </c>
      <c r="J539" s="1">
        <v>152.87</v>
      </c>
      <c r="K539">
        <v>3</v>
      </c>
      <c r="L539" t="s">
        <v>48</v>
      </c>
      <c r="M539">
        <v>1</v>
      </c>
      <c r="N539">
        <v>5</v>
      </c>
      <c r="O539">
        <v>2</v>
      </c>
      <c r="P539" t="s">
        <v>44</v>
      </c>
      <c r="Q539" t="s">
        <v>85</v>
      </c>
      <c r="R539">
        <v>1</v>
      </c>
      <c r="S539">
        <v>8</v>
      </c>
      <c r="T539" t="s">
        <v>36</v>
      </c>
      <c r="U539" t="s">
        <v>38</v>
      </c>
      <c r="V539" t="s">
        <v>61</v>
      </c>
      <c r="W539" s="2">
        <v>45524</v>
      </c>
      <c r="X539" s="4">
        <f ca="1">TODAY()-DATASET[[#This Row],[Time_of_Purchase]]</f>
        <v>610</v>
      </c>
      <c r="Y539" t="b">
        <v>0</v>
      </c>
      <c r="Z539" t="b">
        <v>0</v>
      </c>
      <c r="AA539" t="s">
        <v>62</v>
      </c>
      <c r="AB539" t="s">
        <v>67</v>
      </c>
      <c r="AC539">
        <v>11</v>
      </c>
    </row>
    <row r="540" spans="1:29" x14ac:dyDescent="0.25">
      <c r="A540" t="s">
        <v>1157</v>
      </c>
      <c r="B540">
        <v>29</v>
      </c>
      <c r="C540" t="s">
        <v>43</v>
      </c>
      <c r="D540" t="s">
        <v>30</v>
      </c>
      <c r="E540" t="s">
        <v>55</v>
      </c>
      <c r="F540" t="s">
        <v>56</v>
      </c>
      <c r="G540" t="s">
        <v>30</v>
      </c>
      <c r="H540" t="s">
        <v>1158</v>
      </c>
      <c r="I540" t="s">
        <v>142</v>
      </c>
      <c r="J540" s="1">
        <v>295.75</v>
      </c>
      <c r="K540">
        <v>4</v>
      </c>
      <c r="L540" t="s">
        <v>35</v>
      </c>
      <c r="M540">
        <v>1</v>
      </c>
      <c r="N540">
        <v>1</v>
      </c>
      <c r="O540">
        <v>0</v>
      </c>
      <c r="P540" t="s">
        <v>44</v>
      </c>
      <c r="Q540" t="s">
        <v>37</v>
      </c>
      <c r="R540">
        <v>1</v>
      </c>
      <c r="S540">
        <v>10</v>
      </c>
      <c r="T540" t="s">
        <v>59</v>
      </c>
      <c r="U540" t="s">
        <v>38</v>
      </c>
      <c r="V540" t="s">
        <v>39</v>
      </c>
      <c r="W540" s="2">
        <v>45633</v>
      </c>
      <c r="X540" s="4">
        <f ca="1">TODAY()-DATASET[[#This Row],[Time_of_Purchase]]</f>
        <v>501</v>
      </c>
      <c r="Y540" t="b">
        <v>1</v>
      </c>
      <c r="Z540" t="b">
        <v>1</v>
      </c>
      <c r="AA540" t="s">
        <v>40</v>
      </c>
      <c r="AB540" t="s">
        <v>53</v>
      </c>
      <c r="AC540">
        <v>8</v>
      </c>
    </row>
    <row r="541" spans="1:29" x14ac:dyDescent="0.25">
      <c r="A541" t="s">
        <v>1159</v>
      </c>
      <c r="B541">
        <v>36</v>
      </c>
      <c r="C541" t="s">
        <v>43</v>
      </c>
      <c r="D541" t="s">
        <v>44</v>
      </c>
      <c r="E541" t="s">
        <v>69</v>
      </c>
      <c r="F541" t="s">
        <v>45</v>
      </c>
      <c r="G541" t="s">
        <v>30</v>
      </c>
      <c r="H541" t="s">
        <v>1160</v>
      </c>
      <c r="I541" t="s">
        <v>58</v>
      </c>
      <c r="J541" s="1">
        <v>358.11</v>
      </c>
      <c r="K541">
        <v>11</v>
      </c>
      <c r="L541" t="s">
        <v>35</v>
      </c>
      <c r="M541">
        <v>5</v>
      </c>
      <c r="N541">
        <v>1</v>
      </c>
      <c r="O541">
        <v>0</v>
      </c>
      <c r="P541" t="s">
        <v>44</v>
      </c>
      <c r="Q541" t="s">
        <v>85</v>
      </c>
      <c r="R541">
        <v>0</v>
      </c>
      <c r="S541">
        <v>3</v>
      </c>
      <c r="T541" t="s">
        <v>44</v>
      </c>
      <c r="U541" t="s">
        <v>79</v>
      </c>
      <c r="V541" t="s">
        <v>39</v>
      </c>
      <c r="W541" s="2">
        <v>45538</v>
      </c>
      <c r="X541" s="4">
        <f ca="1">TODAY()-DATASET[[#This Row],[Time_of_Purchase]]</f>
        <v>596</v>
      </c>
      <c r="Y541" t="b">
        <v>0</v>
      </c>
      <c r="Z541" t="b">
        <v>0</v>
      </c>
      <c r="AA541" t="s">
        <v>40</v>
      </c>
      <c r="AB541" t="s">
        <v>53</v>
      </c>
      <c r="AC541">
        <v>11</v>
      </c>
    </row>
    <row r="542" spans="1:29" x14ac:dyDescent="0.25">
      <c r="A542" t="s">
        <v>1161</v>
      </c>
      <c r="B542">
        <v>27</v>
      </c>
      <c r="C542" t="s">
        <v>29</v>
      </c>
      <c r="D542" t="s">
        <v>44</v>
      </c>
      <c r="E542" t="s">
        <v>69</v>
      </c>
      <c r="F542" t="s">
        <v>56</v>
      </c>
      <c r="G542" t="s">
        <v>44</v>
      </c>
      <c r="H542" t="s">
        <v>1162</v>
      </c>
      <c r="I542" t="s">
        <v>246</v>
      </c>
      <c r="J542" s="1">
        <v>63.6</v>
      </c>
      <c r="K542">
        <v>12</v>
      </c>
      <c r="L542" t="s">
        <v>35</v>
      </c>
      <c r="M542">
        <v>5</v>
      </c>
      <c r="N542">
        <v>1</v>
      </c>
      <c r="O542">
        <v>0</v>
      </c>
      <c r="P542" t="s">
        <v>44</v>
      </c>
      <c r="Q542" t="s">
        <v>50</v>
      </c>
      <c r="R542">
        <v>2</v>
      </c>
      <c r="S542">
        <v>1</v>
      </c>
      <c r="T542" t="s">
        <v>36</v>
      </c>
      <c r="U542" t="s">
        <v>79</v>
      </c>
      <c r="V542" t="s">
        <v>51</v>
      </c>
      <c r="W542" s="2">
        <v>45331</v>
      </c>
      <c r="X542" s="4">
        <f ca="1">TODAY()-DATASET[[#This Row],[Time_of_Purchase]]</f>
        <v>803</v>
      </c>
      <c r="Y542" t="b">
        <v>0</v>
      </c>
      <c r="Z542" t="b">
        <v>1</v>
      </c>
      <c r="AA542" t="s">
        <v>52</v>
      </c>
      <c r="AB542" t="s">
        <v>41</v>
      </c>
      <c r="AC542">
        <v>6</v>
      </c>
    </row>
    <row r="543" spans="1:29" x14ac:dyDescent="0.25">
      <c r="A543" t="s">
        <v>1163</v>
      </c>
      <c r="B543">
        <v>24</v>
      </c>
      <c r="C543" t="s">
        <v>43</v>
      </c>
      <c r="D543" t="s">
        <v>44</v>
      </c>
      <c r="E543" t="s">
        <v>55</v>
      </c>
      <c r="F543" t="s">
        <v>45</v>
      </c>
      <c r="G543" t="s">
        <v>30</v>
      </c>
      <c r="H543" t="s">
        <v>1164</v>
      </c>
      <c r="I543" t="s">
        <v>82</v>
      </c>
      <c r="J543" s="1">
        <v>419.53</v>
      </c>
      <c r="K543">
        <v>3</v>
      </c>
      <c r="L543" t="s">
        <v>35</v>
      </c>
      <c r="M543">
        <v>1</v>
      </c>
      <c r="N543">
        <v>5</v>
      </c>
      <c r="O543">
        <v>2</v>
      </c>
      <c r="P543" t="s">
        <v>44</v>
      </c>
      <c r="Q543" t="s">
        <v>50</v>
      </c>
      <c r="R543">
        <v>2</v>
      </c>
      <c r="S543">
        <v>10</v>
      </c>
      <c r="T543" t="s">
        <v>49</v>
      </c>
      <c r="U543" t="s">
        <v>38</v>
      </c>
      <c r="V543" t="s">
        <v>66</v>
      </c>
      <c r="W543" s="2">
        <v>45378</v>
      </c>
      <c r="X543" s="4">
        <f ca="1">TODAY()-DATASET[[#This Row],[Time_of_Purchase]]</f>
        <v>756</v>
      </c>
      <c r="Y543" t="b">
        <v>0</v>
      </c>
      <c r="Z543" t="b">
        <v>0</v>
      </c>
      <c r="AA543" t="s">
        <v>52</v>
      </c>
      <c r="AB543" t="s">
        <v>67</v>
      </c>
      <c r="AC543">
        <v>6</v>
      </c>
    </row>
    <row r="544" spans="1:29" x14ac:dyDescent="0.25">
      <c r="A544" t="s">
        <v>1165</v>
      </c>
      <c r="B544">
        <v>49</v>
      </c>
      <c r="C544" t="s">
        <v>274</v>
      </c>
      <c r="D544" t="s">
        <v>44</v>
      </c>
      <c r="E544" t="s">
        <v>69</v>
      </c>
      <c r="F544" t="s">
        <v>45</v>
      </c>
      <c r="G544" t="s">
        <v>30</v>
      </c>
      <c r="H544" t="s">
        <v>1166</v>
      </c>
      <c r="I544" t="s">
        <v>158</v>
      </c>
      <c r="J544" s="1">
        <v>491.92</v>
      </c>
      <c r="K544">
        <v>10</v>
      </c>
      <c r="L544" t="s">
        <v>48</v>
      </c>
      <c r="M544">
        <v>5</v>
      </c>
      <c r="N544">
        <v>3</v>
      </c>
      <c r="O544">
        <v>0</v>
      </c>
      <c r="P544" t="s">
        <v>49</v>
      </c>
      <c r="Q544" t="s">
        <v>85</v>
      </c>
      <c r="R544">
        <v>1</v>
      </c>
      <c r="S544">
        <v>1</v>
      </c>
      <c r="T544" t="s">
        <v>59</v>
      </c>
      <c r="U544" t="s">
        <v>79</v>
      </c>
      <c r="V544" t="s">
        <v>39</v>
      </c>
      <c r="W544" s="2">
        <v>45655</v>
      </c>
      <c r="X544" s="4">
        <f ca="1">TODAY()-DATASET[[#This Row],[Time_of_Purchase]]</f>
        <v>479</v>
      </c>
      <c r="Y544" t="b">
        <v>0</v>
      </c>
      <c r="Z544" t="b">
        <v>0</v>
      </c>
      <c r="AA544" t="s">
        <v>52</v>
      </c>
      <c r="AB544" t="s">
        <v>53</v>
      </c>
      <c r="AC544">
        <v>2</v>
      </c>
    </row>
    <row r="545" spans="1:29" x14ac:dyDescent="0.25">
      <c r="A545" t="s">
        <v>1167</v>
      </c>
      <c r="B545">
        <v>21</v>
      </c>
      <c r="C545" t="s">
        <v>88</v>
      </c>
      <c r="D545" t="s">
        <v>30</v>
      </c>
      <c r="E545" t="s">
        <v>76</v>
      </c>
      <c r="F545" t="s">
        <v>45</v>
      </c>
      <c r="G545" t="s">
        <v>44</v>
      </c>
      <c r="H545" t="s">
        <v>1168</v>
      </c>
      <c r="I545" t="s">
        <v>90</v>
      </c>
      <c r="J545" s="1">
        <v>114.44</v>
      </c>
      <c r="K545">
        <v>4</v>
      </c>
      <c r="L545" t="s">
        <v>78</v>
      </c>
      <c r="M545">
        <v>5</v>
      </c>
      <c r="N545">
        <v>3</v>
      </c>
      <c r="O545">
        <v>2</v>
      </c>
      <c r="P545" t="s">
        <v>59</v>
      </c>
      <c r="Q545" t="s">
        <v>50</v>
      </c>
      <c r="R545">
        <v>1</v>
      </c>
      <c r="S545">
        <v>9</v>
      </c>
      <c r="T545" t="s">
        <v>36</v>
      </c>
      <c r="U545" t="s">
        <v>79</v>
      </c>
      <c r="V545" t="s">
        <v>39</v>
      </c>
      <c r="W545" s="2">
        <v>45585</v>
      </c>
      <c r="X545" s="4">
        <f ca="1">TODAY()-DATASET[[#This Row],[Time_of_Purchase]]</f>
        <v>549</v>
      </c>
      <c r="Y545" t="b">
        <v>0</v>
      </c>
      <c r="Z545" t="b">
        <v>0</v>
      </c>
      <c r="AA545" t="s">
        <v>74</v>
      </c>
      <c r="AB545" t="s">
        <v>67</v>
      </c>
      <c r="AC545">
        <v>1</v>
      </c>
    </row>
    <row r="546" spans="1:29" x14ac:dyDescent="0.25">
      <c r="A546" t="s">
        <v>1169</v>
      </c>
      <c r="B546">
        <v>19</v>
      </c>
      <c r="C546" t="s">
        <v>29</v>
      </c>
      <c r="D546" t="s">
        <v>30</v>
      </c>
      <c r="E546" t="s">
        <v>31</v>
      </c>
      <c r="F546" t="s">
        <v>56</v>
      </c>
      <c r="G546" t="s">
        <v>44</v>
      </c>
      <c r="H546" t="s">
        <v>1170</v>
      </c>
      <c r="I546" t="s">
        <v>93</v>
      </c>
      <c r="J546" s="1">
        <v>388.82</v>
      </c>
      <c r="K546">
        <v>10</v>
      </c>
      <c r="L546" t="s">
        <v>35</v>
      </c>
      <c r="M546">
        <v>2</v>
      </c>
      <c r="N546">
        <v>3</v>
      </c>
      <c r="O546">
        <v>0</v>
      </c>
      <c r="P546" t="s">
        <v>59</v>
      </c>
      <c r="Q546" t="s">
        <v>85</v>
      </c>
      <c r="R546">
        <v>0</v>
      </c>
      <c r="S546">
        <v>8</v>
      </c>
      <c r="T546" t="s">
        <v>59</v>
      </c>
      <c r="U546" t="s">
        <v>79</v>
      </c>
      <c r="V546" t="s">
        <v>66</v>
      </c>
      <c r="W546" s="2">
        <v>45538</v>
      </c>
      <c r="X546" s="4">
        <f ca="1">TODAY()-DATASET[[#This Row],[Time_of_Purchase]]</f>
        <v>596</v>
      </c>
      <c r="Y546" t="b">
        <v>0</v>
      </c>
      <c r="Z546" t="b">
        <v>0</v>
      </c>
      <c r="AA546" t="s">
        <v>40</v>
      </c>
      <c r="AB546" t="s">
        <v>41</v>
      </c>
      <c r="AC546">
        <v>6</v>
      </c>
    </row>
    <row r="547" spans="1:29" x14ac:dyDescent="0.25">
      <c r="A547" t="s">
        <v>1171</v>
      </c>
      <c r="B547">
        <v>23</v>
      </c>
      <c r="C547" t="s">
        <v>29</v>
      </c>
      <c r="D547" t="s">
        <v>30</v>
      </c>
      <c r="E547" t="s">
        <v>31</v>
      </c>
      <c r="F547" t="s">
        <v>32</v>
      </c>
      <c r="G547" t="s">
        <v>44</v>
      </c>
      <c r="H547" t="s">
        <v>1172</v>
      </c>
      <c r="I547" t="s">
        <v>93</v>
      </c>
      <c r="J547" s="1">
        <v>58.32</v>
      </c>
      <c r="K547">
        <v>7</v>
      </c>
      <c r="L547" t="s">
        <v>48</v>
      </c>
      <c r="M547">
        <v>1</v>
      </c>
      <c r="N547">
        <v>5</v>
      </c>
      <c r="O547">
        <v>0</v>
      </c>
      <c r="P547" t="s">
        <v>59</v>
      </c>
      <c r="Q547" t="s">
        <v>50</v>
      </c>
      <c r="R547">
        <v>1</v>
      </c>
      <c r="S547">
        <v>6</v>
      </c>
      <c r="T547" t="s">
        <v>59</v>
      </c>
      <c r="U547" t="s">
        <v>60</v>
      </c>
      <c r="V547" t="s">
        <v>51</v>
      </c>
      <c r="W547" s="2">
        <v>45364</v>
      </c>
      <c r="X547" s="4">
        <f ca="1">TODAY()-DATASET[[#This Row],[Time_of_Purchase]]</f>
        <v>770</v>
      </c>
      <c r="Y547" t="b">
        <v>1</v>
      </c>
      <c r="Z547" t="b">
        <v>1</v>
      </c>
      <c r="AA547" t="s">
        <v>40</v>
      </c>
      <c r="AB547" t="s">
        <v>53</v>
      </c>
      <c r="AC547">
        <v>8</v>
      </c>
    </row>
    <row r="548" spans="1:29" x14ac:dyDescent="0.25">
      <c r="A548" t="s">
        <v>1173</v>
      </c>
      <c r="B548">
        <v>28</v>
      </c>
      <c r="C548" t="s">
        <v>29</v>
      </c>
      <c r="D548" t="s">
        <v>44</v>
      </c>
      <c r="E548" t="s">
        <v>76</v>
      </c>
      <c r="F548" t="s">
        <v>56</v>
      </c>
      <c r="G548" t="s">
        <v>44</v>
      </c>
      <c r="H548" t="s">
        <v>1174</v>
      </c>
      <c r="I548" t="s">
        <v>158</v>
      </c>
      <c r="J548" s="1">
        <v>464.76</v>
      </c>
      <c r="K548">
        <v>2</v>
      </c>
      <c r="L548" t="s">
        <v>35</v>
      </c>
      <c r="M548">
        <v>5</v>
      </c>
      <c r="N548">
        <v>1</v>
      </c>
      <c r="O548">
        <v>0</v>
      </c>
      <c r="P548" t="s">
        <v>59</v>
      </c>
      <c r="Q548" t="s">
        <v>85</v>
      </c>
      <c r="R548">
        <v>0</v>
      </c>
      <c r="S548">
        <v>3</v>
      </c>
      <c r="T548" t="s">
        <v>59</v>
      </c>
      <c r="U548" t="s">
        <v>79</v>
      </c>
      <c r="V548" t="s">
        <v>61</v>
      </c>
      <c r="W548" s="2">
        <v>45326</v>
      </c>
      <c r="X548" s="4">
        <f ca="1">TODAY()-DATASET[[#This Row],[Time_of_Purchase]]</f>
        <v>808</v>
      </c>
      <c r="Y548" t="b">
        <v>0</v>
      </c>
      <c r="Z548" t="b">
        <v>1</v>
      </c>
      <c r="AA548" t="s">
        <v>40</v>
      </c>
      <c r="AB548" t="s">
        <v>41</v>
      </c>
      <c r="AC548">
        <v>3</v>
      </c>
    </row>
    <row r="549" spans="1:29" x14ac:dyDescent="0.25">
      <c r="A549" t="s">
        <v>1175</v>
      </c>
      <c r="B549">
        <v>27</v>
      </c>
      <c r="C549" t="s">
        <v>29</v>
      </c>
      <c r="D549" t="s">
        <v>44</v>
      </c>
      <c r="E549" t="s">
        <v>76</v>
      </c>
      <c r="F549" t="s">
        <v>56</v>
      </c>
      <c r="G549" t="s">
        <v>44</v>
      </c>
      <c r="H549" t="s">
        <v>1176</v>
      </c>
      <c r="I549" t="s">
        <v>65</v>
      </c>
      <c r="J549" s="1">
        <v>116.92</v>
      </c>
      <c r="K549">
        <v>7</v>
      </c>
      <c r="L549" t="s">
        <v>35</v>
      </c>
      <c r="M549">
        <v>2</v>
      </c>
      <c r="N549">
        <v>3</v>
      </c>
      <c r="O549">
        <v>2</v>
      </c>
      <c r="P549" t="s">
        <v>36</v>
      </c>
      <c r="Q549" t="s">
        <v>85</v>
      </c>
      <c r="R549">
        <v>2</v>
      </c>
      <c r="S549">
        <v>3</v>
      </c>
      <c r="T549" t="s">
        <v>59</v>
      </c>
      <c r="U549" t="s">
        <v>79</v>
      </c>
      <c r="V549" t="s">
        <v>61</v>
      </c>
      <c r="W549" s="2">
        <v>45382</v>
      </c>
      <c r="X549" s="4">
        <f ca="1">TODAY()-DATASET[[#This Row],[Time_of_Purchase]]</f>
        <v>752</v>
      </c>
      <c r="Y549" t="b">
        <v>1</v>
      </c>
      <c r="Z549" t="b">
        <v>0</v>
      </c>
      <c r="AA549" t="s">
        <v>62</v>
      </c>
      <c r="AB549" t="s">
        <v>41</v>
      </c>
      <c r="AC549">
        <v>14</v>
      </c>
    </row>
    <row r="550" spans="1:29" x14ac:dyDescent="0.25">
      <c r="A550" t="s">
        <v>1177</v>
      </c>
      <c r="B550">
        <v>47</v>
      </c>
      <c r="C550" t="s">
        <v>29</v>
      </c>
      <c r="D550" t="s">
        <v>44</v>
      </c>
      <c r="E550" t="s">
        <v>76</v>
      </c>
      <c r="F550" t="s">
        <v>32</v>
      </c>
      <c r="G550" t="s">
        <v>30</v>
      </c>
      <c r="H550" t="s">
        <v>1178</v>
      </c>
      <c r="I550" t="s">
        <v>246</v>
      </c>
      <c r="J550" s="1">
        <v>396.76</v>
      </c>
      <c r="K550">
        <v>8</v>
      </c>
      <c r="L550" t="s">
        <v>78</v>
      </c>
      <c r="M550">
        <v>3</v>
      </c>
      <c r="N550">
        <v>3</v>
      </c>
      <c r="O550">
        <v>1</v>
      </c>
      <c r="P550" t="s">
        <v>36</v>
      </c>
      <c r="Q550" t="s">
        <v>85</v>
      </c>
      <c r="R550">
        <v>2</v>
      </c>
      <c r="S550">
        <v>4</v>
      </c>
      <c r="T550" t="s">
        <v>44</v>
      </c>
      <c r="U550" t="s">
        <v>38</v>
      </c>
      <c r="V550" t="s">
        <v>86</v>
      </c>
      <c r="W550" s="2">
        <v>45490</v>
      </c>
      <c r="X550" s="4">
        <f ca="1">TODAY()-DATASET[[#This Row],[Time_of_Purchase]]</f>
        <v>644</v>
      </c>
      <c r="Y550" t="b">
        <v>1</v>
      </c>
      <c r="Z550" t="b">
        <v>1</v>
      </c>
      <c r="AA550" t="s">
        <v>74</v>
      </c>
      <c r="AB550" t="s">
        <v>67</v>
      </c>
      <c r="AC550">
        <v>8</v>
      </c>
    </row>
    <row r="551" spans="1:29" x14ac:dyDescent="0.25">
      <c r="A551" t="s">
        <v>1179</v>
      </c>
      <c r="B551">
        <v>20</v>
      </c>
      <c r="C551" t="s">
        <v>274</v>
      </c>
      <c r="D551" t="s">
        <v>44</v>
      </c>
      <c r="E551" t="s">
        <v>69</v>
      </c>
      <c r="F551" t="s">
        <v>56</v>
      </c>
      <c r="G551" t="s">
        <v>30</v>
      </c>
      <c r="H551" t="s">
        <v>1180</v>
      </c>
      <c r="I551" t="s">
        <v>114</v>
      </c>
      <c r="J551" s="1">
        <v>393.35</v>
      </c>
      <c r="K551">
        <v>7</v>
      </c>
      <c r="L551" t="s">
        <v>35</v>
      </c>
      <c r="M551">
        <v>3</v>
      </c>
      <c r="N551">
        <v>4</v>
      </c>
      <c r="O551">
        <v>2</v>
      </c>
      <c r="P551" t="s">
        <v>44</v>
      </c>
      <c r="Q551" t="s">
        <v>50</v>
      </c>
      <c r="R551">
        <v>0</v>
      </c>
      <c r="S551">
        <v>4</v>
      </c>
      <c r="T551" t="s">
        <v>44</v>
      </c>
      <c r="U551" t="s">
        <v>38</v>
      </c>
      <c r="V551" t="s">
        <v>39</v>
      </c>
      <c r="W551" s="2">
        <v>45459</v>
      </c>
      <c r="X551" s="4">
        <f ca="1">TODAY()-DATASET[[#This Row],[Time_of_Purchase]]</f>
        <v>675</v>
      </c>
      <c r="Y551" t="b">
        <v>1</v>
      </c>
      <c r="Z551" t="b">
        <v>1</v>
      </c>
      <c r="AA551" t="s">
        <v>40</v>
      </c>
      <c r="AB551" t="s">
        <v>41</v>
      </c>
      <c r="AC551">
        <v>12</v>
      </c>
    </row>
    <row r="552" spans="1:29" x14ac:dyDescent="0.25">
      <c r="A552" t="s">
        <v>1181</v>
      </c>
      <c r="B552">
        <v>26</v>
      </c>
      <c r="C552" t="s">
        <v>29</v>
      </c>
      <c r="D552" t="s">
        <v>44</v>
      </c>
      <c r="E552" t="s">
        <v>55</v>
      </c>
      <c r="F552" t="s">
        <v>56</v>
      </c>
      <c r="G552" t="s">
        <v>44</v>
      </c>
      <c r="H552" t="s">
        <v>1182</v>
      </c>
      <c r="I552" t="s">
        <v>117</v>
      </c>
      <c r="J552" s="1">
        <v>114.03</v>
      </c>
      <c r="K552">
        <v>7</v>
      </c>
      <c r="L552" t="s">
        <v>35</v>
      </c>
      <c r="M552">
        <v>4</v>
      </c>
      <c r="N552">
        <v>3</v>
      </c>
      <c r="O552">
        <v>0</v>
      </c>
      <c r="P552" t="s">
        <v>49</v>
      </c>
      <c r="Q552" t="s">
        <v>50</v>
      </c>
      <c r="R552">
        <v>1</v>
      </c>
      <c r="S552">
        <v>10</v>
      </c>
      <c r="T552" t="s">
        <v>44</v>
      </c>
      <c r="U552" t="s">
        <v>38</v>
      </c>
      <c r="V552" t="s">
        <v>39</v>
      </c>
      <c r="W552" s="2">
        <v>45395</v>
      </c>
      <c r="X552" s="4">
        <f ca="1">TODAY()-DATASET[[#This Row],[Time_of_Purchase]]</f>
        <v>739</v>
      </c>
      <c r="Y552" t="b">
        <v>1</v>
      </c>
      <c r="Z552" t="b">
        <v>1</v>
      </c>
      <c r="AA552" t="s">
        <v>74</v>
      </c>
      <c r="AB552" t="s">
        <v>41</v>
      </c>
      <c r="AC552">
        <v>6</v>
      </c>
    </row>
    <row r="553" spans="1:29" x14ac:dyDescent="0.25">
      <c r="A553" t="s">
        <v>1183</v>
      </c>
      <c r="B553">
        <v>49</v>
      </c>
      <c r="C553" t="s">
        <v>43</v>
      </c>
      <c r="D553" t="s">
        <v>44</v>
      </c>
      <c r="E553" t="s">
        <v>55</v>
      </c>
      <c r="F553" t="s">
        <v>32</v>
      </c>
      <c r="G553" t="s">
        <v>30</v>
      </c>
      <c r="H553" t="s">
        <v>1184</v>
      </c>
      <c r="I553" t="s">
        <v>142</v>
      </c>
      <c r="J553" s="1">
        <v>109.97</v>
      </c>
      <c r="K553">
        <v>4</v>
      </c>
      <c r="L553" t="s">
        <v>48</v>
      </c>
      <c r="M553">
        <v>4</v>
      </c>
      <c r="N553">
        <v>4</v>
      </c>
      <c r="O553">
        <v>1</v>
      </c>
      <c r="P553" t="s">
        <v>36</v>
      </c>
      <c r="Q553" t="s">
        <v>85</v>
      </c>
      <c r="R553">
        <v>1</v>
      </c>
      <c r="S553">
        <v>5</v>
      </c>
      <c r="T553" t="s">
        <v>36</v>
      </c>
      <c r="U553" t="s">
        <v>38</v>
      </c>
      <c r="V553" t="s">
        <v>39</v>
      </c>
      <c r="W553" s="2">
        <v>45516</v>
      </c>
      <c r="X553" s="4">
        <f ca="1">TODAY()-DATASET[[#This Row],[Time_of_Purchase]]</f>
        <v>618</v>
      </c>
      <c r="Y553" t="b">
        <v>1</v>
      </c>
      <c r="Z553" t="b">
        <v>0</v>
      </c>
      <c r="AA553" t="s">
        <v>52</v>
      </c>
      <c r="AB553" t="s">
        <v>41</v>
      </c>
      <c r="AC553">
        <v>1</v>
      </c>
    </row>
    <row r="554" spans="1:29" x14ac:dyDescent="0.25">
      <c r="A554" t="s">
        <v>1185</v>
      </c>
      <c r="B554">
        <v>39</v>
      </c>
      <c r="C554" t="s">
        <v>29</v>
      </c>
      <c r="D554" t="s">
        <v>44</v>
      </c>
      <c r="E554" t="s">
        <v>69</v>
      </c>
      <c r="F554" t="s">
        <v>56</v>
      </c>
      <c r="G554" t="s">
        <v>44</v>
      </c>
      <c r="H554" t="s">
        <v>1186</v>
      </c>
      <c r="I554" t="s">
        <v>188</v>
      </c>
      <c r="J554" s="1">
        <v>310.23</v>
      </c>
      <c r="K554">
        <v>12</v>
      </c>
      <c r="L554" t="s">
        <v>48</v>
      </c>
      <c r="M554">
        <v>1</v>
      </c>
      <c r="N554">
        <v>4</v>
      </c>
      <c r="O554">
        <v>0</v>
      </c>
      <c r="P554" t="s">
        <v>36</v>
      </c>
      <c r="Q554" t="s">
        <v>37</v>
      </c>
      <c r="R554">
        <v>0</v>
      </c>
      <c r="S554">
        <v>6</v>
      </c>
      <c r="T554" t="s">
        <v>36</v>
      </c>
      <c r="U554" t="s">
        <v>79</v>
      </c>
      <c r="V554" t="s">
        <v>51</v>
      </c>
      <c r="W554" s="2">
        <v>45643</v>
      </c>
      <c r="X554" s="4">
        <f ca="1">TODAY()-DATASET[[#This Row],[Time_of_Purchase]]</f>
        <v>491</v>
      </c>
      <c r="Y554" t="b">
        <v>1</v>
      </c>
      <c r="Z554" t="b">
        <v>0</v>
      </c>
      <c r="AA554" t="s">
        <v>62</v>
      </c>
      <c r="AB554" t="s">
        <v>67</v>
      </c>
      <c r="AC554">
        <v>3</v>
      </c>
    </row>
    <row r="555" spans="1:29" x14ac:dyDescent="0.25">
      <c r="A555" t="s">
        <v>1187</v>
      </c>
      <c r="B555">
        <v>22</v>
      </c>
      <c r="C555" t="s">
        <v>43</v>
      </c>
      <c r="D555" t="s">
        <v>30</v>
      </c>
      <c r="E555" t="s">
        <v>76</v>
      </c>
      <c r="F555" t="s">
        <v>56</v>
      </c>
      <c r="G555" t="s">
        <v>30</v>
      </c>
      <c r="H555" t="s">
        <v>1178</v>
      </c>
      <c r="I555" t="s">
        <v>194</v>
      </c>
      <c r="J555" s="1">
        <v>383.13</v>
      </c>
      <c r="K555">
        <v>3</v>
      </c>
      <c r="L555" t="s">
        <v>35</v>
      </c>
      <c r="M555">
        <v>4</v>
      </c>
      <c r="N555">
        <v>5</v>
      </c>
      <c r="O555">
        <v>0</v>
      </c>
      <c r="P555" t="s">
        <v>49</v>
      </c>
      <c r="Q555" t="s">
        <v>50</v>
      </c>
      <c r="R555">
        <v>2</v>
      </c>
      <c r="S555">
        <v>6</v>
      </c>
      <c r="T555" t="s">
        <v>36</v>
      </c>
      <c r="U555" t="s">
        <v>79</v>
      </c>
      <c r="V555" t="s">
        <v>86</v>
      </c>
      <c r="W555" s="2">
        <v>45560</v>
      </c>
      <c r="X555" s="4">
        <f ca="1">TODAY()-DATASET[[#This Row],[Time_of_Purchase]]</f>
        <v>574</v>
      </c>
      <c r="Y555" t="b">
        <v>0</v>
      </c>
      <c r="Z555" t="b">
        <v>0</v>
      </c>
      <c r="AA555" t="s">
        <v>40</v>
      </c>
      <c r="AB555" t="s">
        <v>41</v>
      </c>
      <c r="AC555">
        <v>7</v>
      </c>
    </row>
    <row r="556" spans="1:29" x14ac:dyDescent="0.25">
      <c r="A556" t="s">
        <v>1188</v>
      </c>
      <c r="B556">
        <v>25</v>
      </c>
      <c r="C556" t="s">
        <v>43</v>
      </c>
      <c r="D556" t="s">
        <v>44</v>
      </c>
      <c r="E556" t="s">
        <v>55</v>
      </c>
      <c r="F556" t="s">
        <v>45</v>
      </c>
      <c r="G556" t="s">
        <v>30</v>
      </c>
      <c r="H556" t="s">
        <v>1189</v>
      </c>
      <c r="I556" t="s">
        <v>142</v>
      </c>
      <c r="J556" s="1">
        <v>434.86</v>
      </c>
      <c r="K556">
        <v>11</v>
      </c>
      <c r="L556" t="s">
        <v>48</v>
      </c>
      <c r="M556">
        <v>2</v>
      </c>
      <c r="N556">
        <v>5</v>
      </c>
      <c r="O556">
        <v>2</v>
      </c>
      <c r="P556" t="s">
        <v>44</v>
      </c>
      <c r="Q556" t="s">
        <v>37</v>
      </c>
      <c r="R556">
        <v>0</v>
      </c>
      <c r="S556">
        <v>4</v>
      </c>
      <c r="T556" t="s">
        <v>49</v>
      </c>
      <c r="U556" t="s">
        <v>60</v>
      </c>
      <c r="V556" t="s">
        <v>66</v>
      </c>
      <c r="W556" s="2">
        <v>45467</v>
      </c>
      <c r="X556" s="4">
        <f ca="1">TODAY()-DATASET[[#This Row],[Time_of_Purchase]]</f>
        <v>667</v>
      </c>
      <c r="Y556" t="b">
        <v>1</v>
      </c>
      <c r="Z556" t="b">
        <v>0</v>
      </c>
      <c r="AA556" t="s">
        <v>62</v>
      </c>
      <c r="AB556" t="s">
        <v>67</v>
      </c>
      <c r="AC556">
        <v>11</v>
      </c>
    </row>
    <row r="557" spans="1:29" x14ac:dyDescent="0.25">
      <c r="A557" t="s">
        <v>1190</v>
      </c>
      <c r="B557">
        <v>30</v>
      </c>
      <c r="C557" t="s">
        <v>29</v>
      </c>
      <c r="D557" t="s">
        <v>30</v>
      </c>
      <c r="E557" t="s">
        <v>31</v>
      </c>
      <c r="F557" t="s">
        <v>32</v>
      </c>
      <c r="G557" t="s">
        <v>30</v>
      </c>
      <c r="H557" t="s">
        <v>1191</v>
      </c>
      <c r="I557" t="s">
        <v>58</v>
      </c>
      <c r="J557" s="1">
        <v>489.1</v>
      </c>
      <c r="K557">
        <v>9</v>
      </c>
      <c r="L557" t="s">
        <v>35</v>
      </c>
      <c r="M557">
        <v>3</v>
      </c>
      <c r="N557">
        <v>4</v>
      </c>
      <c r="O557">
        <v>1</v>
      </c>
      <c r="P557" t="s">
        <v>59</v>
      </c>
      <c r="Q557" t="s">
        <v>37</v>
      </c>
      <c r="R557">
        <v>2</v>
      </c>
      <c r="S557">
        <v>4</v>
      </c>
      <c r="T557" t="s">
        <v>49</v>
      </c>
      <c r="U557" t="s">
        <v>60</v>
      </c>
      <c r="V557" t="s">
        <v>39</v>
      </c>
      <c r="W557" s="2">
        <v>45614</v>
      </c>
      <c r="X557" s="4">
        <f ca="1">TODAY()-DATASET[[#This Row],[Time_of_Purchase]]</f>
        <v>520</v>
      </c>
      <c r="Y557" t="b">
        <v>1</v>
      </c>
      <c r="Z557" t="b">
        <v>0</v>
      </c>
      <c r="AA557" t="s">
        <v>40</v>
      </c>
      <c r="AB557" t="s">
        <v>53</v>
      </c>
      <c r="AC557">
        <v>13</v>
      </c>
    </row>
    <row r="558" spans="1:29" x14ac:dyDescent="0.25">
      <c r="A558" t="s">
        <v>1192</v>
      </c>
      <c r="B558">
        <v>19</v>
      </c>
      <c r="C558" t="s">
        <v>212</v>
      </c>
      <c r="D558" t="s">
        <v>44</v>
      </c>
      <c r="E558" t="s">
        <v>31</v>
      </c>
      <c r="F558" t="s">
        <v>32</v>
      </c>
      <c r="G558" t="s">
        <v>44</v>
      </c>
      <c r="H558" t="s">
        <v>1193</v>
      </c>
      <c r="I558" t="s">
        <v>246</v>
      </c>
      <c r="J558" s="1">
        <v>288.14999999999998</v>
      </c>
      <c r="K558">
        <v>3</v>
      </c>
      <c r="L558" t="s">
        <v>78</v>
      </c>
      <c r="M558">
        <v>1</v>
      </c>
      <c r="N558">
        <v>4</v>
      </c>
      <c r="O558">
        <v>1</v>
      </c>
      <c r="P558" t="s">
        <v>44</v>
      </c>
      <c r="Q558" t="s">
        <v>37</v>
      </c>
      <c r="R558">
        <v>1</v>
      </c>
      <c r="S558">
        <v>4</v>
      </c>
      <c r="T558" t="s">
        <v>49</v>
      </c>
      <c r="U558" t="s">
        <v>38</v>
      </c>
      <c r="V558" t="s">
        <v>86</v>
      </c>
      <c r="W558" s="2">
        <v>45510</v>
      </c>
      <c r="X558" s="4">
        <f ca="1">TODAY()-DATASET[[#This Row],[Time_of_Purchase]]</f>
        <v>624</v>
      </c>
      <c r="Y558" t="b">
        <v>1</v>
      </c>
      <c r="Z558" t="b">
        <v>0</v>
      </c>
      <c r="AA558" t="s">
        <v>62</v>
      </c>
      <c r="AB558" t="s">
        <v>53</v>
      </c>
      <c r="AC558">
        <v>13</v>
      </c>
    </row>
    <row r="559" spans="1:29" x14ac:dyDescent="0.25">
      <c r="A559" t="s">
        <v>1194</v>
      </c>
      <c r="B559">
        <v>35</v>
      </c>
      <c r="C559" t="s">
        <v>43</v>
      </c>
      <c r="D559" t="s">
        <v>44</v>
      </c>
      <c r="E559" t="s">
        <v>76</v>
      </c>
      <c r="F559" t="s">
        <v>56</v>
      </c>
      <c r="G559" t="s">
        <v>30</v>
      </c>
      <c r="H559" t="s">
        <v>1195</v>
      </c>
      <c r="I559" t="s">
        <v>183</v>
      </c>
      <c r="J559" s="1">
        <v>105.87</v>
      </c>
      <c r="K559">
        <v>12</v>
      </c>
      <c r="L559" t="s">
        <v>35</v>
      </c>
      <c r="M559">
        <v>3</v>
      </c>
      <c r="N559">
        <v>2</v>
      </c>
      <c r="O559">
        <v>1</v>
      </c>
      <c r="P559" t="s">
        <v>59</v>
      </c>
      <c r="Q559" t="s">
        <v>50</v>
      </c>
      <c r="R559">
        <v>1</v>
      </c>
      <c r="S559">
        <v>1</v>
      </c>
      <c r="T559" t="s">
        <v>49</v>
      </c>
      <c r="U559" t="s">
        <v>38</v>
      </c>
      <c r="V559" t="s">
        <v>86</v>
      </c>
      <c r="W559" s="2">
        <v>45550</v>
      </c>
      <c r="X559" s="4">
        <f ca="1">TODAY()-DATASET[[#This Row],[Time_of_Purchase]]</f>
        <v>584</v>
      </c>
      <c r="Y559" t="b">
        <v>0</v>
      </c>
      <c r="Z559" t="b">
        <v>0</v>
      </c>
      <c r="AA559" t="s">
        <v>74</v>
      </c>
      <c r="AB559" t="s">
        <v>67</v>
      </c>
      <c r="AC559">
        <v>4</v>
      </c>
    </row>
    <row r="560" spans="1:29" x14ac:dyDescent="0.25">
      <c r="A560" t="s">
        <v>1196</v>
      </c>
      <c r="B560">
        <v>45</v>
      </c>
      <c r="C560" t="s">
        <v>43</v>
      </c>
      <c r="D560" t="s">
        <v>30</v>
      </c>
      <c r="E560" t="s">
        <v>69</v>
      </c>
      <c r="F560" t="s">
        <v>45</v>
      </c>
      <c r="G560" t="s">
        <v>44</v>
      </c>
      <c r="H560" t="s">
        <v>1197</v>
      </c>
      <c r="I560" t="s">
        <v>98</v>
      </c>
      <c r="J560" s="1">
        <v>163.4</v>
      </c>
      <c r="K560">
        <v>3</v>
      </c>
      <c r="L560" t="s">
        <v>48</v>
      </c>
      <c r="M560">
        <v>3</v>
      </c>
      <c r="N560">
        <v>5</v>
      </c>
      <c r="O560">
        <v>1</v>
      </c>
      <c r="P560" t="s">
        <v>44</v>
      </c>
      <c r="Q560" t="s">
        <v>37</v>
      </c>
      <c r="R560">
        <v>2</v>
      </c>
      <c r="S560">
        <v>10</v>
      </c>
      <c r="T560" t="s">
        <v>44</v>
      </c>
      <c r="U560" t="s">
        <v>79</v>
      </c>
      <c r="V560" t="s">
        <v>86</v>
      </c>
      <c r="W560" s="2">
        <v>45481</v>
      </c>
      <c r="X560" s="4">
        <f ca="1">TODAY()-DATASET[[#This Row],[Time_of_Purchase]]</f>
        <v>653</v>
      </c>
      <c r="Y560" t="b">
        <v>1</v>
      </c>
      <c r="Z560" t="b">
        <v>0</v>
      </c>
      <c r="AA560" t="s">
        <v>74</v>
      </c>
      <c r="AB560" t="s">
        <v>53</v>
      </c>
      <c r="AC560">
        <v>7</v>
      </c>
    </row>
    <row r="561" spans="1:29" x14ac:dyDescent="0.25">
      <c r="A561" t="s">
        <v>1198</v>
      </c>
      <c r="B561">
        <v>20</v>
      </c>
      <c r="C561" t="s">
        <v>43</v>
      </c>
      <c r="D561" t="s">
        <v>44</v>
      </c>
      <c r="E561" t="s">
        <v>55</v>
      </c>
      <c r="F561" t="s">
        <v>45</v>
      </c>
      <c r="G561" t="s">
        <v>44</v>
      </c>
      <c r="H561" t="s">
        <v>1199</v>
      </c>
      <c r="I561" t="s">
        <v>34</v>
      </c>
      <c r="J561" s="1">
        <v>422.92</v>
      </c>
      <c r="K561">
        <v>6</v>
      </c>
      <c r="L561" t="s">
        <v>35</v>
      </c>
      <c r="M561">
        <v>4</v>
      </c>
      <c r="N561">
        <v>1</v>
      </c>
      <c r="O561">
        <v>2</v>
      </c>
      <c r="P561" t="s">
        <v>36</v>
      </c>
      <c r="Q561" t="s">
        <v>37</v>
      </c>
      <c r="R561">
        <v>0</v>
      </c>
      <c r="S561">
        <v>6</v>
      </c>
      <c r="T561" t="s">
        <v>59</v>
      </c>
      <c r="U561" t="s">
        <v>79</v>
      </c>
      <c r="V561" t="s">
        <v>61</v>
      </c>
      <c r="W561" s="2">
        <v>45582</v>
      </c>
      <c r="X561" s="4">
        <f ca="1">TODAY()-DATASET[[#This Row],[Time_of_Purchase]]</f>
        <v>552</v>
      </c>
      <c r="Y561" t="b">
        <v>0</v>
      </c>
      <c r="Z561" t="b">
        <v>1</v>
      </c>
      <c r="AA561" t="s">
        <v>74</v>
      </c>
      <c r="AB561" t="s">
        <v>41</v>
      </c>
      <c r="AC561">
        <v>6</v>
      </c>
    </row>
    <row r="562" spans="1:29" x14ac:dyDescent="0.25">
      <c r="A562" t="s">
        <v>1200</v>
      </c>
      <c r="B562">
        <v>48</v>
      </c>
      <c r="C562" t="s">
        <v>43</v>
      </c>
      <c r="D562" t="s">
        <v>30</v>
      </c>
      <c r="E562" t="s">
        <v>76</v>
      </c>
      <c r="F562" t="s">
        <v>45</v>
      </c>
      <c r="G562" t="s">
        <v>44</v>
      </c>
      <c r="H562" t="s">
        <v>1201</v>
      </c>
      <c r="I562" t="s">
        <v>34</v>
      </c>
      <c r="J562" s="1">
        <v>361.48</v>
      </c>
      <c r="K562">
        <v>10</v>
      </c>
      <c r="L562" t="s">
        <v>78</v>
      </c>
      <c r="M562">
        <v>1</v>
      </c>
      <c r="N562">
        <v>4</v>
      </c>
      <c r="O562">
        <v>1</v>
      </c>
      <c r="P562" t="s">
        <v>49</v>
      </c>
      <c r="Q562" t="s">
        <v>37</v>
      </c>
      <c r="R562">
        <v>2</v>
      </c>
      <c r="S562">
        <v>9</v>
      </c>
      <c r="T562" t="s">
        <v>44</v>
      </c>
      <c r="U562" t="s">
        <v>38</v>
      </c>
      <c r="V562" t="s">
        <v>86</v>
      </c>
      <c r="W562" s="2">
        <v>45459</v>
      </c>
      <c r="X562" s="4">
        <f ca="1">TODAY()-DATASET[[#This Row],[Time_of_Purchase]]</f>
        <v>675</v>
      </c>
      <c r="Y562" t="b">
        <v>1</v>
      </c>
      <c r="Z562" t="b">
        <v>1</v>
      </c>
      <c r="AA562" t="s">
        <v>52</v>
      </c>
      <c r="AB562" t="s">
        <v>67</v>
      </c>
      <c r="AC562">
        <v>13</v>
      </c>
    </row>
    <row r="563" spans="1:29" x14ac:dyDescent="0.25">
      <c r="A563" t="s">
        <v>1202</v>
      </c>
      <c r="B563">
        <v>23</v>
      </c>
      <c r="C563" t="s">
        <v>43</v>
      </c>
      <c r="D563" t="s">
        <v>30</v>
      </c>
      <c r="E563" t="s">
        <v>55</v>
      </c>
      <c r="F563" t="s">
        <v>56</v>
      </c>
      <c r="G563" t="s">
        <v>44</v>
      </c>
      <c r="H563" t="s">
        <v>1203</v>
      </c>
      <c r="I563" t="s">
        <v>107</v>
      </c>
      <c r="J563" s="1">
        <v>270.82</v>
      </c>
      <c r="K563">
        <v>2</v>
      </c>
      <c r="L563" t="s">
        <v>48</v>
      </c>
      <c r="M563">
        <v>4</v>
      </c>
      <c r="N563">
        <v>2</v>
      </c>
      <c r="O563">
        <v>0</v>
      </c>
      <c r="P563" t="s">
        <v>36</v>
      </c>
      <c r="Q563" t="s">
        <v>37</v>
      </c>
      <c r="R563">
        <v>1</v>
      </c>
      <c r="S563">
        <v>8</v>
      </c>
      <c r="T563" t="s">
        <v>59</v>
      </c>
      <c r="U563" t="s">
        <v>38</v>
      </c>
      <c r="V563" t="s">
        <v>66</v>
      </c>
      <c r="W563" s="2">
        <v>45595</v>
      </c>
      <c r="X563" s="4">
        <f ca="1">TODAY()-DATASET[[#This Row],[Time_of_Purchase]]</f>
        <v>539</v>
      </c>
      <c r="Y563" t="b">
        <v>1</v>
      </c>
      <c r="Z563" t="b">
        <v>0</v>
      </c>
      <c r="AA563" t="s">
        <v>52</v>
      </c>
      <c r="AB563" t="s">
        <v>53</v>
      </c>
      <c r="AC563">
        <v>13</v>
      </c>
    </row>
    <row r="564" spans="1:29" x14ac:dyDescent="0.25">
      <c r="A564" t="s">
        <v>1204</v>
      </c>
      <c r="B564">
        <v>49</v>
      </c>
      <c r="C564" t="s">
        <v>29</v>
      </c>
      <c r="D564" t="s">
        <v>44</v>
      </c>
      <c r="E564" t="s">
        <v>69</v>
      </c>
      <c r="F564" t="s">
        <v>45</v>
      </c>
      <c r="G564" t="s">
        <v>44</v>
      </c>
      <c r="H564" t="s">
        <v>1205</v>
      </c>
      <c r="I564" t="s">
        <v>126</v>
      </c>
      <c r="J564" s="1">
        <v>372.26</v>
      </c>
      <c r="K564">
        <v>11</v>
      </c>
      <c r="L564" t="s">
        <v>48</v>
      </c>
      <c r="M564">
        <v>1</v>
      </c>
      <c r="N564">
        <v>5</v>
      </c>
      <c r="O564">
        <v>2</v>
      </c>
      <c r="P564" t="s">
        <v>36</v>
      </c>
      <c r="Q564" t="s">
        <v>85</v>
      </c>
      <c r="R564">
        <v>1</v>
      </c>
      <c r="S564">
        <v>8</v>
      </c>
      <c r="T564" t="s">
        <v>44</v>
      </c>
      <c r="U564" t="s">
        <v>60</v>
      </c>
      <c r="V564" t="s">
        <v>51</v>
      </c>
      <c r="W564" s="2">
        <v>45517</v>
      </c>
      <c r="X564" s="4">
        <f ca="1">TODAY()-DATASET[[#This Row],[Time_of_Purchase]]</f>
        <v>617</v>
      </c>
      <c r="Y564" t="b">
        <v>0</v>
      </c>
      <c r="Z564" t="b">
        <v>1</v>
      </c>
      <c r="AA564" t="s">
        <v>52</v>
      </c>
      <c r="AB564" t="s">
        <v>67</v>
      </c>
      <c r="AC564">
        <v>6</v>
      </c>
    </row>
    <row r="565" spans="1:29" x14ac:dyDescent="0.25">
      <c r="A565" t="s">
        <v>1206</v>
      </c>
      <c r="B565">
        <v>23</v>
      </c>
      <c r="C565" t="s">
        <v>29</v>
      </c>
      <c r="D565" t="s">
        <v>30</v>
      </c>
      <c r="E565" t="s">
        <v>69</v>
      </c>
      <c r="F565" t="s">
        <v>32</v>
      </c>
      <c r="G565" t="s">
        <v>44</v>
      </c>
      <c r="H565" t="s">
        <v>1207</v>
      </c>
      <c r="I565" t="s">
        <v>117</v>
      </c>
      <c r="J565" s="1">
        <v>208.59</v>
      </c>
      <c r="K565">
        <v>3</v>
      </c>
      <c r="L565" t="s">
        <v>35</v>
      </c>
      <c r="M565">
        <v>1</v>
      </c>
      <c r="N565">
        <v>1</v>
      </c>
      <c r="O565">
        <v>2</v>
      </c>
      <c r="P565" t="s">
        <v>49</v>
      </c>
      <c r="Q565" t="s">
        <v>37</v>
      </c>
      <c r="R565">
        <v>0</v>
      </c>
      <c r="S565">
        <v>4</v>
      </c>
      <c r="T565" t="s">
        <v>36</v>
      </c>
      <c r="U565" t="s">
        <v>79</v>
      </c>
      <c r="V565" t="s">
        <v>51</v>
      </c>
      <c r="W565" s="2">
        <v>45538</v>
      </c>
      <c r="X565" s="4">
        <f ca="1">TODAY()-DATASET[[#This Row],[Time_of_Purchase]]</f>
        <v>596</v>
      </c>
      <c r="Y565" t="b">
        <v>1</v>
      </c>
      <c r="Z565" t="b">
        <v>0</v>
      </c>
      <c r="AA565" t="s">
        <v>62</v>
      </c>
      <c r="AB565" t="s">
        <v>67</v>
      </c>
      <c r="AC565">
        <v>1</v>
      </c>
    </row>
    <row r="566" spans="1:29" x14ac:dyDescent="0.25">
      <c r="A566" t="s">
        <v>1208</v>
      </c>
      <c r="B566">
        <v>39</v>
      </c>
      <c r="C566" t="s">
        <v>43</v>
      </c>
      <c r="D566" t="s">
        <v>30</v>
      </c>
      <c r="E566" t="s">
        <v>69</v>
      </c>
      <c r="F566" t="s">
        <v>45</v>
      </c>
      <c r="G566" t="s">
        <v>44</v>
      </c>
      <c r="H566" t="s">
        <v>1209</v>
      </c>
      <c r="I566" t="s">
        <v>34</v>
      </c>
      <c r="J566" s="1">
        <v>163.22</v>
      </c>
      <c r="K566">
        <v>8</v>
      </c>
      <c r="L566" t="s">
        <v>78</v>
      </c>
      <c r="M566">
        <v>5</v>
      </c>
      <c r="N566">
        <v>3</v>
      </c>
      <c r="O566">
        <v>0</v>
      </c>
      <c r="P566" t="s">
        <v>44</v>
      </c>
      <c r="Q566" t="s">
        <v>37</v>
      </c>
      <c r="R566">
        <v>1</v>
      </c>
      <c r="S566">
        <v>3</v>
      </c>
      <c r="T566" t="s">
        <v>36</v>
      </c>
      <c r="U566" t="s">
        <v>60</v>
      </c>
      <c r="V566" t="s">
        <v>51</v>
      </c>
      <c r="W566" s="2">
        <v>45474</v>
      </c>
      <c r="X566" s="4">
        <f ca="1">TODAY()-DATASET[[#This Row],[Time_of_Purchase]]</f>
        <v>660</v>
      </c>
      <c r="Y566" t="b">
        <v>0</v>
      </c>
      <c r="Z566" t="b">
        <v>1</v>
      </c>
      <c r="AA566" t="s">
        <v>52</v>
      </c>
      <c r="AB566" t="s">
        <v>41</v>
      </c>
      <c r="AC566">
        <v>8</v>
      </c>
    </row>
    <row r="567" spans="1:29" x14ac:dyDescent="0.25">
      <c r="A567" t="s">
        <v>1210</v>
      </c>
      <c r="B567">
        <v>45</v>
      </c>
      <c r="C567" t="s">
        <v>43</v>
      </c>
      <c r="D567" t="s">
        <v>44</v>
      </c>
      <c r="E567" t="s">
        <v>31</v>
      </c>
      <c r="F567" t="s">
        <v>45</v>
      </c>
      <c r="G567" t="s">
        <v>44</v>
      </c>
      <c r="H567" t="s">
        <v>1211</v>
      </c>
      <c r="I567" t="s">
        <v>101</v>
      </c>
      <c r="J567" s="1">
        <v>364.98</v>
      </c>
      <c r="K567">
        <v>7</v>
      </c>
      <c r="L567" t="s">
        <v>48</v>
      </c>
      <c r="M567">
        <v>4</v>
      </c>
      <c r="N567">
        <v>1</v>
      </c>
      <c r="O567">
        <v>0</v>
      </c>
      <c r="P567" t="s">
        <v>59</v>
      </c>
      <c r="Q567" t="s">
        <v>85</v>
      </c>
      <c r="R567">
        <v>0</v>
      </c>
      <c r="S567">
        <v>1</v>
      </c>
      <c r="T567" t="s">
        <v>36</v>
      </c>
      <c r="U567" t="s">
        <v>79</v>
      </c>
      <c r="V567" t="s">
        <v>86</v>
      </c>
      <c r="W567" s="2">
        <v>45423</v>
      </c>
      <c r="X567" s="4">
        <f ca="1">TODAY()-DATASET[[#This Row],[Time_of_Purchase]]</f>
        <v>711</v>
      </c>
      <c r="Y567" t="b">
        <v>1</v>
      </c>
      <c r="Z567" t="b">
        <v>0</v>
      </c>
      <c r="AA567" t="s">
        <v>52</v>
      </c>
      <c r="AB567" t="s">
        <v>53</v>
      </c>
      <c r="AC567">
        <v>8</v>
      </c>
    </row>
    <row r="568" spans="1:29" x14ac:dyDescent="0.25">
      <c r="A568" t="s">
        <v>1212</v>
      </c>
      <c r="B568">
        <v>31</v>
      </c>
      <c r="C568" t="s">
        <v>352</v>
      </c>
      <c r="D568" t="s">
        <v>44</v>
      </c>
      <c r="E568" t="s">
        <v>76</v>
      </c>
      <c r="F568" t="s">
        <v>56</v>
      </c>
      <c r="G568" t="s">
        <v>44</v>
      </c>
      <c r="H568" t="s">
        <v>1213</v>
      </c>
      <c r="I568" t="s">
        <v>158</v>
      </c>
      <c r="J568" s="1">
        <v>142.43</v>
      </c>
      <c r="K568">
        <v>3</v>
      </c>
      <c r="L568" t="s">
        <v>48</v>
      </c>
      <c r="M568">
        <v>2</v>
      </c>
      <c r="N568">
        <v>5</v>
      </c>
      <c r="O568">
        <v>2</v>
      </c>
      <c r="P568" t="s">
        <v>44</v>
      </c>
      <c r="Q568" t="s">
        <v>85</v>
      </c>
      <c r="R568">
        <v>1</v>
      </c>
      <c r="S568">
        <v>9</v>
      </c>
      <c r="T568" t="s">
        <v>36</v>
      </c>
      <c r="U568" t="s">
        <v>79</v>
      </c>
      <c r="V568" t="s">
        <v>51</v>
      </c>
      <c r="W568" s="2">
        <v>45563</v>
      </c>
      <c r="X568" s="4">
        <f ca="1">TODAY()-DATASET[[#This Row],[Time_of_Purchase]]</f>
        <v>571</v>
      </c>
      <c r="Y568" t="b">
        <v>1</v>
      </c>
      <c r="Z568" t="b">
        <v>0</v>
      </c>
      <c r="AA568" t="s">
        <v>74</v>
      </c>
      <c r="AB568" t="s">
        <v>67</v>
      </c>
      <c r="AC568">
        <v>8</v>
      </c>
    </row>
    <row r="569" spans="1:29" x14ac:dyDescent="0.25">
      <c r="A569" t="s">
        <v>1214</v>
      </c>
      <c r="B569">
        <v>19</v>
      </c>
      <c r="C569" t="s">
        <v>29</v>
      </c>
      <c r="D569" t="s">
        <v>30</v>
      </c>
      <c r="E569" t="s">
        <v>31</v>
      </c>
      <c r="F569" t="s">
        <v>32</v>
      </c>
      <c r="G569" t="s">
        <v>44</v>
      </c>
      <c r="H569" t="s">
        <v>1215</v>
      </c>
      <c r="I569" t="s">
        <v>117</v>
      </c>
      <c r="J569" s="1">
        <v>449.72</v>
      </c>
      <c r="K569">
        <v>3</v>
      </c>
      <c r="L569" t="s">
        <v>35</v>
      </c>
      <c r="M569">
        <v>3</v>
      </c>
      <c r="N569">
        <v>3</v>
      </c>
      <c r="O569">
        <v>0</v>
      </c>
      <c r="P569" t="s">
        <v>44</v>
      </c>
      <c r="Q569" t="s">
        <v>37</v>
      </c>
      <c r="R569">
        <v>1</v>
      </c>
      <c r="S569">
        <v>9</v>
      </c>
      <c r="T569" t="s">
        <v>36</v>
      </c>
      <c r="U569" t="s">
        <v>60</v>
      </c>
      <c r="V569" t="s">
        <v>66</v>
      </c>
      <c r="W569" s="2">
        <v>45340</v>
      </c>
      <c r="X569" s="4">
        <f ca="1">TODAY()-DATASET[[#This Row],[Time_of_Purchase]]</f>
        <v>794</v>
      </c>
      <c r="Y569" t="b">
        <v>1</v>
      </c>
      <c r="Z569" t="b">
        <v>1</v>
      </c>
      <c r="AA569" t="s">
        <v>52</v>
      </c>
      <c r="AB569" t="s">
        <v>67</v>
      </c>
      <c r="AC569">
        <v>3</v>
      </c>
    </row>
    <row r="570" spans="1:29" x14ac:dyDescent="0.25">
      <c r="A570" t="s">
        <v>1216</v>
      </c>
      <c r="B570">
        <v>27</v>
      </c>
      <c r="C570" t="s">
        <v>43</v>
      </c>
      <c r="D570" t="s">
        <v>30</v>
      </c>
      <c r="E570" t="s">
        <v>55</v>
      </c>
      <c r="F570" t="s">
        <v>32</v>
      </c>
      <c r="G570" t="s">
        <v>44</v>
      </c>
      <c r="H570" t="s">
        <v>1217</v>
      </c>
      <c r="I570" t="s">
        <v>34</v>
      </c>
      <c r="J570" s="1">
        <v>241.56</v>
      </c>
      <c r="K570">
        <v>12</v>
      </c>
      <c r="L570" t="s">
        <v>35</v>
      </c>
      <c r="M570">
        <v>3</v>
      </c>
      <c r="N570">
        <v>2</v>
      </c>
      <c r="O570">
        <v>0</v>
      </c>
      <c r="P570" t="s">
        <v>44</v>
      </c>
      <c r="Q570" t="s">
        <v>50</v>
      </c>
      <c r="R570">
        <v>0</v>
      </c>
      <c r="S570">
        <v>5</v>
      </c>
      <c r="T570" t="s">
        <v>44</v>
      </c>
      <c r="U570" t="s">
        <v>38</v>
      </c>
      <c r="V570" t="s">
        <v>51</v>
      </c>
      <c r="W570" s="2">
        <v>45624</v>
      </c>
      <c r="X570" s="4">
        <f ca="1">TODAY()-DATASET[[#This Row],[Time_of_Purchase]]</f>
        <v>510</v>
      </c>
      <c r="Y570" t="b">
        <v>1</v>
      </c>
      <c r="Z570" t="b">
        <v>0</v>
      </c>
      <c r="AA570" t="s">
        <v>40</v>
      </c>
      <c r="AB570" t="s">
        <v>67</v>
      </c>
      <c r="AC570">
        <v>2</v>
      </c>
    </row>
    <row r="571" spans="1:29" x14ac:dyDescent="0.25">
      <c r="A571" t="s">
        <v>1218</v>
      </c>
      <c r="B571">
        <v>32</v>
      </c>
      <c r="C571" t="s">
        <v>88</v>
      </c>
      <c r="D571" t="s">
        <v>30</v>
      </c>
      <c r="E571" t="s">
        <v>76</v>
      </c>
      <c r="F571" t="s">
        <v>56</v>
      </c>
      <c r="G571" t="s">
        <v>44</v>
      </c>
      <c r="H571" t="s">
        <v>1219</v>
      </c>
      <c r="I571" t="s">
        <v>183</v>
      </c>
      <c r="J571" s="1">
        <v>249.73</v>
      </c>
      <c r="K571">
        <v>5</v>
      </c>
      <c r="L571" t="s">
        <v>35</v>
      </c>
      <c r="M571">
        <v>1</v>
      </c>
      <c r="N571">
        <v>4</v>
      </c>
      <c r="O571">
        <v>2</v>
      </c>
      <c r="P571" t="s">
        <v>59</v>
      </c>
      <c r="Q571" t="s">
        <v>85</v>
      </c>
      <c r="R571">
        <v>1</v>
      </c>
      <c r="S571">
        <v>4</v>
      </c>
      <c r="T571" t="s">
        <v>59</v>
      </c>
      <c r="U571" t="s">
        <v>79</v>
      </c>
      <c r="V571" t="s">
        <v>86</v>
      </c>
      <c r="W571" s="2">
        <v>45611</v>
      </c>
      <c r="X571" s="4">
        <f ca="1">TODAY()-DATASET[[#This Row],[Time_of_Purchase]]</f>
        <v>523</v>
      </c>
      <c r="Y571" t="b">
        <v>1</v>
      </c>
      <c r="Z571" t="b">
        <v>0</v>
      </c>
      <c r="AA571" t="s">
        <v>52</v>
      </c>
      <c r="AB571" t="s">
        <v>41</v>
      </c>
      <c r="AC571">
        <v>1</v>
      </c>
    </row>
    <row r="572" spans="1:29" x14ac:dyDescent="0.25">
      <c r="A572" t="s">
        <v>1220</v>
      </c>
      <c r="B572">
        <v>24</v>
      </c>
      <c r="C572" t="s">
        <v>43</v>
      </c>
      <c r="D572" t="s">
        <v>30</v>
      </c>
      <c r="E572" t="s">
        <v>31</v>
      </c>
      <c r="F572" t="s">
        <v>56</v>
      </c>
      <c r="G572" t="s">
        <v>44</v>
      </c>
      <c r="H572" t="s">
        <v>1221</v>
      </c>
      <c r="I572" t="s">
        <v>65</v>
      </c>
      <c r="J572" s="1">
        <v>437.3</v>
      </c>
      <c r="K572">
        <v>7</v>
      </c>
      <c r="L572" t="s">
        <v>35</v>
      </c>
      <c r="M572">
        <v>2</v>
      </c>
      <c r="N572">
        <v>4</v>
      </c>
      <c r="O572">
        <v>0</v>
      </c>
      <c r="P572" t="s">
        <v>44</v>
      </c>
      <c r="Q572" t="s">
        <v>37</v>
      </c>
      <c r="R572">
        <v>0</v>
      </c>
      <c r="S572">
        <v>7</v>
      </c>
      <c r="T572" t="s">
        <v>36</v>
      </c>
      <c r="U572" t="s">
        <v>38</v>
      </c>
      <c r="V572" t="s">
        <v>86</v>
      </c>
      <c r="W572" s="2">
        <v>45497</v>
      </c>
      <c r="X572" s="4">
        <f ca="1">TODAY()-DATASET[[#This Row],[Time_of_Purchase]]</f>
        <v>637</v>
      </c>
      <c r="Y572" t="b">
        <v>1</v>
      </c>
      <c r="Z572" t="b">
        <v>1</v>
      </c>
      <c r="AA572" t="s">
        <v>62</v>
      </c>
      <c r="AB572" t="s">
        <v>41</v>
      </c>
      <c r="AC572">
        <v>1</v>
      </c>
    </row>
    <row r="573" spans="1:29" x14ac:dyDescent="0.25">
      <c r="A573" t="s">
        <v>1222</v>
      </c>
      <c r="B573">
        <v>22</v>
      </c>
      <c r="C573" t="s">
        <v>43</v>
      </c>
      <c r="D573" t="s">
        <v>30</v>
      </c>
      <c r="E573" t="s">
        <v>31</v>
      </c>
      <c r="F573" t="s">
        <v>56</v>
      </c>
      <c r="G573" t="s">
        <v>44</v>
      </c>
      <c r="H573" t="s">
        <v>1223</v>
      </c>
      <c r="I573" t="s">
        <v>158</v>
      </c>
      <c r="J573" s="1">
        <v>277.29000000000002</v>
      </c>
      <c r="K573">
        <v>4</v>
      </c>
      <c r="L573" t="s">
        <v>35</v>
      </c>
      <c r="M573">
        <v>1</v>
      </c>
      <c r="N573">
        <v>4</v>
      </c>
      <c r="O573">
        <v>1</v>
      </c>
      <c r="P573" t="s">
        <v>36</v>
      </c>
      <c r="Q573" t="s">
        <v>37</v>
      </c>
      <c r="R573">
        <v>2</v>
      </c>
      <c r="S573">
        <v>8</v>
      </c>
      <c r="T573" t="s">
        <v>59</v>
      </c>
      <c r="U573" t="s">
        <v>60</v>
      </c>
      <c r="V573" t="s">
        <v>39</v>
      </c>
      <c r="W573" s="2">
        <v>45318</v>
      </c>
      <c r="X573" s="4">
        <f ca="1">TODAY()-DATASET[[#This Row],[Time_of_Purchase]]</f>
        <v>816</v>
      </c>
      <c r="Y573" t="b">
        <v>1</v>
      </c>
      <c r="Z573" t="b">
        <v>1</v>
      </c>
      <c r="AA573" t="s">
        <v>52</v>
      </c>
      <c r="AB573" t="s">
        <v>41</v>
      </c>
      <c r="AC573">
        <v>4</v>
      </c>
    </row>
    <row r="574" spans="1:29" x14ac:dyDescent="0.25">
      <c r="A574" t="s">
        <v>1224</v>
      </c>
      <c r="B574">
        <v>46</v>
      </c>
      <c r="C574" t="s">
        <v>43</v>
      </c>
      <c r="D574" t="s">
        <v>44</v>
      </c>
      <c r="E574" t="s">
        <v>55</v>
      </c>
      <c r="F574" t="s">
        <v>45</v>
      </c>
      <c r="G574" t="s">
        <v>30</v>
      </c>
      <c r="H574" t="s">
        <v>1225</v>
      </c>
      <c r="I574" t="s">
        <v>117</v>
      </c>
      <c r="J574" s="1">
        <v>445.93</v>
      </c>
      <c r="K574">
        <v>6</v>
      </c>
      <c r="L574" t="s">
        <v>78</v>
      </c>
      <c r="M574">
        <v>5</v>
      </c>
      <c r="N574">
        <v>5</v>
      </c>
      <c r="O574">
        <v>2</v>
      </c>
      <c r="P574" t="s">
        <v>44</v>
      </c>
      <c r="Q574" t="s">
        <v>37</v>
      </c>
      <c r="R574">
        <v>2</v>
      </c>
      <c r="S574">
        <v>4</v>
      </c>
      <c r="T574" t="s">
        <v>44</v>
      </c>
      <c r="U574" t="s">
        <v>60</v>
      </c>
      <c r="V574" t="s">
        <v>61</v>
      </c>
      <c r="W574" s="2">
        <v>45427</v>
      </c>
      <c r="X574" s="4">
        <f ca="1">TODAY()-DATASET[[#This Row],[Time_of_Purchase]]</f>
        <v>707</v>
      </c>
      <c r="Y574" t="b">
        <v>0</v>
      </c>
      <c r="Z574" t="b">
        <v>1</v>
      </c>
      <c r="AA574" t="s">
        <v>40</v>
      </c>
      <c r="AB574" t="s">
        <v>41</v>
      </c>
      <c r="AC574">
        <v>13</v>
      </c>
    </row>
    <row r="575" spans="1:29" x14ac:dyDescent="0.25">
      <c r="A575" t="s">
        <v>1226</v>
      </c>
      <c r="B575">
        <v>37</v>
      </c>
      <c r="C575" t="s">
        <v>29</v>
      </c>
      <c r="D575" t="s">
        <v>30</v>
      </c>
      <c r="E575" t="s">
        <v>31</v>
      </c>
      <c r="F575" t="s">
        <v>32</v>
      </c>
      <c r="G575" t="s">
        <v>30</v>
      </c>
      <c r="H575" t="s">
        <v>1227</v>
      </c>
      <c r="I575" t="s">
        <v>120</v>
      </c>
      <c r="J575" s="1">
        <v>242.79</v>
      </c>
      <c r="K575">
        <v>6</v>
      </c>
      <c r="L575" t="s">
        <v>35</v>
      </c>
      <c r="M575">
        <v>2</v>
      </c>
      <c r="N575">
        <v>4</v>
      </c>
      <c r="O575">
        <v>0</v>
      </c>
      <c r="P575" t="s">
        <v>44</v>
      </c>
      <c r="Q575" t="s">
        <v>37</v>
      </c>
      <c r="R575">
        <v>1</v>
      </c>
      <c r="S575">
        <v>7</v>
      </c>
      <c r="T575" t="s">
        <v>36</v>
      </c>
      <c r="U575" t="s">
        <v>60</v>
      </c>
      <c r="V575" t="s">
        <v>66</v>
      </c>
      <c r="W575" s="2">
        <v>45311</v>
      </c>
      <c r="X575" s="4">
        <f ca="1">TODAY()-DATASET[[#This Row],[Time_of_Purchase]]</f>
        <v>823</v>
      </c>
      <c r="Y575" t="b">
        <v>1</v>
      </c>
      <c r="Z575" t="b">
        <v>0</v>
      </c>
      <c r="AA575" t="s">
        <v>62</v>
      </c>
      <c r="AB575" t="s">
        <v>67</v>
      </c>
      <c r="AC575">
        <v>7</v>
      </c>
    </row>
    <row r="576" spans="1:29" x14ac:dyDescent="0.25">
      <c r="A576" t="s">
        <v>1228</v>
      </c>
      <c r="B576">
        <v>34</v>
      </c>
      <c r="C576" t="s">
        <v>43</v>
      </c>
      <c r="D576" t="s">
        <v>44</v>
      </c>
      <c r="E576" t="s">
        <v>55</v>
      </c>
      <c r="F576" t="s">
        <v>32</v>
      </c>
      <c r="G576" t="s">
        <v>44</v>
      </c>
      <c r="H576" t="s">
        <v>1229</v>
      </c>
      <c r="I576" t="s">
        <v>194</v>
      </c>
      <c r="J576" s="1">
        <v>393.09</v>
      </c>
      <c r="K576">
        <v>8</v>
      </c>
      <c r="L576" t="s">
        <v>78</v>
      </c>
      <c r="M576">
        <v>5</v>
      </c>
      <c r="N576">
        <v>3</v>
      </c>
      <c r="O576">
        <v>2</v>
      </c>
      <c r="P576" t="s">
        <v>49</v>
      </c>
      <c r="Q576" t="s">
        <v>37</v>
      </c>
      <c r="R576">
        <v>0</v>
      </c>
      <c r="S576">
        <v>3</v>
      </c>
      <c r="T576" t="s">
        <v>49</v>
      </c>
      <c r="U576" t="s">
        <v>38</v>
      </c>
      <c r="V576" t="s">
        <v>86</v>
      </c>
      <c r="W576" s="2">
        <v>45393</v>
      </c>
      <c r="X576" s="4">
        <f ca="1">TODAY()-DATASET[[#This Row],[Time_of_Purchase]]</f>
        <v>741</v>
      </c>
      <c r="Y576" t="b">
        <v>0</v>
      </c>
      <c r="Z576" t="b">
        <v>1</v>
      </c>
      <c r="AA576" t="s">
        <v>74</v>
      </c>
      <c r="AB576" t="s">
        <v>53</v>
      </c>
      <c r="AC576">
        <v>1</v>
      </c>
    </row>
    <row r="577" spans="1:29" x14ac:dyDescent="0.25">
      <c r="A577" t="s">
        <v>1230</v>
      </c>
      <c r="B577">
        <v>32</v>
      </c>
      <c r="C577" t="s">
        <v>43</v>
      </c>
      <c r="D577" t="s">
        <v>30</v>
      </c>
      <c r="E577" t="s">
        <v>55</v>
      </c>
      <c r="F577" t="s">
        <v>56</v>
      </c>
      <c r="G577" t="s">
        <v>44</v>
      </c>
      <c r="H577" t="s">
        <v>1231</v>
      </c>
      <c r="I577" t="s">
        <v>158</v>
      </c>
      <c r="J577" s="1">
        <v>167.61</v>
      </c>
      <c r="K577">
        <v>2</v>
      </c>
      <c r="L577" t="s">
        <v>78</v>
      </c>
      <c r="M577">
        <v>3</v>
      </c>
      <c r="N577">
        <v>5</v>
      </c>
      <c r="O577">
        <v>1</v>
      </c>
      <c r="P577" t="s">
        <v>36</v>
      </c>
      <c r="Q577" t="s">
        <v>50</v>
      </c>
      <c r="R577">
        <v>2</v>
      </c>
      <c r="S577">
        <v>2</v>
      </c>
      <c r="T577" t="s">
        <v>59</v>
      </c>
      <c r="U577" t="s">
        <v>79</v>
      </c>
      <c r="V577" t="s">
        <v>66</v>
      </c>
      <c r="W577" s="2">
        <v>45606</v>
      </c>
      <c r="X577" s="4">
        <f ca="1">TODAY()-DATASET[[#This Row],[Time_of_Purchase]]</f>
        <v>528</v>
      </c>
      <c r="Y577" t="b">
        <v>1</v>
      </c>
      <c r="Z577" t="b">
        <v>0</v>
      </c>
      <c r="AA577" t="s">
        <v>40</v>
      </c>
      <c r="AB577" t="s">
        <v>41</v>
      </c>
      <c r="AC577">
        <v>13</v>
      </c>
    </row>
    <row r="578" spans="1:29" x14ac:dyDescent="0.25">
      <c r="A578" t="s">
        <v>1232</v>
      </c>
      <c r="B578">
        <v>44</v>
      </c>
      <c r="C578" t="s">
        <v>43</v>
      </c>
      <c r="D578" t="s">
        <v>44</v>
      </c>
      <c r="E578" t="s">
        <v>76</v>
      </c>
      <c r="F578" t="s">
        <v>45</v>
      </c>
      <c r="G578" t="s">
        <v>30</v>
      </c>
      <c r="H578" t="s">
        <v>1233</v>
      </c>
      <c r="I578" t="s">
        <v>34</v>
      </c>
      <c r="J578" s="1">
        <v>324.22000000000003</v>
      </c>
      <c r="K578">
        <v>2</v>
      </c>
      <c r="L578" t="s">
        <v>48</v>
      </c>
      <c r="M578">
        <v>4</v>
      </c>
      <c r="N578">
        <v>2</v>
      </c>
      <c r="O578">
        <v>0</v>
      </c>
      <c r="P578" t="s">
        <v>36</v>
      </c>
      <c r="Q578" t="s">
        <v>37</v>
      </c>
      <c r="R578">
        <v>1</v>
      </c>
      <c r="S578">
        <v>6</v>
      </c>
      <c r="T578" t="s">
        <v>49</v>
      </c>
      <c r="U578" t="s">
        <v>79</v>
      </c>
      <c r="V578" t="s">
        <v>51</v>
      </c>
      <c r="W578" s="2">
        <v>45400</v>
      </c>
      <c r="X578" s="4">
        <f ca="1">TODAY()-DATASET[[#This Row],[Time_of_Purchase]]</f>
        <v>734</v>
      </c>
      <c r="Y578" t="b">
        <v>0</v>
      </c>
      <c r="Z578" t="b">
        <v>0</v>
      </c>
      <c r="AA578" t="s">
        <v>52</v>
      </c>
      <c r="AB578" t="s">
        <v>67</v>
      </c>
      <c r="AC578">
        <v>14</v>
      </c>
    </row>
    <row r="579" spans="1:29" x14ac:dyDescent="0.25">
      <c r="A579" t="s">
        <v>1234</v>
      </c>
      <c r="B579">
        <v>24</v>
      </c>
      <c r="C579" t="s">
        <v>29</v>
      </c>
      <c r="D579" t="s">
        <v>30</v>
      </c>
      <c r="E579" t="s">
        <v>76</v>
      </c>
      <c r="F579" t="s">
        <v>32</v>
      </c>
      <c r="G579" t="s">
        <v>30</v>
      </c>
      <c r="H579" t="s">
        <v>1235</v>
      </c>
      <c r="I579" t="s">
        <v>93</v>
      </c>
      <c r="J579" s="1">
        <v>159.30000000000001</v>
      </c>
      <c r="K579">
        <v>11</v>
      </c>
      <c r="L579" t="s">
        <v>35</v>
      </c>
      <c r="M579">
        <v>5</v>
      </c>
      <c r="N579">
        <v>4</v>
      </c>
      <c r="O579">
        <v>0</v>
      </c>
      <c r="P579" t="s">
        <v>49</v>
      </c>
      <c r="Q579" t="s">
        <v>37</v>
      </c>
      <c r="R579">
        <v>0</v>
      </c>
      <c r="S579">
        <v>6</v>
      </c>
      <c r="T579" t="s">
        <v>44</v>
      </c>
      <c r="U579" t="s">
        <v>38</v>
      </c>
      <c r="V579" t="s">
        <v>51</v>
      </c>
      <c r="W579" s="2">
        <v>45406</v>
      </c>
      <c r="X579" s="4">
        <f ca="1">TODAY()-DATASET[[#This Row],[Time_of_Purchase]]</f>
        <v>728</v>
      </c>
      <c r="Y579" t="b">
        <v>0</v>
      </c>
      <c r="Z579" t="b">
        <v>1</v>
      </c>
      <c r="AA579" t="s">
        <v>62</v>
      </c>
      <c r="AB579" t="s">
        <v>67</v>
      </c>
      <c r="AC579">
        <v>2</v>
      </c>
    </row>
    <row r="580" spans="1:29" x14ac:dyDescent="0.25">
      <c r="A580" t="s">
        <v>1236</v>
      </c>
      <c r="B580">
        <v>22</v>
      </c>
      <c r="C580" t="s">
        <v>352</v>
      </c>
      <c r="D580" t="s">
        <v>30</v>
      </c>
      <c r="E580" t="s">
        <v>69</v>
      </c>
      <c r="F580" t="s">
        <v>56</v>
      </c>
      <c r="G580" t="s">
        <v>30</v>
      </c>
      <c r="H580" t="s">
        <v>1237</v>
      </c>
      <c r="I580" t="s">
        <v>98</v>
      </c>
      <c r="J580" s="1">
        <v>324.39</v>
      </c>
      <c r="K580">
        <v>5</v>
      </c>
      <c r="L580" t="s">
        <v>78</v>
      </c>
      <c r="M580">
        <v>2</v>
      </c>
      <c r="N580">
        <v>2</v>
      </c>
      <c r="O580">
        <v>0</v>
      </c>
      <c r="P580" t="s">
        <v>44</v>
      </c>
      <c r="Q580" t="s">
        <v>85</v>
      </c>
      <c r="R580">
        <v>1</v>
      </c>
      <c r="S580">
        <v>6</v>
      </c>
      <c r="T580" t="s">
        <v>49</v>
      </c>
      <c r="U580" t="s">
        <v>79</v>
      </c>
      <c r="V580" t="s">
        <v>51</v>
      </c>
      <c r="W580" s="2">
        <v>45615</v>
      </c>
      <c r="X580" s="4">
        <f ca="1">TODAY()-DATASET[[#This Row],[Time_of_Purchase]]</f>
        <v>519</v>
      </c>
      <c r="Y580" t="b">
        <v>1</v>
      </c>
      <c r="Z580" t="b">
        <v>0</v>
      </c>
      <c r="AA580" t="s">
        <v>40</v>
      </c>
      <c r="AB580" t="s">
        <v>67</v>
      </c>
      <c r="AC580">
        <v>1</v>
      </c>
    </row>
    <row r="581" spans="1:29" x14ac:dyDescent="0.25">
      <c r="A581" t="s">
        <v>1238</v>
      </c>
      <c r="B581">
        <v>37</v>
      </c>
      <c r="C581" t="s">
        <v>274</v>
      </c>
      <c r="D581" t="s">
        <v>44</v>
      </c>
      <c r="E581" t="s">
        <v>55</v>
      </c>
      <c r="F581" t="s">
        <v>45</v>
      </c>
      <c r="G581" t="s">
        <v>44</v>
      </c>
      <c r="H581" t="s">
        <v>1239</v>
      </c>
      <c r="I581" t="s">
        <v>183</v>
      </c>
      <c r="J581" s="1">
        <v>198.89</v>
      </c>
      <c r="K581">
        <v>2</v>
      </c>
      <c r="L581" t="s">
        <v>48</v>
      </c>
      <c r="M581">
        <v>2</v>
      </c>
      <c r="N581">
        <v>2</v>
      </c>
      <c r="O581">
        <v>0</v>
      </c>
      <c r="P581" t="s">
        <v>44</v>
      </c>
      <c r="Q581" t="s">
        <v>50</v>
      </c>
      <c r="R581">
        <v>0</v>
      </c>
      <c r="S581">
        <v>4</v>
      </c>
      <c r="T581" t="s">
        <v>59</v>
      </c>
      <c r="U581" t="s">
        <v>38</v>
      </c>
      <c r="V581" t="s">
        <v>39</v>
      </c>
      <c r="W581" s="2">
        <v>45303</v>
      </c>
      <c r="X581" s="4">
        <f ca="1">TODAY()-DATASET[[#This Row],[Time_of_Purchase]]</f>
        <v>831</v>
      </c>
      <c r="Y581" t="b">
        <v>0</v>
      </c>
      <c r="Z581" t="b">
        <v>0</v>
      </c>
      <c r="AA581" t="s">
        <v>62</v>
      </c>
      <c r="AB581" t="s">
        <v>53</v>
      </c>
      <c r="AC581">
        <v>1</v>
      </c>
    </row>
    <row r="582" spans="1:29" x14ac:dyDescent="0.25">
      <c r="A582" t="s">
        <v>1240</v>
      </c>
      <c r="B582">
        <v>41</v>
      </c>
      <c r="C582" t="s">
        <v>29</v>
      </c>
      <c r="D582" t="s">
        <v>30</v>
      </c>
      <c r="E582" t="s">
        <v>76</v>
      </c>
      <c r="F582" t="s">
        <v>56</v>
      </c>
      <c r="G582" t="s">
        <v>44</v>
      </c>
      <c r="H582" t="s">
        <v>1241</v>
      </c>
      <c r="I582" t="s">
        <v>183</v>
      </c>
      <c r="J582" s="1">
        <v>287.18</v>
      </c>
      <c r="K582">
        <v>7</v>
      </c>
      <c r="L582" t="s">
        <v>48</v>
      </c>
      <c r="M582">
        <v>4</v>
      </c>
      <c r="N582">
        <v>5</v>
      </c>
      <c r="O582">
        <v>0</v>
      </c>
      <c r="P582" t="s">
        <v>36</v>
      </c>
      <c r="Q582" t="s">
        <v>50</v>
      </c>
      <c r="R582">
        <v>0</v>
      </c>
      <c r="S582">
        <v>1</v>
      </c>
      <c r="T582" t="s">
        <v>36</v>
      </c>
      <c r="U582" t="s">
        <v>38</v>
      </c>
      <c r="V582" t="s">
        <v>61</v>
      </c>
      <c r="W582" s="2">
        <v>45362</v>
      </c>
      <c r="X582" s="4">
        <f ca="1">TODAY()-DATASET[[#This Row],[Time_of_Purchase]]</f>
        <v>772</v>
      </c>
      <c r="Y582" t="b">
        <v>1</v>
      </c>
      <c r="Z582" t="b">
        <v>0</v>
      </c>
      <c r="AA582" t="s">
        <v>74</v>
      </c>
      <c r="AB582" t="s">
        <v>41</v>
      </c>
      <c r="AC582">
        <v>8</v>
      </c>
    </row>
    <row r="583" spans="1:29" x14ac:dyDescent="0.25">
      <c r="A583" t="s">
        <v>1242</v>
      </c>
      <c r="B583">
        <v>32</v>
      </c>
      <c r="C583" t="s">
        <v>43</v>
      </c>
      <c r="D583" t="s">
        <v>44</v>
      </c>
      <c r="E583" t="s">
        <v>76</v>
      </c>
      <c r="F583" t="s">
        <v>45</v>
      </c>
      <c r="G583" t="s">
        <v>30</v>
      </c>
      <c r="H583" t="s">
        <v>1243</v>
      </c>
      <c r="I583" t="s">
        <v>58</v>
      </c>
      <c r="J583" s="1">
        <v>162.24</v>
      </c>
      <c r="K583">
        <v>7</v>
      </c>
      <c r="L583" t="s">
        <v>48</v>
      </c>
      <c r="M583">
        <v>5</v>
      </c>
      <c r="N583">
        <v>3</v>
      </c>
      <c r="O583">
        <v>1</v>
      </c>
      <c r="P583" t="s">
        <v>36</v>
      </c>
      <c r="Q583" t="s">
        <v>85</v>
      </c>
      <c r="R583">
        <v>2</v>
      </c>
      <c r="S583">
        <v>6</v>
      </c>
      <c r="T583" t="s">
        <v>59</v>
      </c>
      <c r="U583" t="s">
        <v>60</v>
      </c>
      <c r="V583" t="s">
        <v>51</v>
      </c>
      <c r="W583" s="2">
        <v>45576</v>
      </c>
      <c r="X583" s="4">
        <f ca="1">TODAY()-DATASET[[#This Row],[Time_of_Purchase]]</f>
        <v>558</v>
      </c>
      <c r="Y583" t="b">
        <v>0</v>
      </c>
      <c r="Z583" t="b">
        <v>0</v>
      </c>
      <c r="AA583" t="s">
        <v>52</v>
      </c>
      <c r="AB583" t="s">
        <v>67</v>
      </c>
      <c r="AC583">
        <v>7</v>
      </c>
    </row>
    <row r="584" spans="1:29" x14ac:dyDescent="0.25">
      <c r="A584" t="s">
        <v>1244</v>
      </c>
      <c r="B584">
        <v>37</v>
      </c>
      <c r="C584" t="s">
        <v>29</v>
      </c>
      <c r="D584" t="s">
        <v>44</v>
      </c>
      <c r="E584" t="s">
        <v>76</v>
      </c>
      <c r="F584" t="s">
        <v>32</v>
      </c>
      <c r="G584" t="s">
        <v>44</v>
      </c>
      <c r="H584" t="s">
        <v>1245</v>
      </c>
      <c r="I584" t="s">
        <v>135</v>
      </c>
      <c r="J584" s="1">
        <v>92.97</v>
      </c>
      <c r="K584">
        <v>6</v>
      </c>
      <c r="L584" t="s">
        <v>48</v>
      </c>
      <c r="M584">
        <v>5</v>
      </c>
      <c r="N584">
        <v>5</v>
      </c>
      <c r="O584">
        <v>0</v>
      </c>
      <c r="P584" t="s">
        <v>49</v>
      </c>
      <c r="Q584" t="s">
        <v>85</v>
      </c>
      <c r="R584">
        <v>0</v>
      </c>
      <c r="S584">
        <v>7</v>
      </c>
      <c r="T584" t="s">
        <v>59</v>
      </c>
      <c r="U584" t="s">
        <v>79</v>
      </c>
      <c r="V584" t="s">
        <v>66</v>
      </c>
      <c r="W584" s="2">
        <v>45641</v>
      </c>
      <c r="X584" s="4">
        <f ca="1">TODAY()-DATASET[[#This Row],[Time_of_Purchase]]</f>
        <v>493</v>
      </c>
      <c r="Y584" t="b">
        <v>0</v>
      </c>
      <c r="Z584" t="b">
        <v>1</v>
      </c>
      <c r="AA584" t="s">
        <v>62</v>
      </c>
      <c r="AB584" t="s">
        <v>53</v>
      </c>
      <c r="AC584">
        <v>7</v>
      </c>
    </row>
    <row r="585" spans="1:29" x14ac:dyDescent="0.25">
      <c r="A585" t="s">
        <v>1246</v>
      </c>
      <c r="B585">
        <v>41</v>
      </c>
      <c r="C585" t="s">
        <v>43</v>
      </c>
      <c r="D585" t="s">
        <v>30</v>
      </c>
      <c r="E585" t="s">
        <v>69</v>
      </c>
      <c r="F585" t="s">
        <v>45</v>
      </c>
      <c r="G585" t="s">
        <v>30</v>
      </c>
      <c r="H585" t="s">
        <v>1247</v>
      </c>
      <c r="I585" t="s">
        <v>47</v>
      </c>
      <c r="J585" s="1">
        <v>144.38999999999999</v>
      </c>
      <c r="K585">
        <v>12</v>
      </c>
      <c r="L585" t="s">
        <v>48</v>
      </c>
      <c r="M585">
        <v>5</v>
      </c>
      <c r="N585">
        <v>3</v>
      </c>
      <c r="O585">
        <v>2</v>
      </c>
      <c r="P585" t="s">
        <v>44</v>
      </c>
      <c r="Q585" t="s">
        <v>85</v>
      </c>
      <c r="R585">
        <v>0</v>
      </c>
      <c r="S585">
        <v>4</v>
      </c>
      <c r="T585" t="s">
        <v>59</v>
      </c>
      <c r="U585" t="s">
        <v>79</v>
      </c>
      <c r="V585" t="s">
        <v>86</v>
      </c>
      <c r="W585" s="2">
        <v>45454</v>
      </c>
      <c r="X585" s="4">
        <f ca="1">TODAY()-DATASET[[#This Row],[Time_of_Purchase]]</f>
        <v>680</v>
      </c>
      <c r="Y585" t="b">
        <v>1</v>
      </c>
      <c r="Z585" t="b">
        <v>1</v>
      </c>
      <c r="AA585" t="s">
        <v>62</v>
      </c>
      <c r="AB585" t="s">
        <v>53</v>
      </c>
      <c r="AC585">
        <v>12</v>
      </c>
    </row>
    <row r="586" spans="1:29" x14ac:dyDescent="0.25">
      <c r="A586" t="s">
        <v>1248</v>
      </c>
      <c r="B586">
        <v>37</v>
      </c>
      <c r="C586" t="s">
        <v>29</v>
      </c>
      <c r="D586" t="s">
        <v>44</v>
      </c>
      <c r="E586" t="s">
        <v>55</v>
      </c>
      <c r="F586" t="s">
        <v>45</v>
      </c>
      <c r="G586" t="s">
        <v>44</v>
      </c>
      <c r="H586" t="s">
        <v>1249</v>
      </c>
      <c r="I586" t="s">
        <v>82</v>
      </c>
      <c r="J586" s="1">
        <v>253.37</v>
      </c>
      <c r="K586">
        <v>12</v>
      </c>
      <c r="L586" t="s">
        <v>48</v>
      </c>
      <c r="M586">
        <v>2</v>
      </c>
      <c r="N586">
        <v>5</v>
      </c>
      <c r="O586">
        <v>0</v>
      </c>
      <c r="P586" t="s">
        <v>36</v>
      </c>
      <c r="Q586" t="s">
        <v>85</v>
      </c>
      <c r="R586">
        <v>0</v>
      </c>
      <c r="S586">
        <v>9</v>
      </c>
      <c r="T586" t="s">
        <v>59</v>
      </c>
      <c r="U586" t="s">
        <v>38</v>
      </c>
      <c r="V586" t="s">
        <v>39</v>
      </c>
      <c r="W586" s="2">
        <v>45420</v>
      </c>
      <c r="X586" s="4">
        <f ca="1">TODAY()-DATASET[[#This Row],[Time_of_Purchase]]</f>
        <v>714</v>
      </c>
      <c r="Y586" t="b">
        <v>0</v>
      </c>
      <c r="Z586" t="b">
        <v>1</v>
      </c>
      <c r="AA586" t="s">
        <v>74</v>
      </c>
      <c r="AB586" t="s">
        <v>67</v>
      </c>
      <c r="AC586">
        <v>6</v>
      </c>
    </row>
    <row r="587" spans="1:29" x14ac:dyDescent="0.25">
      <c r="A587" t="s">
        <v>1250</v>
      </c>
      <c r="B587">
        <v>43</v>
      </c>
      <c r="C587" t="s">
        <v>43</v>
      </c>
      <c r="D587" t="s">
        <v>30</v>
      </c>
      <c r="E587" t="s">
        <v>69</v>
      </c>
      <c r="F587" t="s">
        <v>45</v>
      </c>
      <c r="G587" t="s">
        <v>44</v>
      </c>
      <c r="H587" t="s">
        <v>1251</v>
      </c>
      <c r="I587" t="s">
        <v>101</v>
      </c>
      <c r="J587" s="1">
        <v>209.62</v>
      </c>
      <c r="K587">
        <v>12</v>
      </c>
      <c r="L587" t="s">
        <v>35</v>
      </c>
      <c r="M587">
        <v>1</v>
      </c>
      <c r="N587">
        <v>2</v>
      </c>
      <c r="O587">
        <v>1</v>
      </c>
      <c r="P587" t="s">
        <v>49</v>
      </c>
      <c r="Q587" t="s">
        <v>85</v>
      </c>
      <c r="R587">
        <v>0</v>
      </c>
      <c r="S587">
        <v>7</v>
      </c>
      <c r="T587" t="s">
        <v>49</v>
      </c>
      <c r="U587" t="s">
        <v>38</v>
      </c>
      <c r="V587" t="s">
        <v>66</v>
      </c>
      <c r="W587" s="2">
        <v>45577</v>
      </c>
      <c r="X587" s="4">
        <f ca="1">TODAY()-DATASET[[#This Row],[Time_of_Purchase]]</f>
        <v>557</v>
      </c>
      <c r="Y587" t="b">
        <v>1</v>
      </c>
      <c r="Z587" t="b">
        <v>0</v>
      </c>
      <c r="AA587" t="s">
        <v>74</v>
      </c>
      <c r="AB587" t="s">
        <v>53</v>
      </c>
      <c r="AC587">
        <v>9</v>
      </c>
    </row>
    <row r="588" spans="1:29" x14ac:dyDescent="0.25">
      <c r="A588" t="s">
        <v>1252</v>
      </c>
      <c r="B588">
        <v>49</v>
      </c>
      <c r="C588" t="s">
        <v>43</v>
      </c>
      <c r="D588" t="s">
        <v>44</v>
      </c>
      <c r="E588" t="s">
        <v>55</v>
      </c>
      <c r="F588" t="s">
        <v>45</v>
      </c>
      <c r="G588" t="s">
        <v>30</v>
      </c>
      <c r="H588" t="s">
        <v>1253</v>
      </c>
      <c r="I588" t="s">
        <v>123</v>
      </c>
      <c r="J588" s="1">
        <v>411.62</v>
      </c>
      <c r="K588">
        <v>6</v>
      </c>
      <c r="L588" t="s">
        <v>35</v>
      </c>
      <c r="M588">
        <v>2</v>
      </c>
      <c r="N588">
        <v>1</v>
      </c>
      <c r="O588">
        <v>0</v>
      </c>
      <c r="P588" t="s">
        <v>49</v>
      </c>
      <c r="Q588" t="s">
        <v>37</v>
      </c>
      <c r="R588">
        <v>2</v>
      </c>
      <c r="S588">
        <v>7</v>
      </c>
      <c r="T588" t="s">
        <v>49</v>
      </c>
      <c r="U588" t="s">
        <v>38</v>
      </c>
      <c r="V588" t="s">
        <v>51</v>
      </c>
      <c r="W588" s="2">
        <v>45570</v>
      </c>
      <c r="X588" s="4">
        <f ca="1">TODAY()-DATASET[[#This Row],[Time_of_Purchase]]</f>
        <v>564</v>
      </c>
      <c r="Y588" t="b">
        <v>1</v>
      </c>
      <c r="Z588" t="b">
        <v>0</v>
      </c>
      <c r="AA588" t="s">
        <v>52</v>
      </c>
      <c r="AB588" t="s">
        <v>67</v>
      </c>
      <c r="AC588">
        <v>12</v>
      </c>
    </row>
    <row r="589" spans="1:29" x14ac:dyDescent="0.25">
      <c r="A589" t="s">
        <v>1254</v>
      </c>
      <c r="B589">
        <v>27</v>
      </c>
      <c r="C589" t="s">
        <v>29</v>
      </c>
      <c r="D589" t="s">
        <v>44</v>
      </c>
      <c r="E589" t="s">
        <v>55</v>
      </c>
      <c r="F589" t="s">
        <v>32</v>
      </c>
      <c r="G589" t="s">
        <v>44</v>
      </c>
      <c r="H589" t="s">
        <v>1255</v>
      </c>
      <c r="I589" t="s">
        <v>47</v>
      </c>
      <c r="J589" s="1">
        <v>388.01</v>
      </c>
      <c r="K589">
        <v>2</v>
      </c>
      <c r="L589" t="s">
        <v>78</v>
      </c>
      <c r="M589">
        <v>1</v>
      </c>
      <c r="N589">
        <v>5</v>
      </c>
      <c r="O589">
        <v>1</v>
      </c>
      <c r="P589" t="s">
        <v>44</v>
      </c>
      <c r="Q589" t="s">
        <v>85</v>
      </c>
      <c r="R589">
        <v>1</v>
      </c>
      <c r="S589">
        <v>2</v>
      </c>
      <c r="T589" t="s">
        <v>36</v>
      </c>
      <c r="U589" t="s">
        <v>38</v>
      </c>
      <c r="V589" t="s">
        <v>51</v>
      </c>
      <c r="W589" s="2">
        <v>45615</v>
      </c>
      <c r="X589" s="4">
        <f ca="1">TODAY()-DATASET[[#This Row],[Time_of_Purchase]]</f>
        <v>519</v>
      </c>
      <c r="Y589" t="b">
        <v>0</v>
      </c>
      <c r="Z589" t="b">
        <v>1</v>
      </c>
      <c r="AA589" t="s">
        <v>52</v>
      </c>
      <c r="AB589" t="s">
        <v>53</v>
      </c>
      <c r="AC589">
        <v>10</v>
      </c>
    </row>
    <row r="590" spans="1:29" x14ac:dyDescent="0.25">
      <c r="A590" t="s">
        <v>1256</v>
      </c>
      <c r="B590">
        <v>41</v>
      </c>
      <c r="C590" t="s">
        <v>43</v>
      </c>
      <c r="D590" t="s">
        <v>30</v>
      </c>
      <c r="E590" t="s">
        <v>69</v>
      </c>
      <c r="F590" t="s">
        <v>45</v>
      </c>
      <c r="G590" t="s">
        <v>44</v>
      </c>
      <c r="H590" t="s">
        <v>1257</v>
      </c>
      <c r="I590" t="s">
        <v>104</v>
      </c>
      <c r="J590" s="1">
        <v>50.78</v>
      </c>
      <c r="K590">
        <v>6</v>
      </c>
      <c r="L590" t="s">
        <v>78</v>
      </c>
      <c r="M590">
        <v>5</v>
      </c>
      <c r="N590">
        <v>1</v>
      </c>
      <c r="O590">
        <v>1</v>
      </c>
      <c r="P590" t="s">
        <v>59</v>
      </c>
      <c r="Q590" t="s">
        <v>37</v>
      </c>
      <c r="R590">
        <v>1</v>
      </c>
      <c r="S590">
        <v>8</v>
      </c>
      <c r="T590" t="s">
        <v>36</v>
      </c>
      <c r="U590" t="s">
        <v>38</v>
      </c>
      <c r="V590" t="s">
        <v>61</v>
      </c>
      <c r="W590" s="2">
        <v>45303</v>
      </c>
      <c r="X590" s="4">
        <f ca="1">TODAY()-DATASET[[#This Row],[Time_of_Purchase]]</f>
        <v>831</v>
      </c>
      <c r="Y590" t="b">
        <v>0</v>
      </c>
      <c r="Z590" t="b">
        <v>1</v>
      </c>
      <c r="AA590" t="s">
        <v>40</v>
      </c>
      <c r="AB590" t="s">
        <v>53</v>
      </c>
      <c r="AC590">
        <v>9</v>
      </c>
    </row>
    <row r="591" spans="1:29" x14ac:dyDescent="0.25">
      <c r="A591" t="s">
        <v>1258</v>
      </c>
      <c r="B591">
        <v>33</v>
      </c>
      <c r="C591" t="s">
        <v>43</v>
      </c>
      <c r="D591" t="s">
        <v>44</v>
      </c>
      <c r="E591" t="s">
        <v>76</v>
      </c>
      <c r="F591" t="s">
        <v>32</v>
      </c>
      <c r="G591" t="s">
        <v>30</v>
      </c>
      <c r="H591" t="s">
        <v>1259</v>
      </c>
      <c r="I591" t="s">
        <v>114</v>
      </c>
      <c r="J591" s="1">
        <v>159.82</v>
      </c>
      <c r="K591">
        <v>2</v>
      </c>
      <c r="L591" t="s">
        <v>48</v>
      </c>
      <c r="M591">
        <v>2</v>
      </c>
      <c r="N591">
        <v>1</v>
      </c>
      <c r="O591">
        <v>1</v>
      </c>
      <c r="P591" t="s">
        <v>44</v>
      </c>
      <c r="Q591" t="s">
        <v>85</v>
      </c>
      <c r="R591">
        <v>2</v>
      </c>
      <c r="S591">
        <v>8</v>
      </c>
      <c r="T591" t="s">
        <v>49</v>
      </c>
      <c r="U591" t="s">
        <v>38</v>
      </c>
      <c r="V591" t="s">
        <v>86</v>
      </c>
      <c r="W591" s="2">
        <v>45635</v>
      </c>
      <c r="X591" s="4">
        <f ca="1">TODAY()-DATASET[[#This Row],[Time_of_Purchase]]</f>
        <v>499</v>
      </c>
      <c r="Y591" t="b">
        <v>1</v>
      </c>
      <c r="Z591" t="b">
        <v>1</v>
      </c>
      <c r="AA591" t="s">
        <v>74</v>
      </c>
      <c r="AB591" t="s">
        <v>41</v>
      </c>
      <c r="AC591">
        <v>10</v>
      </c>
    </row>
    <row r="592" spans="1:29" x14ac:dyDescent="0.25">
      <c r="A592" t="s">
        <v>1260</v>
      </c>
      <c r="B592">
        <v>46</v>
      </c>
      <c r="C592" t="s">
        <v>43</v>
      </c>
      <c r="D592" t="s">
        <v>30</v>
      </c>
      <c r="E592" t="s">
        <v>76</v>
      </c>
      <c r="F592" t="s">
        <v>56</v>
      </c>
      <c r="G592" t="s">
        <v>30</v>
      </c>
      <c r="H592" t="s">
        <v>1261</v>
      </c>
      <c r="I592" t="s">
        <v>194</v>
      </c>
      <c r="J592" s="1">
        <v>79.430000000000007</v>
      </c>
      <c r="K592">
        <v>3</v>
      </c>
      <c r="L592" t="s">
        <v>48</v>
      </c>
      <c r="M592">
        <v>1</v>
      </c>
      <c r="N592">
        <v>5</v>
      </c>
      <c r="O592">
        <v>0</v>
      </c>
      <c r="P592" t="s">
        <v>49</v>
      </c>
      <c r="Q592" t="s">
        <v>37</v>
      </c>
      <c r="R592">
        <v>2</v>
      </c>
      <c r="S592">
        <v>7</v>
      </c>
      <c r="T592" t="s">
        <v>36</v>
      </c>
      <c r="U592" t="s">
        <v>60</v>
      </c>
      <c r="V592" t="s">
        <v>51</v>
      </c>
      <c r="W592" s="2">
        <v>45306</v>
      </c>
      <c r="X592" s="4">
        <f ca="1">TODAY()-DATASET[[#This Row],[Time_of_Purchase]]</f>
        <v>828</v>
      </c>
      <c r="Y592" t="b">
        <v>0</v>
      </c>
      <c r="Z592" t="b">
        <v>0</v>
      </c>
      <c r="AA592" t="s">
        <v>52</v>
      </c>
      <c r="AB592" t="s">
        <v>41</v>
      </c>
      <c r="AC592">
        <v>6</v>
      </c>
    </row>
    <row r="593" spans="1:29" x14ac:dyDescent="0.25">
      <c r="A593" t="s">
        <v>1262</v>
      </c>
      <c r="B593">
        <v>42</v>
      </c>
      <c r="C593" t="s">
        <v>29</v>
      </c>
      <c r="D593" t="s">
        <v>30</v>
      </c>
      <c r="E593" t="s">
        <v>31</v>
      </c>
      <c r="F593" t="s">
        <v>32</v>
      </c>
      <c r="G593" t="s">
        <v>30</v>
      </c>
      <c r="H593" t="s">
        <v>1263</v>
      </c>
      <c r="I593" t="s">
        <v>194</v>
      </c>
      <c r="J593" s="1">
        <v>131.36000000000001</v>
      </c>
      <c r="K593">
        <v>4</v>
      </c>
      <c r="L593" t="s">
        <v>48</v>
      </c>
      <c r="M593">
        <v>4</v>
      </c>
      <c r="N593">
        <v>4</v>
      </c>
      <c r="O593">
        <v>2</v>
      </c>
      <c r="P593" t="s">
        <v>36</v>
      </c>
      <c r="Q593" t="s">
        <v>37</v>
      </c>
      <c r="R593">
        <v>1</v>
      </c>
      <c r="S593">
        <v>6</v>
      </c>
      <c r="T593" t="s">
        <v>44</v>
      </c>
      <c r="U593" t="s">
        <v>60</v>
      </c>
      <c r="V593" t="s">
        <v>61</v>
      </c>
      <c r="W593" s="2">
        <v>45617</v>
      </c>
      <c r="X593" s="4">
        <f ca="1">TODAY()-DATASET[[#This Row],[Time_of_Purchase]]</f>
        <v>517</v>
      </c>
      <c r="Y593" t="b">
        <v>0</v>
      </c>
      <c r="Z593" t="b">
        <v>0</v>
      </c>
      <c r="AA593" t="s">
        <v>52</v>
      </c>
      <c r="AB593" t="s">
        <v>67</v>
      </c>
      <c r="AC593">
        <v>3</v>
      </c>
    </row>
    <row r="594" spans="1:29" x14ac:dyDescent="0.25">
      <c r="A594" t="s">
        <v>1264</v>
      </c>
      <c r="B594">
        <v>27</v>
      </c>
      <c r="C594" t="s">
        <v>43</v>
      </c>
      <c r="D594" t="s">
        <v>30</v>
      </c>
      <c r="E594" t="s">
        <v>69</v>
      </c>
      <c r="F594" t="s">
        <v>45</v>
      </c>
      <c r="G594" t="s">
        <v>30</v>
      </c>
      <c r="H594" t="s">
        <v>1265</v>
      </c>
      <c r="I594" t="s">
        <v>188</v>
      </c>
      <c r="J594" s="1">
        <v>299.75</v>
      </c>
      <c r="K594">
        <v>12</v>
      </c>
      <c r="L594" t="s">
        <v>35</v>
      </c>
      <c r="M594">
        <v>2</v>
      </c>
      <c r="N594">
        <v>5</v>
      </c>
      <c r="O594">
        <v>0.3</v>
      </c>
      <c r="P594" t="s">
        <v>59</v>
      </c>
      <c r="Q594" t="s">
        <v>85</v>
      </c>
      <c r="R594">
        <v>0</v>
      </c>
      <c r="S594">
        <v>4</v>
      </c>
      <c r="T594" t="s">
        <v>59</v>
      </c>
      <c r="U594" t="s">
        <v>79</v>
      </c>
      <c r="V594" t="s">
        <v>39</v>
      </c>
      <c r="W594" s="2">
        <v>45478</v>
      </c>
      <c r="X594" s="4">
        <f ca="1">TODAY()-DATASET[[#This Row],[Time_of_Purchase]]</f>
        <v>656</v>
      </c>
      <c r="Y594" t="b">
        <v>0</v>
      </c>
      <c r="Z594" t="b">
        <v>1</v>
      </c>
      <c r="AA594" t="s">
        <v>40</v>
      </c>
      <c r="AB594" t="s">
        <v>41</v>
      </c>
      <c r="AC594">
        <v>7</v>
      </c>
    </row>
    <row r="595" spans="1:29" x14ac:dyDescent="0.25">
      <c r="A595" t="s">
        <v>1266</v>
      </c>
      <c r="B595">
        <v>29</v>
      </c>
      <c r="C595" t="s">
        <v>43</v>
      </c>
      <c r="D595" t="s">
        <v>44</v>
      </c>
      <c r="E595" t="s">
        <v>76</v>
      </c>
      <c r="F595" t="s">
        <v>32</v>
      </c>
      <c r="G595" t="s">
        <v>30</v>
      </c>
      <c r="H595" t="s">
        <v>1267</v>
      </c>
      <c r="I595" t="s">
        <v>101</v>
      </c>
      <c r="J595" s="1">
        <v>319.38</v>
      </c>
      <c r="K595">
        <v>9</v>
      </c>
      <c r="L595" t="s">
        <v>48</v>
      </c>
      <c r="M595">
        <v>4</v>
      </c>
      <c r="N595">
        <v>1</v>
      </c>
      <c r="O595">
        <v>0</v>
      </c>
      <c r="P595" t="s">
        <v>59</v>
      </c>
      <c r="Q595" t="s">
        <v>50</v>
      </c>
      <c r="R595">
        <v>1</v>
      </c>
      <c r="S595">
        <v>6</v>
      </c>
      <c r="T595" t="s">
        <v>44</v>
      </c>
      <c r="U595" t="s">
        <v>38</v>
      </c>
      <c r="V595" t="s">
        <v>51</v>
      </c>
      <c r="W595" s="2">
        <v>45611</v>
      </c>
      <c r="X595" s="4">
        <f ca="1">TODAY()-DATASET[[#This Row],[Time_of_Purchase]]</f>
        <v>523</v>
      </c>
      <c r="Y595" t="b">
        <v>1</v>
      </c>
      <c r="Z595" t="b">
        <v>1</v>
      </c>
      <c r="AA595" t="s">
        <v>40</v>
      </c>
      <c r="AB595" t="s">
        <v>41</v>
      </c>
      <c r="AC595">
        <v>8</v>
      </c>
    </row>
    <row r="596" spans="1:29" x14ac:dyDescent="0.25">
      <c r="A596" t="s">
        <v>1268</v>
      </c>
      <c r="B596">
        <v>38</v>
      </c>
      <c r="C596" t="s">
        <v>43</v>
      </c>
      <c r="D596" t="s">
        <v>44</v>
      </c>
      <c r="E596" t="s">
        <v>55</v>
      </c>
      <c r="F596" t="s">
        <v>56</v>
      </c>
      <c r="G596" t="s">
        <v>30</v>
      </c>
      <c r="H596" t="s">
        <v>1269</v>
      </c>
      <c r="I596" t="s">
        <v>117</v>
      </c>
      <c r="J596" s="1">
        <v>476.48</v>
      </c>
      <c r="K596">
        <v>8</v>
      </c>
      <c r="L596" t="s">
        <v>78</v>
      </c>
      <c r="M596">
        <v>5</v>
      </c>
      <c r="N596">
        <v>2</v>
      </c>
      <c r="O596">
        <v>1</v>
      </c>
      <c r="P596" t="s">
        <v>36</v>
      </c>
      <c r="Q596" t="s">
        <v>37</v>
      </c>
      <c r="R596">
        <v>2</v>
      </c>
      <c r="S596">
        <v>10</v>
      </c>
      <c r="T596" t="s">
        <v>44</v>
      </c>
      <c r="U596" t="s">
        <v>79</v>
      </c>
      <c r="V596" t="s">
        <v>51</v>
      </c>
      <c r="W596" s="2">
        <v>45479</v>
      </c>
      <c r="X596" s="4">
        <f ca="1">TODAY()-DATASET[[#This Row],[Time_of_Purchase]]</f>
        <v>655</v>
      </c>
      <c r="Y596" t="b">
        <v>0</v>
      </c>
      <c r="Z596" t="b">
        <v>1</v>
      </c>
      <c r="AA596" t="s">
        <v>62</v>
      </c>
      <c r="AB596" t="s">
        <v>67</v>
      </c>
      <c r="AC596">
        <v>3</v>
      </c>
    </row>
    <row r="597" spans="1:29" x14ac:dyDescent="0.25">
      <c r="A597" t="s">
        <v>1270</v>
      </c>
      <c r="B597">
        <v>21</v>
      </c>
      <c r="C597" t="s">
        <v>43</v>
      </c>
      <c r="D597" t="s">
        <v>30</v>
      </c>
      <c r="E597" t="s">
        <v>69</v>
      </c>
      <c r="F597" t="s">
        <v>32</v>
      </c>
      <c r="G597" t="s">
        <v>30</v>
      </c>
      <c r="H597" t="s">
        <v>1271</v>
      </c>
      <c r="I597" t="s">
        <v>34</v>
      </c>
      <c r="J597" s="1">
        <v>301.01</v>
      </c>
      <c r="K597">
        <v>9</v>
      </c>
      <c r="L597" t="s">
        <v>35</v>
      </c>
      <c r="M597">
        <v>2</v>
      </c>
      <c r="N597">
        <v>1</v>
      </c>
      <c r="O597">
        <v>2</v>
      </c>
      <c r="P597" t="s">
        <v>44</v>
      </c>
      <c r="Q597" t="s">
        <v>50</v>
      </c>
      <c r="R597">
        <v>2</v>
      </c>
      <c r="S597">
        <v>8</v>
      </c>
      <c r="T597" t="s">
        <v>49</v>
      </c>
      <c r="U597" t="s">
        <v>60</v>
      </c>
      <c r="V597" t="s">
        <v>66</v>
      </c>
      <c r="W597" s="2">
        <v>45527</v>
      </c>
      <c r="X597" s="4">
        <f ca="1">TODAY()-DATASET[[#This Row],[Time_of_Purchase]]</f>
        <v>607</v>
      </c>
      <c r="Y597" t="b">
        <v>0</v>
      </c>
      <c r="Z597" t="b">
        <v>1</v>
      </c>
      <c r="AA597" t="s">
        <v>40</v>
      </c>
      <c r="AB597" t="s">
        <v>67</v>
      </c>
      <c r="AC597">
        <v>13</v>
      </c>
    </row>
    <row r="598" spans="1:29" x14ac:dyDescent="0.25">
      <c r="A598" t="s">
        <v>1272</v>
      </c>
      <c r="B598">
        <v>18</v>
      </c>
      <c r="C598" t="s">
        <v>43</v>
      </c>
      <c r="D598" t="s">
        <v>30</v>
      </c>
      <c r="E598" t="s">
        <v>55</v>
      </c>
      <c r="F598" t="s">
        <v>32</v>
      </c>
      <c r="G598" t="s">
        <v>30</v>
      </c>
      <c r="H598" t="s">
        <v>1273</v>
      </c>
      <c r="I598" t="s">
        <v>117</v>
      </c>
      <c r="J598" s="1">
        <v>378.71</v>
      </c>
      <c r="K598">
        <v>5</v>
      </c>
      <c r="L598" t="s">
        <v>78</v>
      </c>
      <c r="M598">
        <v>4</v>
      </c>
      <c r="N598">
        <v>1</v>
      </c>
      <c r="O598">
        <v>2</v>
      </c>
      <c r="P598" t="s">
        <v>49</v>
      </c>
      <c r="Q598" t="s">
        <v>37</v>
      </c>
      <c r="R598">
        <v>2</v>
      </c>
      <c r="S598">
        <v>5</v>
      </c>
      <c r="T598" t="s">
        <v>36</v>
      </c>
      <c r="U598" t="s">
        <v>79</v>
      </c>
      <c r="V598" t="s">
        <v>66</v>
      </c>
      <c r="W598" s="2">
        <v>45534</v>
      </c>
      <c r="X598" s="4">
        <f ca="1">TODAY()-DATASET[[#This Row],[Time_of_Purchase]]</f>
        <v>600</v>
      </c>
      <c r="Y598" t="b">
        <v>1</v>
      </c>
      <c r="Z598" t="b">
        <v>1</v>
      </c>
      <c r="AA598" t="s">
        <v>74</v>
      </c>
      <c r="AB598" t="s">
        <v>67</v>
      </c>
      <c r="AC598">
        <v>14</v>
      </c>
    </row>
    <row r="599" spans="1:29" x14ac:dyDescent="0.25">
      <c r="A599" t="s">
        <v>1274</v>
      </c>
      <c r="B599">
        <v>44</v>
      </c>
      <c r="C599" t="s">
        <v>190</v>
      </c>
      <c r="D599" t="s">
        <v>30</v>
      </c>
      <c r="E599" t="s">
        <v>55</v>
      </c>
      <c r="F599" t="s">
        <v>32</v>
      </c>
      <c r="G599" t="s">
        <v>30</v>
      </c>
      <c r="H599" t="s">
        <v>1275</v>
      </c>
      <c r="I599" t="s">
        <v>93</v>
      </c>
      <c r="J599" s="1">
        <v>314.32</v>
      </c>
      <c r="K599">
        <v>6</v>
      </c>
      <c r="L599" t="s">
        <v>78</v>
      </c>
      <c r="M599">
        <v>1</v>
      </c>
      <c r="N599">
        <v>4</v>
      </c>
      <c r="O599">
        <v>2</v>
      </c>
      <c r="P599" t="s">
        <v>44</v>
      </c>
      <c r="Q599" t="s">
        <v>85</v>
      </c>
      <c r="R599">
        <v>2</v>
      </c>
      <c r="S599">
        <v>5</v>
      </c>
      <c r="T599" t="s">
        <v>59</v>
      </c>
      <c r="U599" t="s">
        <v>60</v>
      </c>
      <c r="V599" t="s">
        <v>39</v>
      </c>
      <c r="W599" s="2">
        <v>45367</v>
      </c>
      <c r="X599" s="4">
        <f ca="1">TODAY()-DATASET[[#This Row],[Time_of_Purchase]]</f>
        <v>767</v>
      </c>
      <c r="Y599" t="b">
        <v>1</v>
      </c>
      <c r="Z599" t="b">
        <v>0</v>
      </c>
      <c r="AA599" t="s">
        <v>62</v>
      </c>
      <c r="AB599" t="s">
        <v>53</v>
      </c>
      <c r="AC599">
        <v>7</v>
      </c>
    </row>
    <row r="600" spans="1:29" x14ac:dyDescent="0.25">
      <c r="A600" t="s">
        <v>1276</v>
      </c>
      <c r="B600">
        <v>22</v>
      </c>
      <c r="C600" t="s">
        <v>43</v>
      </c>
      <c r="D600" t="s">
        <v>30</v>
      </c>
      <c r="E600" t="s">
        <v>31</v>
      </c>
      <c r="F600" t="s">
        <v>45</v>
      </c>
      <c r="G600" t="s">
        <v>44</v>
      </c>
      <c r="H600" t="s">
        <v>254</v>
      </c>
      <c r="I600" t="s">
        <v>58</v>
      </c>
      <c r="J600" s="1">
        <v>210.9</v>
      </c>
      <c r="K600">
        <v>12</v>
      </c>
      <c r="L600" t="s">
        <v>48</v>
      </c>
      <c r="M600">
        <v>2</v>
      </c>
      <c r="N600">
        <v>1</v>
      </c>
      <c r="O600">
        <v>2</v>
      </c>
      <c r="P600" t="s">
        <v>36</v>
      </c>
      <c r="Q600" t="s">
        <v>37</v>
      </c>
      <c r="R600">
        <v>1</v>
      </c>
      <c r="S600">
        <v>1</v>
      </c>
      <c r="T600" t="s">
        <v>36</v>
      </c>
      <c r="U600" t="s">
        <v>38</v>
      </c>
      <c r="V600" t="s">
        <v>61</v>
      </c>
      <c r="W600" s="2">
        <v>45521</v>
      </c>
      <c r="X600" s="4">
        <f ca="1">TODAY()-DATASET[[#This Row],[Time_of_Purchase]]</f>
        <v>613</v>
      </c>
      <c r="Y600" t="b">
        <v>0</v>
      </c>
      <c r="Z600" t="b">
        <v>0</v>
      </c>
      <c r="AA600" t="s">
        <v>62</v>
      </c>
      <c r="AB600" t="s">
        <v>53</v>
      </c>
      <c r="AC600">
        <v>12</v>
      </c>
    </row>
    <row r="601" spans="1:29" x14ac:dyDescent="0.25">
      <c r="A601" t="s">
        <v>1277</v>
      </c>
      <c r="B601">
        <v>18</v>
      </c>
      <c r="C601" t="s">
        <v>29</v>
      </c>
      <c r="D601" t="s">
        <v>30</v>
      </c>
      <c r="E601" t="s">
        <v>76</v>
      </c>
      <c r="F601" t="s">
        <v>45</v>
      </c>
      <c r="G601" t="s">
        <v>44</v>
      </c>
      <c r="H601" t="s">
        <v>1278</v>
      </c>
      <c r="I601" t="s">
        <v>47</v>
      </c>
      <c r="J601" s="1">
        <v>218.26</v>
      </c>
      <c r="K601">
        <v>4</v>
      </c>
      <c r="L601" t="s">
        <v>35</v>
      </c>
      <c r="M601">
        <v>3</v>
      </c>
      <c r="N601">
        <v>1</v>
      </c>
      <c r="O601">
        <v>2</v>
      </c>
      <c r="P601" t="s">
        <v>59</v>
      </c>
      <c r="Q601" t="s">
        <v>85</v>
      </c>
      <c r="R601">
        <v>0</v>
      </c>
      <c r="S601">
        <v>8</v>
      </c>
      <c r="T601" t="s">
        <v>44</v>
      </c>
      <c r="U601" t="s">
        <v>60</v>
      </c>
      <c r="V601" t="s">
        <v>61</v>
      </c>
      <c r="W601" s="2">
        <v>45349</v>
      </c>
      <c r="X601" s="4">
        <f ca="1">TODAY()-DATASET[[#This Row],[Time_of_Purchase]]</f>
        <v>785</v>
      </c>
      <c r="Y601" t="b">
        <v>0</v>
      </c>
      <c r="Z601" t="b">
        <v>0</v>
      </c>
      <c r="AA601" t="s">
        <v>52</v>
      </c>
      <c r="AB601" t="s">
        <v>53</v>
      </c>
      <c r="AC601">
        <v>12</v>
      </c>
    </row>
    <row r="602" spans="1:29" x14ac:dyDescent="0.25">
      <c r="A602" t="s">
        <v>1279</v>
      </c>
      <c r="B602">
        <v>24</v>
      </c>
      <c r="C602" t="s">
        <v>29</v>
      </c>
      <c r="D602" t="s">
        <v>30</v>
      </c>
      <c r="E602" t="s">
        <v>69</v>
      </c>
      <c r="F602" t="s">
        <v>56</v>
      </c>
      <c r="G602" t="s">
        <v>30</v>
      </c>
      <c r="H602" t="s">
        <v>1280</v>
      </c>
      <c r="I602" t="s">
        <v>101</v>
      </c>
      <c r="J602" s="1">
        <v>424.18</v>
      </c>
      <c r="K602">
        <v>5</v>
      </c>
      <c r="L602" t="s">
        <v>35</v>
      </c>
      <c r="M602">
        <v>4</v>
      </c>
      <c r="N602">
        <v>4</v>
      </c>
      <c r="O602">
        <v>1</v>
      </c>
      <c r="P602" t="s">
        <v>36</v>
      </c>
      <c r="Q602" t="s">
        <v>50</v>
      </c>
      <c r="R602">
        <v>2</v>
      </c>
      <c r="S602">
        <v>4</v>
      </c>
      <c r="T602" t="s">
        <v>49</v>
      </c>
      <c r="U602" t="s">
        <v>60</v>
      </c>
      <c r="V602" t="s">
        <v>61</v>
      </c>
      <c r="W602" s="2">
        <v>45336</v>
      </c>
      <c r="X602" s="4">
        <f ca="1">TODAY()-DATASET[[#This Row],[Time_of_Purchase]]</f>
        <v>798</v>
      </c>
      <c r="Y602" t="b">
        <v>0</v>
      </c>
      <c r="Z602" t="b">
        <v>1</v>
      </c>
      <c r="AA602" t="s">
        <v>40</v>
      </c>
      <c r="AB602" t="s">
        <v>67</v>
      </c>
      <c r="AC602">
        <v>5</v>
      </c>
    </row>
    <row r="603" spans="1:29" x14ac:dyDescent="0.25">
      <c r="A603" t="s">
        <v>1281</v>
      </c>
      <c r="B603">
        <v>28</v>
      </c>
      <c r="C603" t="s">
        <v>43</v>
      </c>
      <c r="D603" t="s">
        <v>44</v>
      </c>
      <c r="E603" t="s">
        <v>76</v>
      </c>
      <c r="F603" t="s">
        <v>45</v>
      </c>
      <c r="G603" t="s">
        <v>30</v>
      </c>
      <c r="H603" t="s">
        <v>92</v>
      </c>
      <c r="I603" t="s">
        <v>98</v>
      </c>
      <c r="J603" s="1">
        <v>430.75</v>
      </c>
      <c r="K603">
        <v>11</v>
      </c>
      <c r="L603" t="s">
        <v>78</v>
      </c>
      <c r="M603">
        <v>1</v>
      </c>
      <c r="N603">
        <v>3</v>
      </c>
      <c r="O603">
        <v>1</v>
      </c>
      <c r="P603" t="s">
        <v>59</v>
      </c>
      <c r="Q603" t="s">
        <v>37</v>
      </c>
      <c r="R603">
        <v>0</v>
      </c>
      <c r="S603">
        <v>8</v>
      </c>
      <c r="T603" t="s">
        <v>44</v>
      </c>
      <c r="U603" t="s">
        <v>38</v>
      </c>
      <c r="V603" t="s">
        <v>39</v>
      </c>
      <c r="W603" s="2">
        <v>45467</v>
      </c>
      <c r="X603" s="4">
        <f ca="1">TODAY()-DATASET[[#This Row],[Time_of_Purchase]]</f>
        <v>667</v>
      </c>
      <c r="Y603" t="b">
        <v>1</v>
      </c>
      <c r="Z603" t="b">
        <v>0</v>
      </c>
      <c r="AA603" t="s">
        <v>74</v>
      </c>
      <c r="AB603" t="s">
        <v>41</v>
      </c>
      <c r="AC603">
        <v>6</v>
      </c>
    </row>
    <row r="604" spans="1:29" x14ac:dyDescent="0.25">
      <c r="A604" t="s">
        <v>1282</v>
      </c>
      <c r="B604">
        <v>24</v>
      </c>
      <c r="C604" t="s">
        <v>43</v>
      </c>
      <c r="D604" t="s">
        <v>44</v>
      </c>
      <c r="E604" t="s">
        <v>55</v>
      </c>
      <c r="F604" t="s">
        <v>32</v>
      </c>
      <c r="G604" t="s">
        <v>30</v>
      </c>
      <c r="H604" t="s">
        <v>1283</v>
      </c>
      <c r="I604" t="s">
        <v>93</v>
      </c>
      <c r="J604" s="1">
        <v>162.94999999999999</v>
      </c>
      <c r="K604">
        <v>11</v>
      </c>
      <c r="L604" t="s">
        <v>48</v>
      </c>
      <c r="M604">
        <v>1</v>
      </c>
      <c r="N604">
        <v>2</v>
      </c>
      <c r="O604">
        <v>2</v>
      </c>
      <c r="P604" t="s">
        <v>44</v>
      </c>
      <c r="Q604" t="s">
        <v>85</v>
      </c>
      <c r="R604">
        <v>1</v>
      </c>
      <c r="S604">
        <v>8</v>
      </c>
      <c r="T604" t="s">
        <v>59</v>
      </c>
      <c r="U604" t="s">
        <v>79</v>
      </c>
      <c r="V604" t="s">
        <v>86</v>
      </c>
      <c r="W604" s="2">
        <v>45494</v>
      </c>
      <c r="X604" s="4">
        <f ca="1">TODAY()-DATASET[[#This Row],[Time_of_Purchase]]</f>
        <v>640</v>
      </c>
      <c r="Y604" t="b">
        <v>0</v>
      </c>
      <c r="Z604" t="b">
        <v>1</v>
      </c>
      <c r="AA604" t="s">
        <v>62</v>
      </c>
      <c r="AB604" t="s">
        <v>67</v>
      </c>
      <c r="AC604">
        <v>14</v>
      </c>
    </row>
    <row r="605" spans="1:29" x14ac:dyDescent="0.25">
      <c r="A605" t="s">
        <v>1284</v>
      </c>
      <c r="B605">
        <v>40</v>
      </c>
      <c r="C605" t="s">
        <v>29</v>
      </c>
      <c r="D605" t="s">
        <v>30</v>
      </c>
      <c r="E605" t="s">
        <v>31</v>
      </c>
      <c r="F605" t="s">
        <v>56</v>
      </c>
      <c r="G605" t="s">
        <v>44</v>
      </c>
      <c r="H605" t="s">
        <v>1285</v>
      </c>
      <c r="I605" t="s">
        <v>142</v>
      </c>
      <c r="J605" s="1">
        <v>209.68</v>
      </c>
      <c r="K605">
        <v>2</v>
      </c>
      <c r="L605" t="s">
        <v>78</v>
      </c>
      <c r="M605">
        <v>3</v>
      </c>
      <c r="N605">
        <v>1</v>
      </c>
      <c r="O605">
        <v>1</v>
      </c>
      <c r="P605" t="s">
        <v>36</v>
      </c>
      <c r="Q605" t="s">
        <v>50</v>
      </c>
      <c r="R605">
        <v>0</v>
      </c>
      <c r="S605">
        <v>1</v>
      </c>
      <c r="T605" t="s">
        <v>49</v>
      </c>
      <c r="U605" t="s">
        <v>60</v>
      </c>
      <c r="V605" t="s">
        <v>66</v>
      </c>
      <c r="W605" s="2">
        <v>45473</v>
      </c>
      <c r="X605" s="4">
        <f ca="1">TODAY()-DATASET[[#This Row],[Time_of_Purchase]]</f>
        <v>661</v>
      </c>
      <c r="Y605" t="b">
        <v>0</v>
      </c>
      <c r="Z605" t="b">
        <v>1</v>
      </c>
      <c r="AA605" t="s">
        <v>62</v>
      </c>
      <c r="AB605" t="s">
        <v>67</v>
      </c>
      <c r="AC605">
        <v>8</v>
      </c>
    </row>
    <row r="606" spans="1:29" x14ac:dyDescent="0.25">
      <c r="A606" t="s">
        <v>1286</v>
      </c>
      <c r="B606">
        <v>50</v>
      </c>
      <c r="C606" t="s">
        <v>43</v>
      </c>
      <c r="D606" t="s">
        <v>44</v>
      </c>
      <c r="E606" t="s">
        <v>69</v>
      </c>
      <c r="F606" t="s">
        <v>32</v>
      </c>
      <c r="G606" t="s">
        <v>30</v>
      </c>
      <c r="H606" t="s">
        <v>1287</v>
      </c>
      <c r="I606" t="s">
        <v>188</v>
      </c>
      <c r="J606" s="1">
        <v>97.97</v>
      </c>
      <c r="K606">
        <v>2</v>
      </c>
      <c r="L606" t="s">
        <v>48</v>
      </c>
      <c r="M606">
        <v>5</v>
      </c>
      <c r="N606">
        <v>5</v>
      </c>
      <c r="O606">
        <v>1</v>
      </c>
      <c r="P606" t="s">
        <v>59</v>
      </c>
      <c r="Q606" t="s">
        <v>37</v>
      </c>
      <c r="R606">
        <v>0</v>
      </c>
      <c r="S606">
        <v>10</v>
      </c>
      <c r="T606" t="s">
        <v>36</v>
      </c>
      <c r="U606" t="s">
        <v>79</v>
      </c>
      <c r="V606" t="s">
        <v>39</v>
      </c>
      <c r="W606" s="2">
        <v>45568</v>
      </c>
      <c r="X606" s="4">
        <f ca="1">TODAY()-DATASET[[#This Row],[Time_of_Purchase]]</f>
        <v>566</v>
      </c>
      <c r="Y606" t="b">
        <v>1</v>
      </c>
      <c r="Z606" t="b">
        <v>0</v>
      </c>
      <c r="AA606" t="s">
        <v>74</v>
      </c>
      <c r="AB606" t="s">
        <v>41</v>
      </c>
      <c r="AC606">
        <v>1</v>
      </c>
    </row>
    <row r="607" spans="1:29" x14ac:dyDescent="0.25">
      <c r="A607" t="s">
        <v>1288</v>
      </c>
      <c r="B607">
        <v>49</v>
      </c>
      <c r="C607" t="s">
        <v>43</v>
      </c>
      <c r="D607" t="s">
        <v>30</v>
      </c>
      <c r="E607" t="s">
        <v>69</v>
      </c>
      <c r="F607" t="s">
        <v>56</v>
      </c>
      <c r="G607" t="s">
        <v>44</v>
      </c>
      <c r="H607" t="s">
        <v>1289</v>
      </c>
      <c r="I607" t="s">
        <v>82</v>
      </c>
      <c r="J607" s="1">
        <v>192.51</v>
      </c>
      <c r="K607">
        <v>9</v>
      </c>
      <c r="L607" t="s">
        <v>35</v>
      </c>
      <c r="M607">
        <v>2</v>
      </c>
      <c r="N607">
        <v>5</v>
      </c>
      <c r="O607">
        <v>2</v>
      </c>
      <c r="P607" t="s">
        <v>49</v>
      </c>
      <c r="Q607" t="s">
        <v>85</v>
      </c>
      <c r="R607">
        <v>0</v>
      </c>
      <c r="S607">
        <v>2</v>
      </c>
      <c r="T607" t="s">
        <v>49</v>
      </c>
      <c r="U607" t="s">
        <v>60</v>
      </c>
      <c r="V607" t="s">
        <v>39</v>
      </c>
      <c r="W607" s="2">
        <v>45527</v>
      </c>
      <c r="X607" s="4">
        <f ca="1">TODAY()-DATASET[[#This Row],[Time_of_Purchase]]</f>
        <v>607</v>
      </c>
      <c r="Y607" t="b">
        <v>1</v>
      </c>
      <c r="Z607" t="b">
        <v>0</v>
      </c>
      <c r="AA607" t="s">
        <v>40</v>
      </c>
      <c r="AB607" t="s">
        <v>53</v>
      </c>
      <c r="AC607">
        <v>9</v>
      </c>
    </row>
    <row r="608" spans="1:29" x14ac:dyDescent="0.25">
      <c r="A608" t="s">
        <v>1290</v>
      </c>
      <c r="B608">
        <v>35</v>
      </c>
      <c r="C608" t="s">
        <v>43</v>
      </c>
      <c r="D608" t="s">
        <v>30</v>
      </c>
      <c r="E608" t="s">
        <v>69</v>
      </c>
      <c r="F608" t="s">
        <v>56</v>
      </c>
      <c r="G608" t="s">
        <v>30</v>
      </c>
      <c r="H608" t="s">
        <v>1267</v>
      </c>
      <c r="I608" t="s">
        <v>117</v>
      </c>
      <c r="J608" s="1">
        <v>151.81</v>
      </c>
      <c r="K608">
        <v>8</v>
      </c>
      <c r="L608" t="s">
        <v>78</v>
      </c>
      <c r="M608">
        <v>3</v>
      </c>
      <c r="N608">
        <v>4</v>
      </c>
      <c r="O608">
        <v>0</v>
      </c>
      <c r="P608" t="s">
        <v>49</v>
      </c>
      <c r="Q608" t="s">
        <v>50</v>
      </c>
      <c r="R608">
        <v>1</v>
      </c>
      <c r="S608">
        <v>10</v>
      </c>
      <c r="T608" t="s">
        <v>36</v>
      </c>
      <c r="U608" t="s">
        <v>38</v>
      </c>
      <c r="V608" t="s">
        <v>61</v>
      </c>
      <c r="W608" s="2">
        <v>45304</v>
      </c>
      <c r="X608" s="4">
        <f ca="1">TODAY()-DATASET[[#This Row],[Time_of_Purchase]]</f>
        <v>830</v>
      </c>
      <c r="Y608" t="b">
        <v>0</v>
      </c>
      <c r="Z608" t="b">
        <v>0</v>
      </c>
      <c r="AA608" t="s">
        <v>74</v>
      </c>
      <c r="AB608" t="s">
        <v>41</v>
      </c>
      <c r="AC608">
        <v>1</v>
      </c>
    </row>
    <row r="609" spans="1:29" x14ac:dyDescent="0.25">
      <c r="A609" t="s">
        <v>1291</v>
      </c>
      <c r="B609">
        <v>25</v>
      </c>
      <c r="C609" t="s">
        <v>29</v>
      </c>
      <c r="D609" t="s">
        <v>44</v>
      </c>
      <c r="E609" t="s">
        <v>31</v>
      </c>
      <c r="F609" t="s">
        <v>45</v>
      </c>
      <c r="G609" t="s">
        <v>30</v>
      </c>
      <c r="H609" t="s">
        <v>1292</v>
      </c>
      <c r="I609" t="s">
        <v>71</v>
      </c>
      <c r="J609" s="1">
        <v>239.28</v>
      </c>
      <c r="K609">
        <v>8</v>
      </c>
      <c r="L609" t="s">
        <v>78</v>
      </c>
      <c r="M609">
        <v>1</v>
      </c>
      <c r="N609">
        <v>4</v>
      </c>
      <c r="O609">
        <v>1</v>
      </c>
      <c r="P609" t="s">
        <v>49</v>
      </c>
      <c r="Q609" t="s">
        <v>37</v>
      </c>
      <c r="R609">
        <v>2</v>
      </c>
      <c r="S609">
        <v>5</v>
      </c>
      <c r="T609" t="s">
        <v>49</v>
      </c>
      <c r="U609" t="s">
        <v>38</v>
      </c>
      <c r="V609" t="s">
        <v>66</v>
      </c>
      <c r="W609" s="2">
        <v>45604</v>
      </c>
      <c r="X609" s="4">
        <f ca="1">TODAY()-DATASET[[#This Row],[Time_of_Purchase]]</f>
        <v>530</v>
      </c>
      <c r="Y609" t="b">
        <v>0</v>
      </c>
      <c r="Z609" t="b">
        <v>1</v>
      </c>
      <c r="AA609" t="s">
        <v>62</v>
      </c>
      <c r="AB609" t="s">
        <v>41</v>
      </c>
      <c r="AC609">
        <v>10</v>
      </c>
    </row>
    <row r="610" spans="1:29" x14ac:dyDescent="0.25">
      <c r="A610" t="s">
        <v>1293</v>
      </c>
      <c r="B610">
        <v>40</v>
      </c>
      <c r="C610" t="s">
        <v>29</v>
      </c>
      <c r="D610" t="s">
        <v>44</v>
      </c>
      <c r="E610" t="s">
        <v>69</v>
      </c>
      <c r="F610" t="s">
        <v>45</v>
      </c>
      <c r="G610" t="s">
        <v>44</v>
      </c>
      <c r="H610" t="s">
        <v>1294</v>
      </c>
      <c r="I610" t="s">
        <v>93</v>
      </c>
      <c r="J610" s="1">
        <v>306.17</v>
      </c>
      <c r="K610">
        <v>4</v>
      </c>
      <c r="L610" t="s">
        <v>48</v>
      </c>
      <c r="M610">
        <v>3</v>
      </c>
      <c r="N610">
        <v>5</v>
      </c>
      <c r="O610">
        <v>1</v>
      </c>
      <c r="P610" t="s">
        <v>49</v>
      </c>
      <c r="Q610" t="s">
        <v>37</v>
      </c>
      <c r="R610">
        <v>0</v>
      </c>
      <c r="S610">
        <v>6</v>
      </c>
      <c r="T610" t="s">
        <v>49</v>
      </c>
      <c r="U610" t="s">
        <v>38</v>
      </c>
      <c r="V610" t="s">
        <v>51</v>
      </c>
      <c r="W610" s="2">
        <v>45320</v>
      </c>
      <c r="X610" s="4">
        <f ca="1">TODAY()-DATASET[[#This Row],[Time_of_Purchase]]</f>
        <v>814</v>
      </c>
      <c r="Y610" t="b">
        <v>0</v>
      </c>
      <c r="Z610" t="b">
        <v>1</v>
      </c>
      <c r="AA610" t="s">
        <v>52</v>
      </c>
      <c r="AB610" t="s">
        <v>67</v>
      </c>
      <c r="AC610">
        <v>8</v>
      </c>
    </row>
    <row r="611" spans="1:29" x14ac:dyDescent="0.25">
      <c r="A611" t="s">
        <v>1295</v>
      </c>
      <c r="B611">
        <v>40</v>
      </c>
      <c r="C611" t="s">
        <v>29</v>
      </c>
      <c r="D611" t="s">
        <v>44</v>
      </c>
      <c r="E611" t="s">
        <v>69</v>
      </c>
      <c r="F611" t="s">
        <v>56</v>
      </c>
      <c r="G611" t="s">
        <v>44</v>
      </c>
      <c r="H611" t="s">
        <v>1296</v>
      </c>
      <c r="I611" t="s">
        <v>117</v>
      </c>
      <c r="J611" s="1">
        <v>370.38</v>
      </c>
      <c r="K611">
        <v>11</v>
      </c>
      <c r="L611" t="s">
        <v>48</v>
      </c>
      <c r="M611">
        <v>1</v>
      </c>
      <c r="N611">
        <v>2</v>
      </c>
      <c r="O611">
        <v>1</v>
      </c>
      <c r="P611" t="s">
        <v>36</v>
      </c>
      <c r="Q611" t="s">
        <v>50</v>
      </c>
      <c r="R611">
        <v>1</v>
      </c>
      <c r="S611">
        <v>1</v>
      </c>
      <c r="T611" t="s">
        <v>44</v>
      </c>
      <c r="U611" t="s">
        <v>79</v>
      </c>
      <c r="V611" t="s">
        <v>66</v>
      </c>
      <c r="W611" s="2">
        <v>45355</v>
      </c>
      <c r="X611" s="4">
        <f ca="1">TODAY()-DATASET[[#This Row],[Time_of_Purchase]]</f>
        <v>779</v>
      </c>
      <c r="Y611" t="b">
        <v>1</v>
      </c>
      <c r="Z611" t="b">
        <v>1</v>
      </c>
      <c r="AA611" t="s">
        <v>52</v>
      </c>
      <c r="AB611" t="s">
        <v>41</v>
      </c>
      <c r="AC611">
        <v>9</v>
      </c>
    </row>
    <row r="612" spans="1:29" x14ac:dyDescent="0.25">
      <c r="A612" t="s">
        <v>1297</v>
      </c>
      <c r="B612">
        <v>50</v>
      </c>
      <c r="C612" t="s">
        <v>43</v>
      </c>
      <c r="D612" t="s">
        <v>30</v>
      </c>
      <c r="E612" t="s">
        <v>55</v>
      </c>
      <c r="F612" t="s">
        <v>32</v>
      </c>
      <c r="G612" t="s">
        <v>30</v>
      </c>
      <c r="H612" t="s">
        <v>1298</v>
      </c>
      <c r="I612" t="s">
        <v>135</v>
      </c>
      <c r="J612" s="1">
        <v>346.58</v>
      </c>
      <c r="K612">
        <v>6</v>
      </c>
      <c r="L612" t="s">
        <v>35</v>
      </c>
      <c r="M612">
        <v>5</v>
      </c>
      <c r="N612">
        <v>1</v>
      </c>
      <c r="O612">
        <v>1</v>
      </c>
      <c r="P612" t="s">
        <v>44</v>
      </c>
      <c r="Q612" t="s">
        <v>37</v>
      </c>
      <c r="R612">
        <v>0</v>
      </c>
      <c r="S612">
        <v>9</v>
      </c>
      <c r="T612" t="s">
        <v>59</v>
      </c>
      <c r="U612" t="s">
        <v>38</v>
      </c>
      <c r="V612" t="s">
        <v>66</v>
      </c>
      <c r="W612" s="2">
        <v>45446</v>
      </c>
      <c r="X612" s="4">
        <f ca="1">TODAY()-DATASET[[#This Row],[Time_of_Purchase]]</f>
        <v>688</v>
      </c>
      <c r="Y612" t="b">
        <v>0</v>
      </c>
      <c r="Z612" t="b">
        <v>0</v>
      </c>
      <c r="AA612" t="s">
        <v>62</v>
      </c>
      <c r="AB612" t="s">
        <v>67</v>
      </c>
      <c r="AC612">
        <v>7</v>
      </c>
    </row>
    <row r="613" spans="1:29" x14ac:dyDescent="0.25">
      <c r="A613" t="s">
        <v>1299</v>
      </c>
      <c r="B613">
        <v>24</v>
      </c>
      <c r="C613" t="s">
        <v>43</v>
      </c>
      <c r="D613" t="s">
        <v>30</v>
      </c>
      <c r="E613" t="s">
        <v>55</v>
      </c>
      <c r="F613" t="s">
        <v>45</v>
      </c>
      <c r="G613" t="s">
        <v>30</v>
      </c>
      <c r="H613" t="s">
        <v>1300</v>
      </c>
      <c r="I613" t="s">
        <v>120</v>
      </c>
      <c r="J613" s="1">
        <v>292.64</v>
      </c>
      <c r="K613">
        <v>5</v>
      </c>
      <c r="L613" t="s">
        <v>48</v>
      </c>
      <c r="M613">
        <v>1</v>
      </c>
      <c r="N613">
        <v>1</v>
      </c>
      <c r="O613">
        <v>1</v>
      </c>
      <c r="P613" t="s">
        <v>36</v>
      </c>
      <c r="Q613" t="s">
        <v>37</v>
      </c>
      <c r="R613">
        <v>2</v>
      </c>
      <c r="S613">
        <v>10</v>
      </c>
      <c r="T613" t="s">
        <v>49</v>
      </c>
      <c r="U613" t="s">
        <v>38</v>
      </c>
      <c r="V613" t="s">
        <v>39</v>
      </c>
      <c r="W613" s="2">
        <v>45632</v>
      </c>
      <c r="X613" s="4">
        <f ca="1">TODAY()-DATASET[[#This Row],[Time_of_Purchase]]</f>
        <v>502</v>
      </c>
      <c r="Y613" t="b">
        <v>1</v>
      </c>
      <c r="Z613" t="b">
        <v>0</v>
      </c>
      <c r="AA613" t="s">
        <v>52</v>
      </c>
      <c r="AB613" t="s">
        <v>53</v>
      </c>
      <c r="AC613">
        <v>1</v>
      </c>
    </row>
    <row r="614" spans="1:29" x14ac:dyDescent="0.25">
      <c r="A614" t="s">
        <v>1301</v>
      </c>
      <c r="B614">
        <v>30</v>
      </c>
      <c r="C614" t="s">
        <v>29</v>
      </c>
      <c r="D614" t="s">
        <v>30</v>
      </c>
      <c r="E614" t="s">
        <v>31</v>
      </c>
      <c r="F614" t="s">
        <v>32</v>
      </c>
      <c r="G614" t="s">
        <v>44</v>
      </c>
      <c r="H614" t="s">
        <v>1302</v>
      </c>
      <c r="I614" t="s">
        <v>194</v>
      </c>
      <c r="J614" s="1">
        <v>102.91</v>
      </c>
      <c r="K614">
        <v>12</v>
      </c>
      <c r="L614" t="s">
        <v>35</v>
      </c>
      <c r="M614">
        <v>2</v>
      </c>
      <c r="N614">
        <v>1</v>
      </c>
      <c r="O614">
        <v>1</v>
      </c>
      <c r="P614" t="s">
        <v>49</v>
      </c>
      <c r="Q614" t="s">
        <v>85</v>
      </c>
      <c r="R614">
        <v>1</v>
      </c>
      <c r="S614">
        <v>10</v>
      </c>
      <c r="T614" t="s">
        <v>36</v>
      </c>
      <c r="U614" t="s">
        <v>79</v>
      </c>
      <c r="V614" t="s">
        <v>51</v>
      </c>
      <c r="W614" s="2">
        <v>45377</v>
      </c>
      <c r="X614" s="4">
        <f ca="1">TODAY()-DATASET[[#This Row],[Time_of_Purchase]]</f>
        <v>757</v>
      </c>
      <c r="Y614" t="b">
        <v>1</v>
      </c>
      <c r="Z614" t="b">
        <v>0</v>
      </c>
      <c r="AA614" t="s">
        <v>62</v>
      </c>
      <c r="AB614" t="s">
        <v>67</v>
      </c>
      <c r="AC614">
        <v>13</v>
      </c>
    </row>
    <row r="615" spans="1:29" x14ac:dyDescent="0.25">
      <c r="A615" t="s">
        <v>1303</v>
      </c>
      <c r="B615">
        <v>32</v>
      </c>
      <c r="C615" t="s">
        <v>29</v>
      </c>
      <c r="D615" t="s">
        <v>44</v>
      </c>
      <c r="E615" t="s">
        <v>69</v>
      </c>
      <c r="F615" t="s">
        <v>32</v>
      </c>
      <c r="G615" t="s">
        <v>30</v>
      </c>
      <c r="H615" t="s">
        <v>1304</v>
      </c>
      <c r="I615" t="s">
        <v>65</v>
      </c>
      <c r="J615" s="1">
        <v>283.77999999999997</v>
      </c>
      <c r="K615">
        <v>4</v>
      </c>
      <c r="L615" t="s">
        <v>35</v>
      </c>
      <c r="M615">
        <v>2</v>
      </c>
      <c r="N615">
        <v>4</v>
      </c>
      <c r="O615">
        <v>1.2</v>
      </c>
      <c r="P615" t="s">
        <v>36</v>
      </c>
      <c r="Q615" t="s">
        <v>37</v>
      </c>
      <c r="R615">
        <v>0</v>
      </c>
      <c r="S615">
        <v>6</v>
      </c>
      <c r="T615" t="s">
        <v>36</v>
      </c>
      <c r="U615" t="s">
        <v>60</v>
      </c>
      <c r="V615" t="s">
        <v>61</v>
      </c>
      <c r="W615" s="2">
        <v>45513</v>
      </c>
      <c r="X615" s="4">
        <f ca="1">TODAY()-DATASET[[#This Row],[Time_of_Purchase]]</f>
        <v>621</v>
      </c>
      <c r="Y615" t="b">
        <v>1</v>
      </c>
      <c r="Z615" t="b">
        <v>0</v>
      </c>
      <c r="AA615" t="s">
        <v>40</v>
      </c>
      <c r="AB615" t="s">
        <v>67</v>
      </c>
      <c r="AC615">
        <v>10</v>
      </c>
    </row>
    <row r="616" spans="1:29" x14ac:dyDescent="0.25">
      <c r="A616" t="s">
        <v>1305</v>
      </c>
      <c r="B616">
        <v>48</v>
      </c>
      <c r="C616" t="s">
        <v>29</v>
      </c>
      <c r="D616" t="s">
        <v>44</v>
      </c>
      <c r="E616" t="s">
        <v>69</v>
      </c>
      <c r="F616" t="s">
        <v>45</v>
      </c>
      <c r="G616" t="s">
        <v>30</v>
      </c>
      <c r="H616" t="s">
        <v>1306</v>
      </c>
      <c r="I616" t="s">
        <v>188</v>
      </c>
      <c r="J616" s="1">
        <v>51.44</v>
      </c>
      <c r="K616">
        <v>2</v>
      </c>
      <c r="L616" t="s">
        <v>48</v>
      </c>
      <c r="M616">
        <v>1</v>
      </c>
      <c r="N616">
        <v>3</v>
      </c>
      <c r="O616">
        <v>2</v>
      </c>
      <c r="P616" t="s">
        <v>44</v>
      </c>
      <c r="Q616" t="s">
        <v>50</v>
      </c>
      <c r="R616">
        <v>0</v>
      </c>
      <c r="S616">
        <v>1</v>
      </c>
      <c r="T616" t="s">
        <v>44</v>
      </c>
      <c r="U616" t="s">
        <v>38</v>
      </c>
      <c r="V616" t="s">
        <v>66</v>
      </c>
      <c r="W616" s="2">
        <v>45429</v>
      </c>
      <c r="X616" s="4">
        <f ca="1">TODAY()-DATASET[[#This Row],[Time_of_Purchase]]</f>
        <v>705</v>
      </c>
      <c r="Y616" t="b">
        <v>1</v>
      </c>
      <c r="Z616" t="b">
        <v>0</v>
      </c>
      <c r="AA616" t="s">
        <v>74</v>
      </c>
      <c r="AB616" t="s">
        <v>41</v>
      </c>
      <c r="AC616">
        <v>5</v>
      </c>
    </row>
    <row r="617" spans="1:29" x14ac:dyDescent="0.25">
      <c r="A617" t="s">
        <v>1307</v>
      </c>
      <c r="B617">
        <v>44</v>
      </c>
      <c r="C617" t="s">
        <v>29</v>
      </c>
      <c r="D617" t="s">
        <v>44</v>
      </c>
      <c r="E617" t="s">
        <v>31</v>
      </c>
      <c r="F617" t="s">
        <v>32</v>
      </c>
      <c r="G617" t="s">
        <v>44</v>
      </c>
      <c r="H617" t="s">
        <v>1308</v>
      </c>
      <c r="I617" t="s">
        <v>98</v>
      </c>
      <c r="J617" s="1">
        <v>405.7</v>
      </c>
      <c r="K617">
        <v>12</v>
      </c>
      <c r="L617" t="s">
        <v>78</v>
      </c>
      <c r="M617">
        <v>1</v>
      </c>
      <c r="N617">
        <v>3</v>
      </c>
      <c r="O617">
        <v>1</v>
      </c>
      <c r="P617" t="s">
        <v>59</v>
      </c>
      <c r="Q617" t="s">
        <v>85</v>
      </c>
      <c r="R617">
        <v>2</v>
      </c>
      <c r="S617">
        <v>10</v>
      </c>
      <c r="T617" t="s">
        <v>59</v>
      </c>
      <c r="U617" t="s">
        <v>38</v>
      </c>
      <c r="V617" t="s">
        <v>39</v>
      </c>
      <c r="W617" s="2">
        <v>45339</v>
      </c>
      <c r="X617" s="4">
        <f ca="1">TODAY()-DATASET[[#This Row],[Time_of_Purchase]]</f>
        <v>795</v>
      </c>
      <c r="Y617" t="b">
        <v>1</v>
      </c>
      <c r="Z617" t="b">
        <v>1</v>
      </c>
      <c r="AA617" t="s">
        <v>52</v>
      </c>
      <c r="AB617" t="s">
        <v>53</v>
      </c>
      <c r="AC617">
        <v>14</v>
      </c>
    </row>
    <row r="618" spans="1:29" x14ac:dyDescent="0.25">
      <c r="A618" t="s">
        <v>1309</v>
      </c>
      <c r="B618">
        <v>19</v>
      </c>
      <c r="C618" t="s">
        <v>29</v>
      </c>
      <c r="D618" t="s">
        <v>44</v>
      </c>
      <c r="E618" t="s">
        <v>69</v>
      </c>
      <c r="F618" t="s">
        <v>56</v>
      </c>
      <c r="G618" t="s">
        <v>30</v>
      </c>
      <c r="H618" t="s">
        <v>1310</v>
      </c>
      <c r="I618" t="s">
        <v>158</v>
      </c>
      <c r="J618" s="1">
        <v>311.74</v>
      </c>
      <c r="K618">
        <v>11</v>
      </c>
      <c r="L618" t="s">
        <v>35</v>
      </c>
      <c r="M618">
        <v>1</v>
      </c>
      <c r="N618">
        <v>4</v>
      </c>
      <c r="O618">
        <v>2</v>
      </c>
      <c r="P618" t="s">
        <v>59</v>
      </c>
      <c r="Q618" t="s">
        <v>37</v>
      </c>
      <c r="R618">
        <v>2</v>
      </c>
      <c r="S618">
        <v>10</v>
      </c>
      <c r="T618" t="s">
        <v>49</v>
      </c>
      <c r="U618" t="s">
        <v>60</v>
      </c>
      <c r="V618" t="s">
        <v>51</v>
      </c>
      <c r="W618" s="2">
        <v>45308</v>
      </c>
      <c r="X618" s="4">
        <f ca="1">TODAY()-DATASET[[#This Row],[Time_of_Purchase]]</f>
        <v>826</v>
      </c>
      <c r="Y618" t="b">
        <v>1</v>
      </c>
      <c r="Z618" t="b">
        <v>0</v>
      </c>
      <c r="AA618" t="s">
        <v>62</v>
      </c>
      <c r="AB618" t="s">
        <v>67</v>
      </c>
      <c r="AC618">
        <v>11</v>
      </c>
    </row>
    <row r="619" spans="1:29" x14ac:dyDescent="0.25">
      <c r="A619" t="s">
        <v>1311</v>
      </c>
      <c r="B619">
        <v>39</v>
      </c>
      <c r="C619" t="s">
        <v>43</v>
      </c>
      <c r="D619" t="s">
        <v>30</v>
      </c>
      <c r="E619" t="s">
        <v>69</v>
      </c>
      <c r="F619" t="s">
        <v>32</v>
      </c>
      <c r="G619" t="s">
        <v>44</v>
      </c>
      <c r="H619" t="s">
        <v>1312</v>
      </c>
      <c r="I619" t="s">
        <v>183</v>
      </c>
      <c r="J619" s="1">
        <v>293.43</v>
      </c>
      <c r="K619">
        <v>9</v>
      </c>
      <c r="L619" t="s">
        <v>48</v>
      </c>
      <c r="M619">
        <v>4</v>
      </c>
      <c r="N619">
        <v>4</v>
      </c>
      <c r="O619">
        <v>1</v>
      </c>
      <c r="P619" t="s">
        <v>49</v>
      </c>
      <c r="Q619" t="s">
        <v>85</v>
      </c>
      <c r="R619">
        <v>0</v>
      </c>
      <c r="S619">
        <v>5</v>
      </c>
      <c r="T619" t="s">
        <v>36</v>
      </c>
      <c r="U619" t="s">
        <v>79</v>
      </c>
      <c r="V619" t="s">
        <v>86</v>
      </c>
      <c r="W619" s="2">
        <v>45478</v>
      </c>
      <c r="X619" s="4">
        <f ca="1">TODAY()-DATASET[[#This Row],[Time_of_Purchase]]</f>
        <v>656</v>
      </c>
      <c r="Y619" t="b">
        <v>0</v>
      </c>
      <c r="Z619" t="b">
        <v>1</v>
      </c>
      <c r="AA619" t="s">
        <v>40</v>
      </c>
      <c r="AB619" t="s">
        <v>53</v>
      </c>
      <c r="AC619">
        <v>7</v>
      </c>
    </row>
    <row r="620" spans="1:29" x14ac:dyDescent="0.25">
      <c r="A620" t="s">
        <v>1313</v>
      </c>
      <c r="B620">
        <v>35</v>
      </c>
      <c r="C620" t="s">
        <v>29</v>
      </c>
      <c r="D620" t="s">
        <v>44</v>
      </c>
      <c r="E620" t="s">
        <v>55</v>
      </c>
      <c r="F620" t="s">
        <v>32</v>
      </c>
      <c r="G620" t="s">
        <v>30</v>
      </c>
      <c r="H620" t="s">
        <v>1314</v>
      </c>
      <c r="I620" t="s">
        <v>123</v>
      </c>
      <c r="J620" s="1">
        <v>418.51</v>
      </c>
      <c r="K620">
        <v>6</v>
      </c>
      <c r="L620" t="s">
        <v>78</v>
      </c>
      <c r="M620">
        <v>4</v>
      </c>
      <c r="N620">
        <v>4</v>
      </c>
      <c r="O620">
        <v>2</v>
      </c>
      <c r="P620" t="s">
        <v>59</v>
      </c>
      <c r="Q620" t="s">
        <v>37</v>
      </c>
      <c r="R620">
        <v>2</v>
      </c>
      <c r="S620">
        <v>2</v>
      </c>
      <c r="T620" t="s">
        <v>44</v>
      </c>
      <c r="U620" t="s">
        <v>79</v>
      </c>
      <c r="V620" t="s">
        <v>39</v>
      </c>
      <c r="W620" s="2">
        <v>45413</v>
      </c>
      <c r="X620" s="4">
        <f ca="1">TODAY()-DATASET[[#This Row],[Time_of_Purchase]]</f>
        <v>721</v>
      </c>
      <c r="Y620" t="b">
        <v>0</v>
      </c>
      <c r="Z620" t="b">
        <v>1</v>
      </c>
      <c r="AA620" t="s">
        <v>40</v>
      </c>
      <c r="AB620" t="s">
        <v>53</v>
      </c>
      <c r="AC620">
        <v>3</v>
      </c>
    </row>
    <row r="621" spans="1:29" x14ac:dyDescent="0.25">
      <c r="A621" t="s">
        <v>1315</v>
      </c>
      <c r="B621">
        <v>39</v>
      </c>
      <c r="C621" t="s">
        <v>43</v>
      </c>
      <c r="D621" t="s">
        <v>30</v>
      </c>
      <c r="E621" t="s">
        <v>55</v>
      </c>
      <c r="F621" t="s">
        <v>56</v>
      </c>
      <c r="G621" t="s">
        <v>30</v>
      </c>
      <c r="H621" t="s">
        <v>1316</v>
      </c>
      <c r="I621" t="s">
        <v>104</v>
      </c>
      <c r="J621" s="1">
        <v>85.03</v>
      </c>
      <c r="K621">
        <v>9</v>
      </c>
      <c r="L621" t="s">
        <v>48</v>
      </c>
      <c r="M621">
        <v>5</v>
      </c>
      <c r="N621">
        <v>4</v>
      </c>
      <c r="O621">
        <v>1</v>
      </c>
      <c r="P621" t="s">
        <v>49</v>
      </c>
      <c r="Q621" t="s">
        <v>50</v>
      </c>
      <c r="R621">
        <v>0</v>
      </c>
      <c r="S621">
        <v>9</v>
      </c>
      <c r="T621" t="s">
        <v>44</v>
      </c>
      <c r="U621" t="s">
        <v>60</v>
      </c>
      <c r="V621" t="s">
        <v>39</v>
      </c>
      <c r="W621" s="2">
        <v>45571</v>
      </c>
      <c r="X621" s="4">
        <f ca="1">TODAY()-DATASET[[#This Row],[Time_of_Purchase]]</f>
        <v>563</v>
      </c>
      <c r="Y621" t="b">
        <v>1</v>
      </c>
      <c r="Z621" t="b">
        <v>1</v>
      </c>
      <c r="AA621" t="s">
        <v>52</v>
      </c>
      <c r="AB621" t="s">
        <v>67</v>
      </c>
      <c r="AC621">
        <v>8</v>
      </c>
    </row>
    <row r="622" spans="1:29" x14ac:dyDescent="0.25">
      <c r="A622" t="s">
        <v>1317</v>
      </c>
      <c r="B622">
        <v>31</v>
      </c>
      <c r="C622" t="s">
        <v>43</v>
      </c>
      <c r="D622" t="s">
        <v>30</v>
      </c>
      <c r="E622" t="s">
        <v>31</v>
      </c>
      <c r="F622" t="s">
        <v>56</v>
      </c>
      <c r="G622" t="s">
        <v>44</v>
      </c>
      <c r="H622" t="s">
        <v>1318</v>
      </c>
      <c r="I622" t="s">
        <v>93</v>
      </c>
      <c r="J622" s="1">
        <v>164.94</v>
      </c>
      <c r="K622">
        <v>4</v>
      </c>
      <c r="L622" t="s">
        <v>48</v>
      </c>
      <c r="M622">
        <v>4</v>
      </c>
      <c r="N622">
        <v>4</v>
      </c>
      <c r="O622">
        <v>2</v>
      </c>
      <c r="P622" t="s">
        <v>44</v>
      </c>
      <c r="Q622" t="s">
        <v>37</v>
      </c>
      <c r="R622">
        <v>2</v>
      </c>
      <c r="S622">
        <v>2</v>
      </c>
      <c r="T622" t="s">
        <v>59</v>
      </c>
      <c r="U622" t="s">
        <v>79</v>
      </c>
      <c r="V622" t="s">
        <v>51</v>
      </c>
      <c r="W622" s="2">
        <v>45491</v>
      </c>
      <c r="X622" s="4">
        <f ca="1">TODAY()-DATASET[[#This Row],[Time_of_Purchase]]</f>
        <v>643</v>
      </c>
      <c r="Y622" t="b">
        <v>1</v>
      </c>
      <c r="Z622" t="b">
        <v>1</v>
      </c>
      <c r="AA622" t="s">
        <v>52</v>
      </c>
      <c r="AB622" t="s">
        <v>67</v>
      </c>
      <c r="AC622">
        <v>6</v>
      </c>
    </row>
    <row r="623" spans="1:29" x14ac:dyDescent="0.25">
      <c r="A623" t="s">
        <v>1319</v>
      </c>
      <c r="B623">
        <v>38</v>
      </c>
      <c r="C623" t="s">
        <v>29</v>
      </c>
      <c r="D623" t="s">
        <v>44</v>
      </c>
      <c r="E623" t="s">
        <v>69</v>
      </c>
      <c r="F623" t="s">
        <v>32</v>
      </c>
      <c r="G623" t="s">
        <v>30</v>
      </c>
      <c r="H623" t="s">
        <v>1320</v>
      </c>
      <c r="I623" t="s">
        <v>158</v>
      </c>
      <c r="J623" s="1">
        <v>89.32</v>
      </c>
      <c r="K623">
        <v>11</v>
      </c>
      <c r="L623" t="s">
        <v>78</v>
      </c>
      <c r="M623">
        <v>1</v>
      </c>
      <c r="N623">
        <v>1</v>
      </c>
      <c r="O623">
        <v>0.3</v>
      </c>
      <c r="P623" t="s">
        <v>59</v>
      </c>
      <c r="Q623" t="s">
        <v>37</v>
      </c>
      <c r="R623">
        <v>1</v>
      </c>
      <c r="S623">
        <v>3</v>
      </c>
      <c r="T623" t="s">
        <v>44</v>
      </c>
      <c r="U623" t="s">
        <v>79</v>
      </c>
      <c r="V623" t="s">
        <v>66</v>
      </c>
      <c r="W623" s="2">
        <v>45405</v>
      </c>
      <c r="X623" s="4">
        <f ca="1">TODAY()-DATASET[[#This Row],[Time_of_Purchase]]</f>
        <v>729</v>
      </c>
      <c r="Y623" t="b">
        <v>1</v>
      </c>
      <c r="Z623" t="b">
        <v>0</v>
      </c>
      <c r="AA623" t="s">
        <v>52</v>
      </c>
      <c r="AB623" t="s">
        <v>41</v>
      </c>
      <c r="AC623">
        <v>12</v>
      </c>
    </row>
    <row r="624" spans="1:29" x14ac:dyDescent="0.25">
      <c r="A624" t="s">
        <v>1321</v>
      </c>
      <c r="B624">
        <v>33</v>
      </c>
      <c r="C624" t="s">
        <v>43</v>
      </c>
      <c r="D624" t="s">
        <v>30</v>
      </c>
      <c r="E624" t="s">
        <v>31</v>
      </c>
      <c r="F624" t="s">
        <v>45</v>
      </c>
      <c r="G624" t="s">
        <v>44</v>
      </c>
      <c r="H624" t="s">
        <v>1322</v>
      </c>
      <c r="I624" t="s">
        <v>183</v>
      </c>
      <c r="J624" s="1">
        <v>388.26</v>
      </c>
      <c r="K624">
        <v>2</v>
      </c>
      <c r="L624" t="s">
        <v>35</v>
      </c>
      <c r="M624">
        <v>3</v>
      </c>
      <c r="N624">
        <v>1</v>
      </c>
      <c r="O624">
        <v>1</v>
      </c>
      <c r="P624" t="s">
        <v>44</v>
      </c>
      <c r="Q624" t="s">
        <v>50</v>
      </c>
      <c r="R624">
        <v>0</v>
      </c>
      <c r="S624">
        <v>7</v>
      </c>
      <c r="T624" t="s">
        <v>36</v>
      </c>
      <c r="U624" t="s">
        <v>60</v>
      </c>
      <c r="V624" t="s">
        <v>39</v>
      </c>
      <c r="W624" s="2">
        <v>45384</v>
      </c>
      <c r="X624" s="4">
        <f ca="1">TODAY()-DATASET[[#This Row],[Time_of_Purchase]]</f>
        <v>750</v>
      </c>
      <c r="Y624" t="b">
        <v>0</v>
      </c>
      <c r="Z624" t="b">
        <v>0</v>
      </c>
      <c r="AA624" t="s">
        <v>74</v>
      </c>
      <c r="AB624" t="s">
        <v>41</v>
      </c>
      <c r="AC624">
        <v>5</v>
      </c>
    </row>
    <row r="625" spans="1:29" x14ac:dyDescent="0.25">
      <c r="A625" t="s">
        <v>1323</v>
      </c>
      <c r="B625">
        <v>33</v>
      </c>
      <c r="C625" t="s">
        <v>43</v>
      </c>
      <c r="D625" t="s">
        <v>30</v>
      </c>
      <c r="E625" t="s">
        <v>76</v>
      </c>
      <c r="F625" t="s">
        <v>56</v>
      </c>
      <c r="G625" t="s">
        <v>30</v>
      </c>
      <c r="H625" t="s">
        <v>1324</v>
      </c>
      <c r="I625" t="s">
        <v>246</v>
      </c>
      <c r="J625" s="1">
        <v>106.69</v>
      </c>
      <c r="K625">
        <v>5</v>
      </c>
      <c r="L625" t="s">
        <v>78</v>
      </c>
      <c r="M625">
        <v>3</v>
      </c>
      <c r="N625">
        <v>4</v>
      </c>
      <c r="O625">
        <v>1.3</v>
      </c>
      <c r="P625" t="s">
        <v>49</v>
      </c>
      <c r="Q625" t="s">
        <v>85</v>
      </c>
      <c r="R625">
        <v>2</v>
      </c>
      <c r="S625">
        <v>10</v>
      </c>
      <c r="T625" t="s">
        <v>36</v>
      </c>
      <c r="U625" t="s">
        <v>79</v>
      </c>
      <c r="V625" t="s">
        <v>51</v>
      </c>
      <c r="W625" s="2">
        <v>45555</v>
      </c>
      <c r="X625" s="4">
        <f ca="1">TODAY()-DATASET[[#This Row],[Time_of_Purchase]]</f>
        <v>579</v>
      </c>
      <c r="Y625" t="b">
        <v>0</v>
      </c>
      <c r="Z625" t="b">
        <v>1</v>
      </c>
      <c r="AA625" t="s">
        <v>52</v>
      </c>
      <c r="AB625" t="s">
        <v>53</v>
      </c>
      <c r="AC625">
        <v>14</v>
      </c>
    </row>
    <row r="626" spans="1:29" x14ac:dyDescent="0.25">
      <c r="A626" t="s">
        <v>1325</v>
      </c>
      <c r="B626">
        <v>42</v>
      </c>
      <c r="C626" t="s">
        <v>274</v>
      </c>
      <c r="D626" t="s">
        <v>30</v>
      </c>
      <c r="E626" t="s">
        <v>31</v>
      </c>
      <c r="F626" t="s">
        <v>32</v>
      </c>
      <c r="G626" t="s">
        <v>44</v>
      </c>
      <c r="H626" t="s">
        <v>1326</v>
      </c>
      <c r="I626" t="s">
        <v>114</v>
      </c>
      <c r="J626" s="1">
        <v>301.16000000000003</v>
      </c>
      <c r="K626">
        <v>10</v>
      </c>
      <c r="L626" t="s">
        <v>78</v>
      </c>
      <c r="M626">
        <v>4</v>
      </c>
      <c r="N626">
        <v>3</v>
      </c>
      <c r="O626">
        <v>2</v>
      </c>
      <c r="P626" t="s">
        <v>36</v>
      </c>
      <c r="Q626" t="s">
        <v>85</v>
      </c>
      <c r="R626">
        <v>2</v>
      </c>
      <c r="S626">
        <v>9</v>
      </c>
      <c r="T626" t="s">
        <v>49</v>
      </c>
      <c r="U626" t="s">
        <v>38</v>
      </c>
      <c r="V626" t="s">
        <v>86</v>
      </c>
      <c r="W626" s="2">
        <v>45499</v>
      </c>
      <c r="X626" s="4">
        <f ca="1">TODAY()-DATASET[[#This Row],[Time_of_Purchase]]</f>
        <v>635</v>
      </c>
      <c r="Y626" t="b">
        <v>0</v>
      </c>
      <c r="Z626" t="b">
        <v>0</v>
      </c>
      <c r="AA626" t="s">
        <v>40</v>
      </c>
      <c r="AB626" t="s">
        <v>53</v>
      </c>
      <c r="AC626">
        <v>1</v>
      </c>
    </row>
    <row r="627" spans="1:29" x14ac:dyDescent="0.25">
      <c r="A627" t="s">
        <v>1327</v>
      </c>
      <c r="B627">
        <v>49</v>
      </c>
      <c r="C627" t="s">
        <v>43</v>
      </c>
      <c r="D627" t="s">
        <v>30</v>
      </c>
      <c r="E627" t="s">
        <v>76</v>
      </c>
      <c r="F627" t="s">
        <v>45</v>
      </c>
      <c r="G627" t="s">
        <v>44</v>
      </c>
      <c r="H627" t="s">
        <v>1328</v>
      </c>
      <c r="I627" t="s">
        <v>107</v>
      </c>
      <c r="J627" s="1">
        <v>61.71</v>
      </c>
      <c r="K627">
        <v>6</v>
      </c>
      <c r="L627" t="s">
        <v>35</v>
      </c>
      <c r="M627">
        <v>2</v>
      </c>
      <c r="N627">
        <v>5</v>
      </c>
      <c r="O627">
        <v>1</v>
      </c>
      <c r="P627" t="s">
        <v>59</v>
      </c>
      <c r="Q627" t="s">
        <v>85</v>
      </c>
      <c r="R627">
        <v>2</v>
      </c>
      <c r="S627">
        <v>7</v>
      </c>
      <c r="T627" t="s">
        <v>59</v>
      </c>
      <c r="U627" t="s">
        <v>38</v>
      </c>
      <c r="V627" t="s">
        <v>86</v>
      </c>
      <c r="W627" s="2">
        <v>45568</v>
      </c>
      <c r="X627" s="4">
        <f ca="1">TODAY()-DATASET[[#This Row],[Time_of_Purchase]]</f>
        <v>566</v>
      </c>
      <c r="Y627" t="b">
        <v>0</v>
      </c>
      <c r="Z627" t="b">
        <v>0</v>
      </c>
      <c r="AA627" t="s">
        <v>62</v>
      </c>
      <c r="AB627" t="s">
        <v>41</v>
      </c>
      <c r="AC627">
        <v>12</v>
      </c>
    </row>
    <row r="628" spans="1:29" x14ac:dyDescent="0.25">
      <c r="A628" t="s">
        <v>1329</v>
      </c>
      <c r="B628">
        <v>46</v>
      </c>
      <c r="C628" t="s">
        <v>190</v>
      </c>
      <c r="D628" t="s">
        <v>30</v>
      </c>
      <c r="E628" t="s">
        <v>76</v>
      </c>
      <c r="F628" t="s">
        <v>45</v>
      </c>
      <c r="G628" t="s">
        <v>44</v>
      </c>
      <c r="H628" t="s">
        <v>1330</v>
      </c>
      <c r="I628" t="s">
        <v>90</v>
      </c>
      <c r="J628" s="1">
        <v>83.33</v>
      </c>
      <c r="K628">
        <v>11</v>
      </c>
      <c r="L628" t="s">
        <v>48</v>
      </c>
      <c r="M628">
        <v>1</v>
      </c>
      <c r="N628">
        <v>5</v>
      </c>
      <c r="O628">
        <v>1</v>
      </c>
      <c r="P628" t="s">
        <v>49</v>
      </c>
      <c r="Q628" t="s">
        <v>85</v>
      </c>
      <c r="R628">
        <v>1</v>
      </c>
      <c r="S628">
        <v>6</v>
      </c>
      <c r="T628" t="s">
        <v>59</v>
      </c>
      <c r="U628" t="s">
        <v>79</v>
      </c>
      <c r="V628" t="s">
        <v>61</v>
      </c>
      <c r="W628" s="2">
        <v>45349</v>
      </c>
      <c r="X628" s="4">
        <f ca="1">TODAY()-DATASET[[#This Row],[Time_of_Purchase]]</f>
        <v>785</v>
      </c>
      <c r="Y628" t="b">
        <v>1</v>
      </c>
      <c r="Z628" t="b">
        <v>1</v>
      </c>
      <c r="AA628" t="s">
        <v>74</v>
      </c>
      <c r="AB628" t="s">
        <v>67</v>
      </c>
      <c r="AC628">
        <v>1</v>
      </c>
    </row>
    <row r="629" spans="1:29" x14ac:dyDescent="0.25">
      <c r="A629" t="s">
        <v>1331</v>
      </c>
      <c r="B629">
        <v>42</v>
      </c>
      <c r="C629" t="s">
        <v>43</v>
      </c>
      <c r="D629" t="s">
        <v>44</v>
      </c>
      <c r="E629" t="s">
        <v>55</v>
      </c>
      <c r="F629" t="s">
        <v>32</v>
      </c>
      <c r="G629" t="s">
        <v>30</v>
      </c>
      <c r="H629" t="s">
        <v>1332</v>
      </c>
      <c r="I629" t="s">
        <v>82</v>
      </c>
      <c r="J629" s="1">
        <v>411.81</v>
      </c>
      <c r="K629">
        <v>4</v>
      </c>
      <c r="L629" t="s">
        <v>35</v>
      </c>
      <c r="M629">
        <v>1</v>
      </c>
      <c r="N629">
        <v>3</v>
      </c>
      <c r="O629">
        <v>1</v>
      </c>
      <c r="P629" t="s">
        <v>44</v>
      </c>
      <c r="Q629" t="s">
        <v>37</v>
      </c>
      <c r="R629">
        <v>1</v>
      </c>
      <c r="S629">
        <v>1</v>
      </c>
      <c r="T629" t="s">
        <v>44</v>
      </c>
      <c r="U629" t="s">
        <v>60</v>
      </c>
      <c r="V629" t="s">
        <v>86</v>
      </c>
      <c r="W629" s="2">
        <v>45390</v>
      </c>
      <c r="X629" s="4">
        <f ca="1">TODAY()-DATASET[[#This Row],[Time_of_Purchase]]</f>
        <v>744</v>
      </c>
      <c r="Y629" t="b">
        <v>1</v>
      </c>
      <c r="Z629" t="b">
        <v>1</v>
      </c>
      <c r="AA629" t="s">
        <v>74</v>
      </c>
      <c r="AB629" t="s">
        <v>53</v>
      </c>
      <c r="AC629">
        <v>1</v>
      </c>
    </row>
    <row r="630" spans="1:29" x14ac:dyDescent="0.25">
      <c r="A630" t="s">
        <v>1333</v>
      </c>
      <c r="B630">
        <v>44</v>
      </c>
      <c r="C630" t="s">
        <v>29</v>
      </c>
      <c r="D630" t="s">
        <v>30</v>
      </c>
      <c r="E630" t="s">
        <v>31</v>
      </c>
      <c r="F630" t="s">
        <v>56</v>
      </c>
      <c r="G630" t="s">
        <v>44</v>
      </c>
      <c r="H630" t="s">
        <v>1334</v>
      </c>
      <c r="I630" t="s">
        <v>98</v>
      </c>
      <c r="J630" s="1">
        <v>114.93</v>
      </c>
      <c r="K630">
        <v>3</v>
      </c>
      <c r="L630" t="s">
        <v>48</v>
      </c>
      <c r="M630">
        <v>4</v>
      </c>
      <c r="N630">
        <v>3</v>
      </c>
      <c r="O630">
        <v>1</v>
      </c>
      <c r="P630" t="s">
        <v>44</v>
      </c>
      <c r="Q630" t="s">
        <v>37</v>
      </c>
      <c r="R630">
        <v>0</v>
      </c>
      <c r="S630">
        <v>4</v>
      </c>
      <c r="T630" t="s">
        <v>36</v>
      </c>
      <c r="U630" t="s">
        <v>79</v>
      </c>
      <c r="V630" t="s">
        <v>66</v>
      </c>
      <c r="W630" s="2">
        <v>45527</v>
      </c>
      <c r="X630" s="4">
        <f ca="1">TODAY()-DATASET[[#This Row],[Time_of_Purchase]]</f>
        <v>607</v>
      </c>
      <c r="Y630" t="b">
        <v>1</v>
      </c>
      <c r="Z630" t="b">
        <v>1</v>
      </c>
      <c r="AA630" t="s">
        <v>62</v>
      </c>
      <c r="AB630" t="s">
        <v>53</v>
      </c>
      <c r="AC630">
        <v>4</v>
      </c>
    </row>
    <row r="631" spans="1:29" x14ac:dyDescent="0.25">
      <c r="A631" t="s">
        <v>1335</v>
      </c>
      <c r="B631">
        <v>33</v>
      </c>
      <c r="C631" t="s">
        <v>29</v>
      </c>
      <c r="D631" t="s">
        <v>44</v>
      </c>
      <c r="E631" t="s">
        <v>76</v>
      </c>
      <c r="F631" t="s">
        <v>56</v>
      </c>
      <c r="G631" t="s">
        <v>30</v>
      </c>
      <c r="H631" t="s">
        <v>1336</v>
      </c>
      <c r="I631" t="s">
        <v>246</v>
      </c>
      <c r="J631" s="1">
        <v>438.42</v>
      </c>
      <c r="K631">
        <v>11</v>
      </c>
      <c r="L631" t="s">
        <v>78</v>
      </c>
      <c r="M631">
        <v>3</v>
      </c>
      <c r="N631">
        <v>2</v>
      </c>
      <c r="O631">
        <v>2</v>
      </c>
      <c r="P631" t="s">
        <v>49</v>
      </c>
      <c r="Q631" t="s">
        <v>85</v>
      </c>
      <c r="R631">
        <v>0</v>
      </c>
      <c r="S631">
        <v>4</v>
      </c>
      <c r="T631" t="s">
        <v>59</v>
      </c>
      <c r="U631" t="s">
        <v>38</v>
      </c>
      <c r="V631" t="s">
        <v>86</v>
      </c>
      <c r="W631" s="2">
        <v>45545</v>
      </c>
      <c r="X631" s="4">
        <f ca="1">TODAY()-DATASET[[#This Row],[Time_of_Purchase]]</f>
        <v>589</v>
      </c>
      <c r="Y631" t="b">
        <v>1</v>
      </c>
      <c r="Z631" t="b">
        <v>0</v>
      </c>
      <c r="AA631" t="s">
        <v>74</v>
      </c>
      <c r="AB631" t="s">
        <v>67</v>
      </c>
      <c r="AC631">
        <v>4</v>
      </c>
    </row>
    <row r="632" spans="1:29" x14ac:dyDescent="0.25">
      <c r="A632" t="s">
        <v>1337</v>
      </c>
      <c r="B632">
        <v>36</v>
      </c>
      <c r="C632" t="s">
        <v>43</v>
      </c>
      <c r="D632" t="s">
        <v>30</v>
      </c>
      <c r="E632" t="s">
        <v>69</v>
      </c>
      <c r="F632" t="s">
        <v>56</v>
      </c>
      <c r="G632" t="s">
        <v>30</v>
      </c>
      <c r="H632" t="s">
        <v>1338</v>
      </c>
      <c r="I632" t="s">
        <v>98</v>
      </c>
      <c r="J632" s="1">
        <v>189.97</v>
      </c>
      <c r="K632">
        <v>2</v>
      </c>
      <c r="L632" t="s">
        <v>48</v>
      </c>
      <c r="M632">
        <v>2</v>
      </c>
      <c r="N632">
        <v>3</v>
      </c>
      <c r="O632">
        <v>1</v>
      </c>
      <c r="P632" t="s">
        <v>44</v>
      </c>
      <c r="Q632" t="s">
        <v>37</v>
      </c>
      <c r="R632">
        <v>0</v>
      </c>
      <c r="S632">
        <v>3</v>
      </c>
      <c r="T632" t="s">
        <v>49</v>
      </c>
      <c r="U632" t="s">
        <v>60</v>
      </c>
      <c r="V632" t="s">
        <v>39</v>
      </c>
      <c r="W632" s="2">
        <v>45357</v>
      </c>
      <c r="X632" s="4">
        <f ca="1">TODAY()-DATASET[[#This Row],[Time_of_Purchase]]</f>
        <v>777</v>
      </c>
      <c r="Y632" t="b">
        <v>1</v>
      </c>
      <c r="Z632" t="b">
        <v>0</v>
      </c>
      <c r="AA632" t="s">
        <v>40</v>
      </c>
      <c r="AB632" t="s">
        <v>53</v>
      </c>
      <c r="AC632">
        <v>8</v>
      </c>
    </row>
    <row r="633" spans="1:29" x14ac:dyDescent="0.25">
      <c r="A633" t="s">
        <v>1339</v>
      </c>
      <c r="B633">
        <v>35</v>
      </c>
      <c r="C633" t="s">
        <v>43</v>
      </c>
      <c r="D633" t="s">
        <v>44</v>
      </c>
      <c r="E633" t="s">
        <v>76</v>
      </c>
      <c r="F633" t="s">
        <v>56</v>
      </c>
      <c r="G633" t="s">
        <v>30</v>
      </c>
      <c r="H633" t="s">
        <v>1340</v>
      </c>
      <c r="I633" t="s">
        <v>142</v>
      </c>
      <c r="J633" s="1">
        <v>227.03</v>
      </c>
      <c r="K633">
        <v>12</v>
      </c>
      <c r="L633" t="s">
        <v>78</v>
      </c>
      <c r="M633">
        <v>2</v>
      </c>
      <c r="N633">
        <v>2</v>
      </c>
      <c r="O633">
        <v>0</v>
      </c>
      <c r="P633" t="s">
        <v>44</v>
      </c>
      <c r="Q633" t="s">
        <v>85</v>
      </c>
      <c r="R633">
        <v>2</v>
      </c>
      <c r="S633">
        <v>10</v>
      </c>
      <c r="T633" t="s">
        <v>59</v>
      </c>
      <c r="U633" t="s">
        <v>79</v>
      </c>
      <c r="V633" t="s">
        <v>51</v>
      </c>
      <c r="W633" s="2">
        <v>45480</v>
      </c>
      <c r="X633" s="4">
        <f ca="1">TODAY()-DATASET[[#This Row],[Time_of_Purchase]]</f>
        <v>654</v>
      </c>
      <c r="Y633" t="b">
        <v>1</v>
      </c>
      <c r="Z633" t="b">
        <v>1</v>
      </c>
      <c r="AA633" t="s">
        <v>74</v>
      </c>
      <c r="AB633" t="s">
        <v>53</v>
      </c>
      <c r="AC633">
        <v>2</v>
      </c>
    </row>
    <row r="634" spans="1:29" x14ac:dyDescent="0.25">
      <c r="A634" t="s">
        <v>1341</v>
      </c>
      <c r="B634">
        <v>26</v>
      </c>
      <c r="C634" t="s">
        <v>43</v>
      </c>
      <c r="D634" t="s">
        <v>44</v>
      </c>
      <c r="E634" t="s">
        <v>76</v>
      </c>
      <c r="F634" t="s">
        <v>32</v>
      </c>
      <c r="G634" t="s">
        <v>30</v>
      </c>
      <c r="H634" t="s">
        <v>1342</v>
      </c>
      <c r="I634" t="s">
        <v>65</v>
      </c>
      <c r="J634" s="1">
        <v>278.49</v>
      </c>
      <c r="K634">
        <v>4</v>
      </c>
      <c r="L634" t="s">
        <v>35</v>
      </c>
      <c r="M634">
        <v>5</v>
      </c>
      <c r="N634">
        <v>5</v>
      </c>
      <c r="O634">
        <v>0</v>
      </c>
      <c r="P634" t="s">
        <v>59</v>
      </c>
      <c r="Q634" t="s">
        <v>37</v>
      </c>
      <c r="R634">
        <v>1</v>
      </c>
      <c r="S634">
        <v>5</v>
      </c>
      <c r="T634" t="s">
        <v>59</v>
      </c>
      <c r="U634" t="s">
        <v>60</v>
      </c>
      <c r="V634" t="s">
        <v>39</v>
      </c>
      <c r="W634" s="2">
        <v>45543</v>
      </c>
      <c r="X634" s="4">
        <f ca="1">TODAY()-DATASET[[#This Row],[Time_of_Purchase]]</f>
        <v>591</v>
      </c>
      <c r="Y634" t="b">
        <v>1</v>
      </c>
      <c r="Z634" t="b">
        <v>1</v>
      </c>
      <c r="AA634" t="s">
        <v>40</v>
      </c>
      <c r="AB634" t="s">
        <v>67</v>
      </c>
      <c r="AC634">
        <v>8</v>
      </c>
    </row>
    <row r="635" spans="1:29" x14ac:dyDescent="0.25">
      <c r="A635" t="s">
        <v>1343</v>
      </c>
      <c r="B635">
        <v>43</v>
      </c>
      <c r="C635" t="s">
        <v>29</v>
      </c>
      <c r="D635" t="s">
        <v>44</v>
      </c>
      <c r="E635" t="s">
        <v>69</v>
      </c>
      <c r="F635" t="s">
        <v>32</v>
      </c>
      <c r="G635" t="s">
        <v>44</v>
      </c>
      <c r="H635" t="s">
        <v>1344</v>
      </c>
      <c r="I635" t="s">
        <v>101</v>
      </c>
      <c r="J635" s="1">
        <v>120.56</v>
      </c>
      <c r="K635">
        <v>5</v>
      </c>
      <c r="L635" t="s">
        <v>78</v>
      </c>
      <c r="M635">
        <v>4</v>
      </c>
      <c r="N635">
        <v>3</v>
      </c>
      <c r="O635">
        <v>2</v>
      </c>
      <c r="P635" t="s">
        <v>36</v>
      </c>
      <c r="Q635" t="s">
        <v>50</v>
      </c>
      <c r="R635">
        <v>2</v>
      </c>
      <c r="S635">
        <v>7</v>
      </c>
      <c r="T635" t="s">
        <v>59</v>
      </c>
      <c r="U635" t="s">
        <v>38</v>
      </c>
      <c r="V635" t="s">
        <v>61</v>
      </c>
      <c r="W635" s="2">
        <v>45446</v>
      </c>
      <c r="X635" s="4">
        <f ca="1">TODAY()-DATASET[[#This Row],[Time_of_Purchase]]</f>
        <v>688</v>
      </c>
      <c r="Y635" t="b">
        <v>0</v>
      </c>
      <c r="Z635" t="b">
        <v>0</v>
      </c>
      <c r="AA635" t="s">
        <v>40</v>
      </c>
      <c r="AB635" t="s">
        <v>67</v>
      </c>
      <c r="AC635">
        <v>7</v>
      </c>
    </row>
    <row r="636" spans="1:29" x14ac:dyDescent="0.25">
      <c r="A636" t="s">
        <v>1345</v>
      </c>
      <c r="B636">
        <v>25</v>
      </c>
      <c r="C636" t="s">
        <v>43</v>
      </c>
      <c r="D636" t="s">
        <v>44</v>
      </c>
      <c r="E636" t="s">
        <v>76</v>
      </c>
      <c r="F636" t="s">
        <v>32</v>
      </c>
      <c r="G636" t="s">
        <v>30</v>
      </c>
      <c r="H636" t="s">
        <v>1346</v>
      </c>
      <c r="I636" t="s">
        <v>34</v>
      </c>
      <c r="J636" s="1">
        <v>320.94</v>
      </c>
      <c r="K636">
        <v>11</v>
      </c>
      <c r="L636" t="s">
        <v>78</v>
      </c>
      <c r="M636">
        <v>3</v>
      </c>
      <c r="N636">
        <v>3</v>
      </c>
      <c r="O636">
        <v>2</v>
      </c>
      <c r="P636" t="s">
        <v>44</v>
      </c>
      <c r="Q636" t="s">
        <v>50</v>
      </c>
      <c r="R636">
        <v>2</v>
      </c>
      <c r="S636">
        <v>10</v>
      </c>
      <c r="T636" t="s">
        <v>36</v>
      </c>
      <c r="U636" t="s">
        <v>60</v>
      </c>
      <c r="V636" t="s">
        <v>86</v>
      </c>
      <c r="W636" s="2">
        <v>45604</v>
      </c>
      <c r="X636" s="4">
        <f ca="1">TODAY()-DATASET[[#This Row],[Time_of_Purchase]]</f>
        <v>530</v>
      </c>
      <c r="Y636" t="b">
        <v>0</v>
      </c>
      <c r="Z636" t="b">
        <v>0</v>
      </c>
      <c r="AA636" t="s">
        <v>62</v>
      </c>
      <c r="AB636" t="s">
        <v>41</v>
      </c>
      <c r="AC636">
        <v>10</v>
      </c>
    </row>
    <row r="637" spans="1:29" x14ac:dyDescent="0.25">
      <c r="A637" t="s">
        <v>1347</v>
      </c>
      <c r="B637">
        <v>37</v>
      </c>
      <c r="C637" t="s">
        <v>29</v>
      </c>
      <c r="D637" t="s">
        <v>44</v>
      </c>
      <c r="E637" t="s">
        <v>76</v>
      </c>
      <c r="F637" t="s">
        <v>56</v>
      </c>
      <c r="G637" t="s">
        <v>30</v>
      </c>
      <c r="H637" t="s">
        <v>1348</v>
      </c>
      <c r="I637" t="s">
        <v>246</v>
      </c>
      <c r="J637" s="1">
        <v>217.72</v>
      </c>
      <c r="K637">
        <v>3</v>
      </c>
      <c r="L637" t="s">
        <v>48</v>
      </c>
      <c r="M637">
        <v>4</v>
      </c>
      <c r="N637">
        <v>4</v>
      </c>
      <c r="O637">
        <v>2</v>
      </c>
      <c r="P637" t="s">
        <v>49</v>
      </c>
      <c r="Q637" t="s">
        <v>50</v>
      </c>
      <c r="R637">
        <v>1</v>
      </c>
      <c r="S637">
        <v>4</v>
      </c>
      <c r="T637" t="s">
        <v>44</v>
      </c>
      <c r="U637" t="s">
        <v>38</v>
      </c>
      <c r="V637" t="s">
        <v>61</v>
      </c>
      <c r="W637" s="2">
        <v>45581</v>
      </c>
      <c r="X637" s="4">
        <f ca="1">TODAY()-DATASET[[#This Row],[Time_of_Purchase]]</f>
        <v>553</v>
      </c>
      <c r="Y637" t="b">
        <v>0</v>
      </c>
      <c r="Z637" t="b">
        <v>1</v>
      </c>
      <c r="AA637" t="s">
        <v>52</v>
      </c>
      <c r="AB637" t="s">
        <v>41</v>
      </c>
      <c r="AC637">
        <v>14</v>
      </c>
    </row>
    <row r="638" spans="1:29" x14ac:dyDescent="0.25">
      <c r="A638" t="s">
        <v>1349</v>
      </c>
      <c r="B638">
        <v>25</v>
      </c>
      <c r="C638" t="s">
        <v>43</v>
      </c>
      <c r="D638" t="s">
        <v>44</v>
      </c>
      <c r="E638" t="s">
        <v>69</v>
      </c>
      <c r="F638" t="s">
        <v>32</v>
      </c>
      <c r="G638" t="s">
        <v>30</v>
      </c>
      <c r="H638" t="s">
        <v>1350</v>
      </c>
      <c r="I638" t="s">
        <v>65</v>
      </c>
      <c r="J638" s="1">
        <v>222.61</v>
      </c>
      <c r="K638">
        <v>3</v>
      </c>
      <c r="L638" t="s">
        <v>78</v>
      </c>
      <c r="M638">
        <v>1</v>
      </c>
      <c r="N638">
        <v>2</v>
      </c>
      <c r="O638">
        <v>1</v>
      </c>
      <c r="P638" t="s">
        <v>49</v>
      </c>
      <c r="Q638" t="s">
        <v>85</v>
      </c>
      <c r="R638">
        <v>1</v>
      </c>
      <c r="S638">
        <v>1</v>
      </c>
      <c r="T638" t="s">
        <v>36</v>
      </c>
      <c r="U638" t="s">
        <v>79</v>
      </c>
      <c r="V638" t="s">
        <v>51</v>
      </c>
      <c r="W638" s="2">
        <v>45476</v>
      </c>
      <c r="X638" s="4">
        <f ca="1">TODAY()-DATASET[[#This Row],[Time_of_Purchase]]</f>
        <v>658</v>
      </c>
      <c r="Y638" t="b">
        <v>0</v>
      </c>
      <c r="Z638" t="b">
        <v>1</v>
      </c>
      <c r="AA638" t="s">
        <v>40</v>
      </c>
      <c r="AB638" t="s">
        <v>53</v>
      </c>
      <c r="AC638">
        <v>3</v>
      </c>
    </row>
    <row r="639" spans="1:29" x14ac:dyDescent="0.25">
      <c r="A639" t="s">
        <v>1351</v>
      </c>
      <c r="B639">
        <v>40</v>
      </c>
      <c r="C639" t="s">
        <v>29</v>
      </c>
      <c r="D639" t="s">
        <v>30</v>
      </c>
      <c r="E639" t="s">
        <v>76</v>
      </c>
      <c r="F639" t="s">
        <v>45</v>
      </c>
      <c r="G639" t="s">
        <v>30</v>
      </c>
      <c r="H639" t="s">
        <v>1352</v>
      </c>
      <c r="I639" t="s">
        <v>188</v>
      </c>
      <c r="J639" s="1">
        <v>102.73</v>
      </c>
      <c r="K639">
        <v>3</v>
      </c>
      <c r="L639" t="s">
        <v>35</v>
      </c>
      <c r="M639">
        <v>4</v>
      </c>
      <c r="N639">
        <v>5</v>
      </c>
      <c r="O639">
        <v>0.3</v>
      </c>
      <c r="P639" t="s">
        <v>36</v>
      </c>
      <c r="Q639" t="s">
        <v>50</v>
      </c>
      <c r="R639">
        <v>2</v>
      </c>
      <c r="S639">
        <v>5</v>
      </c>
      <c r="T639" t="s">
        <v>36</v>
      </c>
      <c r="U639" t="s">
        <v>38</v>
      </c>
      <c r="V639" t="s">
        <v>61</v>
      </c>
      <c r="W639" s="2">
        <v>45491</v>
      </c>
      <c r="X639" s="4">
        <f ca="1">TODAY()-DATASET[[#This Row],[Time_of_Purchase]]</f>
        <v>643</v>
      </c>
      <c r="Y639" t="b">
        <v>0</v>
      </c>
      <c r="Z639" t="b">
        <v>0</v>
      </c>
      <c r="AA639" t="s">
        <v>52</v>
      </c>
      <c r="AB639" t="s">
        <v>67</v>
      </c>
      <c r="AC639">
        <v>14</v>
      </c>
    </row>
    <row r="640" spans="1:29" x14ac:dyDescent="0.25">
      <c r="A640" t="s">
        <v>1353</v>
      </c>
      <c r="B640">
        <v>40</v>
      </c>
      <c r="C640" t="s">
        <v>29</v>
      </c>
      <c r="D640" t="s">
        <v>30</v>
      </c>
      <c r="E640" t="s">
        <v>31</v>
      </c>
      <c r="F640" t="s">
        <v>32</v>
      </c>
      <c r="G640" t="s">
        <v>44</v>
      </c>
      <c r="H640" t="s">
        <v>1354</v>
      </c>
      <c r="I640" t="s">
        <v>90</v>
      </c>
      <c r="J640" s="1">
        <v>426.87</v>
      </c>
      <c r="K640">
        <v>2</v>
      </c>
      <c r="L640" t="s">
        <v>48</v>
      </c>
      <c r="M640">
        <v>4</v>
      </c>
      <c r="N640">
        <v>2</v>
      </c>
      <c r="O640">
        <v>2</v>
      </c>
      <c r="P640" t="s">
        <v>36</v>
      </c>
      <c r="Q640" t="s">
        <v>50</v>
      </c>
      <c r="R640">
        <v>0</v>
      </c>
      <c r="S640">
        <v>4</v>
      </c>
      <c r="T640" t="s">
        <v>49</v>
      </c>
      <c r="U640" t="s">
        <v>60</v>
      </c>
      <c r="V640" t="s">
        <v>61</v>
      </c>
      <c r="W640" s="2">
        <v>45365</v>
      </c>
      <c r="X640" s="4">
        <f ca="1">TODAY()-DATASET[[#This Row],[Time_of_Purchase]]</f>
        <v>769</v>
      </c>
      <c r="Y640" t="b">
        <v>0</v>
      </c>
      <c r="Z640" t="b">
        <v>0</v>
      </c>
      <c r="AA640" t="s">
        <v>52</v>
      </c>
      <c r="AB640" t="s">
        <v>41</v>
      </c>
      <c r="AC640">
        <v>3</v>
      </c>
    </row>
    <row r="641" spans="1:29" x14ac:dyDescent="0.25">
      <c r="A641" t="s">
        <v>1355</v>
      </c>
      <c r="B641">
        <v>20</v>
      </c>
      <c r="C641" t="s">
        <v>29</v>
      </c>
      <c r="D641" t="s">
        <v>30</v>
      </c>
      <c r="E641" t="s">
        <v>69</v>
      </c>
      <c r="F641" t="s">
        <v>45</v>
      </c>
      <c r="G641" t="s">
        <v>30</v>
      </c>
      <c r="H641" t="s">
        <v>1356</v>
      </c>
      <c r="I641" t="s">
        <v>246</v>
      </c>
      <c r="J641" s="1">
        <v>473.28</v>
      </c>
      <c r="K641">
        <v>5</v>
      </c>
      <c r="L641" t="s">
        <v>78</v>
      </c>
      <c r="M641">
        <v>5</v>
      </c>
      <c r="N641">
        <v>5</v>
      </c>
      <c r="O641">
        <v>1</v>
      </c>
      <c r="P641" t="s">
        <v>49</v>
      </c>
      <c r="Q641" t="s">
        <v>85</v>
      </c>
      <c r="R641">
        <v>1</v>
      </c>
      <c r="S641">
        <v>9</v>
      </c>
      <c r="T641" t="s">
        <v>36</v>
      </c>
      <c r="U641" t="s">
        <v>60</v>
      </c>
      <c r="V641" t="s">
        <v>86</v>
      </c>
      <c r="W641" s="2">
        <v>45635</v>
      </c>
      <c r="X641" s="4">
        <f ca="1">TODAY()-DATASET[[#This Row],[Time_of_Purchase]]</f>
        <v>499</v>
      </c>
      <c r="Y641" t="b">
        <v>0</v>
      </c>
      <c r="Z641" t="b">
        <v>0</v>
      </c>
      <c r="AA641" t="s">
        <v>40</v>
      </c>
      <c r="AB641" t="s">
        <v>53</v>
      </c>
      <c r="AC641">
        <v>13</v>
      </c>
    </row>
    <row r="642" spans="1:29" x14ac:dyDescent="0.25">
      <c r="A642" t="s">
        <v>1357</v>
      </c>
      <c r="B642">
        <v>39</v>
      </c>
      <c r="C642" t="s">
        <v>43</v>
      </c>
      <c r="D642" t="s">
        <v>44</v>
      </c>
      <c r="E642" t="s">
        <v>69</v>
      </c>
      <c r="F642" t="s">
        <v>32</v>
      </c>
      <c r="G642" t="s">
        <v>44</v>
      </c>
      <c r="H642" t="s">
        <v>1358</v>
      </c>
      <c r="I642" t="s">
        <v>246</v>
      </c>
      <c r="J642" s="1">
        <v>446.03</v>
      </c>
      <c r="K642">
        <v>9</v>
      </c>
      <c r="L642" t="s">
        <v>48</v>
      </c>
      <c r="M642">
        <v>2</v>
      </c>
      <c r="N642">
        <v>1</v>
      </c>
      <c r="O642">
        <v>2</v>
      </c>
      <c r="P642" t="s">
        <v>59</v>
      </c>
      <c r="Q642" t="s">
        <v>37</v>
      </c>
      <c r="R642">
        <v>2</v>
      </c>
      <c r="S642">
        <v>7</v>
      </c>
      <c r="T642" t="s">
        <v>36</v>
      </c>
      <c r="U642" t="s">
        <v>38</v>
      </c>
      <c r="V642" t="s">
        <v>66</v>
      </c>
      <c r="W642" s="2">
        <v>45469</v>
      </c>
      <c r="X642" s="4">
        <f ca="1">TODAY()-DATASET[[#This Row],[Time_of_Purchase]]</f>
        <v>665</v>
      </c>
      <c r="Y642" t="b">
        <v>1</v>
      </c>
      <c r="Z642" t="b">
        <v>1</v>
      </c>
      <c r="AA642" t="s">
        <v>40</v>
      </c>
      <c r="AB642" t="s">
        <v>67</v>
      </c>
      <c r="AC642">
        <v>12</v>
      </c>
    </row>
    <row r="643" spans="1:29" x14ac:dyDescent="0.25">
      <c r="A643" t="s">
        <v>1359</v>
      </c>
      <c r="B643">
        <v>19</v>
      </c>
      <c r="C643" t="s">
        <v>29</v>
      </c>
      <c r="D643" t="s">
        <v>44</v>
      </c>
      <c r="E643" t="s">
        <v>55</v>
      </c>
      <c r="F643" t="s">
        <v>32</v>
      </c>
      <c r="G643" t="s">
        <v>44</v>
      </c>
      <c r="H643" t="s">
        <v>1360</v>
      </c>
      <c r="I643" t="s">
        <v>135</v>
      </c>
      <c r="J643" s="1">
        <v>287.95</v>
      </c>
      <c r="K643">
        <v>3</v>
      </c>
      <c r="L643" t="s">
        <v>35</v>
      </c>
      <c r="M643">
        <v>2</v>
      </c>
      <c r="N643">
        <v>3</v>
      </c>
      <c r="O643">
        <v>2</v>
      </c>
      <c r="P643" t="s">
        <v>36</v>
      </c>
      <c r="Q643" t="s">
        <v>85</v>
      </c>
      <c r="R643">
        <v>2</v>
      </c>
      <c r="S643">
        <v>7</v>
      </c>
      <c r="T643" t="s">
        <v>44</v>
      </c>
      <c r="U643" t="s">
        <v>38</v>
      </c>
      <c r="V643" t="s">
        <v>51</v>
      </c>
      <c r="W643" s="2">
        <v>45608</v>
      </c>
      <c r="X643" s="4">
        <f ca="1">TODAY()-DATASET[[#This Row],[Time_of_Purchase]]</f>
        <v>526</v>
      </c>
      <c r="Y643" t="b">
        <v>1</v>
      </c>
      <c r="Z643" t="b">
        <v>1</v>
      </c>
      <c r="AA643" t="s">
        <v>74</v>
      </c>
      <c r="AB643" t="s">
        <v>53</v>
      </c>
      <c r="AC643">
        <v>11</v>
      </c>
    </row>
    <row r="644" spans="1:29" x14ac:dyDescent="0.25">
      <c r="A644" t="s">
        <v>1361</v>
      </c>
      <c r="B644">
        <v>31</v>
      </c>
      <c r="C644" t="s">
        <v>29</v>
      </c>
      <c r="D644" t="s">
        <v>30</v>
      </c>
      <c r="E644" t="s">
        <v>69</v>
      </c>
      <c r="F644" t="s">
        <v>56</v>
      </c>
      <c r="G644" t="s">
        <v>44</v>
      </c>
      <c r="H644" t="s">
        <v>1362</v>
      </c>
      <c r="I644" t="s">
        <v>98</v>
      </c>
      <c r="J644" s="1">
        <v>132.52000000000001</v>
      </c>
      <c r="K644">
        <v>6</v>
      </c>
      <c r="L644" t="s">
        <v>35</v>
      </c>
      <c r="M644">
        <v>1</v>
      </c>
      <c r="N644">
        <v>2</v>
      </c>
      <c r="O644">
        <v>0</v>
      </c>
      <c r="P644" t="s">
        <v>49</v>
      </c>
      <c r="Q644" t="s">
        <v>37</v>
      </c>
      <c r="R644">
        <v>2</v>
      </c>
      <c r="S644">
        <v>10</v>
      </c>
      <c r="T644" t="s">
        <v>59</v>
      </c>
      <c r="U644" t="s">
        <v>60</v>
      </c>
      <c r="V644" t="s">
        <v>61</v>
      </c>
      <c r="W644" s="2">
        <v>45646</v>
      </c>
      <c r="X644" s="4">
        <f ca="1">TODAY()-DATASET[[#This Row],[Time_of_Purchase]]</f>
        <v>488</v>
      </c>
      <c r="Y644" t="b">
        <v>1</v>
      </c>
      <c r="Z644" t="b">
        <v>1</v>
      </c>
      <c r="AA644" t="s">
        <v>62</v>
      </c>
      <c r="AB644" t="s">
        <v>67</v>
      </c>
      <c r="AC644">
        <v>12</v>
      </c>
    </row>
    <row r="645" spans="1:29" x14ac:dyDescent="0.25">
      <c r="A645" t="s">
        <v>1363</v>
      </c>
      <c r="B645">
        <v>36</v>
      </c>
      <c r="C645" t="s">
        <v>29</v>
      </c>
      <c r="D645" t="s">
        <v>30</v>
      </c>
      <c r="E645" t="s">
        <v>31</v>
      </c>
      <c r="F645" t="s">
        <v>32</v>
      </c>
      <c r="G645" t="s">
        <v>30</v>
      </c>
      <c r="H645" t="s">
        <v>1364</v>
      </c>
      <c r="I645" t="s">
        <v>90</v>
      </c>
      <c r="J645" s="1">
        <v>379.2</v>
      </c>
      <c r="K645">
        <v>7</v>
      </c>
      <c r="L645" t="s">
        <v>78</v>
      </c>
      <c r="M645">
        <v>5</v>
      </c>
      <c r="N645">
        <v>1</v>
      </c>
      <c r="O645">
        <v>0</v>
      </c>
      <c r="P645" t="s">
        <v>49</v>
      </c>
      <c r="Q645" t="s">
        <v>85</v>
      </c>
      <c r="R645">
        <v>2</v>
      </c>
      <c r="S645">
        <v>2</v>
      </c>
      <c r="T645" t="s">
        <v>44</v>
      </c>
      <c r="U645" t="s">
        <v>60</v>
      </c>
      <c r="V645" t="s">
        <v>61</v>
      </c>
      <c r="W645" s="2">
        <v>45440</v>
      </c>
      <c r="X645" s="4">
        <f ca="1">TODAY()-DATASET[[#This Row],[Time_of_Purchase]]</f>
        <v>694</v>
      </c>
      <c r="Y645" t="b">
        <v>1</v>
      </c>
      <c r="Z645" t="b">
        <v>1</v>
      </c>
      <c r="AA645" t="s">
        <v>40</v>
      </c>
      <c r="AB645" t="s">
        <v>41</v>
      </c>
      <c r="AC645">
        <v>7</v>
      </c>
    </row>
    <row r="646" spans="1:29" x14ac:dyDescent="0.25">
      <c r="A646" t="s">
        <v>1365</v>
      </c>
      <c r="B646">
        <v>31</v>
      </c>
      <c r="C646" t="s">
        <v>148</v>
      </c>
      <c r="D646" t="s">
        <v>30</v>
      </c>
      <c r="E646" t="s">
        <v>31</v>
      </c>
      <c r="F646" t="s">
        <v>45</v>
      </c>
      <c r="G646" t="s">
        <v>44</v>
      </c>
      <c r="H646" t="s">
        <v>1366</v>
      </c>
      <c r="I646" t="s">
        <v>158</v>
      </c>
      <c r="J646" s="1">
        <v>447.53</v>
      </c>
      <c r="K646">
        <v>4</v>
      </c>
      <c r="L646" t="s">
        <v>78</v>
      </c>
      <c r="M646">
        <v>2</v>
      </c>
      <c r="N646">
        <v>1</v>
      </c>
      <c r="O646">
        <v>2</v>
      </c>
      <c r="P646" t="s">
        <v>44</v>
      </c>
      <c r="Q646" t="s">
        <v>37</v>
      </c>
      <c r="R646">
        <v>1</v>
      </c>
      <c r="S646">
        <v>6</v>
      </c>
      <c r="T646" t="s">
        <v>36</v>
      </c>
      <c r="U646" t="s">
        <v>60</v>
      </c>
      <c r="V646" t="s">
        <v>51</v>
      </c>
      <c r="W646" s="2">
        <v>45578</v>
      </c>
      <c r="X646" s="4">
        <f ca="1">TODAY()-DATASET[[#This Row],[Time_of_Purchase]]</f>
        <v>556</v>
      </c>
      <c r="Y646" t="b">
        <v>1</v>
      </c>
      <c r="Z646" t="b">
        <v>1</v>
      </c>
      <c r="AA646" t="s">
        <v>52</v>
      </c>
      <c r="AB646" t="s">
        <v>41</v>
      </c>
      <c r="AC646">
        <v>3</v>
      </c>
    </row>
    <row r="647" spans="1:29" x14ac:dyDescent="0.25">
      <c r="A647" t="s">
        <v>1367</v>
      </c>
      <c r="B647">
        <v>45</v>
      </c>
      <c r="C647" t="s">
        <v>29</v>
      </c>
      <c r="D647" t="s">
        <v>44</v>
      </c>
      <c r="E647" t="s">
        <v>76</v>
      </c>
      <c r="F647" t="s">
        <v>32</v>
      </c>
      <c r="G647" t="s">
        <v>30</v>
      </c>
      <c r="H647" t="s">
        <v>1368</v>
      </c>
      <c r="I647" t="s">
        <v>58</v>
      </c>
      <c r="J647" s="1">
        <v>138.44</v>
      </c>
      <c r="K647">
        <v>4</v>
      </c>
      <c r="L647" t="s">
        <v>35</v>
      </c>
      <c r="M647">
        <v>5</v>
      </c>
      <c r="N647">
        <v>1</v>
      </c>
      <c r="O647">
        <v>1</v>
      </c>
      <c r="P647" t="s">
        <v>36</v>
      </c>
      <c r="Q647" t="s">
        <v>85</v>
      </c>
      <c r="R647">
        <v>1</v>
      </c>
      <c r="S647">
        <v>2</v>
      </c>
      <c r="T647" t="s">
        <v>36</v>
      </c>
      <c r="U647" t="s">
        <v>60</v>
      </c>
      <c r="V647" t="s">
        <v>86</v>
      </c>
      <c r="W647" s="2">
        <v>45344</v>
      </c>
      <c r="X647" s="4">
        <f ca="1">TODAY()-DATASET[[#This Row],[Time_of_Purchase]]</f>
        <v>790</v>
      </c>
      <c r="Y647" t="b">
        <v>0</v>
      </c>
      <c r="Z647" t="b">
        <v>1</v>
      </c>
      <c r="AA647" t="s">
        <v>52</v>
      </c>
      <c r="AB647" t="s">
        <v>67</v>
      </c>
      <c r="AC647">
        <v>1</v>
      </c>
    </row>
    <row r="648" spans="1:29" x14ac:dyDescent="0.25">
      <c r="A648" t="s">
        <v>1369</v>
      </c>
      <c r="B648">
        <v>45</v>
      </c>
      <c r="C648" t="s">
        <v>274</v>
      </c>
      <c r="D648" t="s">
        <v>30</v>
      </c>
      <c r="E648" t="s">
        <v>55</v>
      </c>
      <c r="F648" t="s">
        <v>45</v>
      </c>
      <c r="G648" t="s">
        <v>30</v>
      </c>
      <c r="H648" t="s">
        <v>1370</v>
      </c>
      <c r="I648" t="s">
        <v>65</v>
      </c>
      <c r="J648" s="1">
        <v>440.62</v>
      </c>
      <c r="K648">
        <v>8</v>
      </c>
      <c r="L648" t="s">
        <v>35</v>
      </c>
      <c r="M648">
        <v>2</v>
      </c>
      <c r="N648">
        <v>2</v>
      </c>
      <c r="O648">
        <v>2</v>
      </c>
      <c r="P648" t="s">
        <v>36</v>
      </c>
      <c r="Q648" t="s">
        <v>85</v>
      </c>
      <c r="R648">
        <v>1</v>
      </c>
      <c r="S648">
        <v>3</v>
      </c>
      <c r="T648" t="s">
        <v>49</v>
      </c>
      <c r="U648" t="s">
        <v>38</v>
      </c>
      <c r="V648" t="s">
        <v>61</v>
      </c>
      <c r="W648" s="2">
        <v>45323</v>
      </c>
      <c r="X648" s="4">
        <f ca="1">TODAY()-DATASET[[#This Row],[Time_of_Purchase]]</f>
        <v>811</v>
      </c>
      <c r="Y648" t="b">
        <v>1</v>
      </c>
      <c r="Z648" t="b">
        <v>1</v>
      </c>
      <c r="AA648" t="s">
        <v>40</v>
      </c>
      <c r="AB648" t="s">
        <v>67</v>
      </c>
      <c r="AC648">
        <v>6</v>
      </c>
    </row>
    <row r="649" spans="1:29" x14ac:dyDescent="0.25">
      <c r="A649" t="s">
        <v>1371</v>
      </c>
      <c r="B649">
        <v>23</v>
      </c>
      <c r="C649" t="s">
        <v>29</v>
      </c>
      <c r="D649" t="s">
        <v>44</v>
      </c>
      <c r="E649" t="s">
        <v>76</v>
      </c>
      <c r="F649" t="s">
        <v>56</v>
      </c>
      <c r="G649" t="s">
        <v>44</v>
      </c>
      <c r="H649" t="s">
        <v>1372</v>
      </c>
      <c r="I649" t="s">
        <v>90</v>
      </c>
      <c r="J649" s="1">
        <v>145.97999999999999</v>
      </c>
      <c r="K649">
        <v>4</v>
      </c>
      <c r="L649" t="s">
        <v>48</v>
      </c>
      <c r="M649">
        <v>1</v>
      </c>
      <c r="N649">
        <v>2</v>
      </c>
      <c r="O649">
        <v>1</v>
      </c>
      <c r="P649" t="s">
        <v>59</v>
      </c>
      <c r="Q649" t="s">
        <v>85</v>
      </c>
      <c r="R649">
        <v>2</v>
      </c>
      <c r="S649">
        <v>5</v>
      </c>
      <c r="T649" t="s">
        <v>44</v>
      </c>
      <c r="U649" t="s">
        <v>79</v>
      </c>
      <c r="V649" t="s">
        <v>66</v>
      </c>
      <c r="W649" s="2">
        <v>45551</v>
      </c>
      <c r="X649" s="4">
        <f ca="1">TODAY()-DATASET[[#This Row],[Time_of_Purchase]]</f>
        <v>583</v>
      </c>
      <c r="Y649" t="b">
        <v>0</v>
      </c>
      <c r="Z649" t="b">
        <v>0</v>
      </c>
      <c r="AA649" t="s">
        <v>40</v>
      </c>
      <c r="AB649" t="s">
        <v>41</v>
      </c>
      <c r="AC649">
        <v>1</v>
      </c>
    </row>
    <row r="650" spans="1:29" x14ac:dyDescent="0.25">
      <c r="A650" t="s">
        <v>1373</v>
      </c>
      <c r="B650">
        <v>28</v>
      </c>
      <c r="C650" t="s">
        <v>43</v>
      </c>
      <c r="D650" t="s">
        <v>30</v>
      </c>
      <c r="E650" t="s">
        <v>31</v>
      </c>
      <c r="F650" t="s">
        <v>45</v>
      </c>
      <c r="G650" t="s">
        <v>44</v>
      </c>
      <c r="H650" t="s">
        <v>1374</v>
      </c>
      <c r="I650" t="s">
        <v>120</v>
      </c>
      <c r="J650" s="1">
        <v>405.66</v>
      </c>
      <c r="K650">
        <v>11</v>
      </c>
      <c r="L650" t="s">
        <v>78</v>
      </c>
      <c r="M650">
        <v>5</v>
      </c>
      <c r="N650">
        <v>2</v>
      </c>
      <c r="O650">
        <v>1</v>
      </c>
      <c r="P650" t="s">
        <v>49</v>
      </c>
      <c r="Q650" t="s">
        <v>37</v>
      </c>
      <c r="R650">
        <v>1</v>
      </c>
      <c r="S650">
        <v>3</v>
      </c>
      <c r="T650" t="s">
        <v>44</v>
      </c>
      <c r="U650" t="s">
        <v>38</v>
      </c>
      <c r="V650" t="s">
        <v>86</v>
      </c>
      <c r="W650" s="2">
        <v>45409</v>
      </c>
      <c r="X650" s="4">
        <f ca="1">TODAY()-DATASET[[#This Row],[Time_of_Purchase]]</f>
        <v>725</v>
      </c>
      <c r="Y650" t="b">
        <v>1</v>
      </c>
      <c r="Z650" t="b">
        <v>0</v>
      </c>
      <c r="AA650" t="s">
        <v>62</v>
      </c>
      <c r="AB650" t="s">
        <v>67</v>
      </c>
      <c r="AC650">
        <v>11</v>
      </c>
    </row>
    <row r="651" spans="1:29" x14ac:dyDescent="0.25">
      <c r="A651" t="s">
        <v>1375</v>
      </c>
      <c r="B651">
        <v>26</v>
      </c>
      <c r="C651" t="s">
        <v>29</v>
      </c>
      <c r="D651" t="s">
        <v>44</v>
      </c>
      <c r="E651" t="s">
        <v>55</v>
      </c>
      <c r="F651" t="s">
        <v>45</v>
      </c>
      <c r="G651" t="s">
        <v>30</v>
      </c>
      <c r="H651" t="s">
        <v>1376</v>
      </c>
      <c r="I651" t="s">
        <v>183</v>
      </c>
      <c r="J651" s="1">
        <v>419.98</v>
      </c>
      <c r="K651">
        <v>7</v>
      </c>
      <c r="L651" t="s">
        <v>48</v>
      </c>
      <c r="M651">
        <v>4</v>
      </c>
      <c r="N651">
        <v>4</v>
      </c>
      <c r="O651">
        <v>0</v>
      </c>
      <c r="P651" t="s">
        <v>36</v>
      </c>
      <c r="Q651" t="s">
        <v>85</v>
      </c>
      <c r="R651">
        <v>0</v>
      </c>
      <c r="S651">
        <v>10</v>
      </c>
      <c r="T651" t="s">
        <v>49</v>
      </c>
      <c r="U651" t="s">
        <v>79</v>
      </c>
      <c r="V651" t="s">
        <v>51</v>
      </c>
      <c r="W651" s="2">
        <v>45410</v>
      </c>
      <c r="X651" s="4">
        <f ca="1">TODAY()-DATASET[[#This Row],[Time_of_Purchase]]</f>
        <v>724</v>
      </c>
      <c r="Y651" t="b">
        <v>1</v>
      </c>
      <c r="Z651" t="b">
        <v>1</v>
      </c>
      <c r="AA651" t="s">
        <v>62</v>
      </c>
      <c r="AB651" t="s">
        <v>41</v>
      </c>
      <c r="AC651">
        <v>14</v>
      </c>
    </row>
    <row r="652" spans="1:29" x14ac:dyDescent="0.25">
      <c r="A652" t="s">
        <v>1377</v>
      </c>
      <c r="B652">
        <v>50</v>
      </c>
      <c r="C652" t="s">
        <v>29</v>
      </c>
      <c r="D652" t="s">
        <v>30</v>
      </c>
      <c r="E652" t="s">
        <v>76</v>
      </c>
      <c r="F652" t="s">
        <v>56</v>
      </c>
      <c r="G652" t="s">
        <v>44</v>
      </c>
      <c r="H652" t="s">
        <v>1378</v>
      </c>
      <c r="I652" t="s">
        <v>135</v>
      </c>
      <c r="J652" s="1">
        <v>260.14</v>
      </c>
      <c r="K652">
        <v>5</v>
      </c>
      <c r="L652" t="s">
        <v>78</v>
      </c>
      <c r="M652">
        <v>3</v>
      </c>
      <c r="N652">
        <v>2</v>
      </c>
      <c r="O652">
        <v>1</v>
      </c>
      <c r="P652" t="s">
        <v>36</v>
      </c>
      <c r="Q652" t="s">
        <v>37</v>
      </c>
      <c r="R652">
        <v>1</v>
      </c>
      <c r="S652">
        <v>7</v>
      </c>
      <c r="T652" t="s">
        <v>59</v>
      </c>
      <c r="U652" t="s">
        <v>60</v>
      </c>
      <c r="V652" t="s">
        <v>66</v>
      </c>
      <c r="W652" s="2">
        <v>45536</v>
      </c>
      <c r="X652" s="4">
        <f ca="1">TODAY()-DATASET[[#This Row],[Time_of_Purchase]]</f>
        <v>598</v>
      </c>
      <c r="Y652" t="b">
        <v>1</v>
      </c>
      <c r="Z652" t="b">
        <v>1</v>
      </c>
      <c r="AA652" t="s">
        <v>40</v>
      </c>
      <c r="AB652" t="s">
        <v>53</v>
      </c>
      <c r="AC652">
        <v>7</v>
      </c>
    </row>
    <row r="653" spans="1:29" x14ac:dyDescent="0.25">
      <c r="A653" t="s">
        <v>1379</v>
      </c>
      <c r="B653">
        <v>36</v>
      </c>
      <c r="C653" t="s">
        <v>29</v>
      </c>
      <c r="D653" t="s">
        <v>30</v>
      </c>
      <c r="E653" t="s">
        <v>69</v>
      </c>
      <c r="F653" t="s">
        <v>32</v>
      </c>
      <c r="G653" t="s">
        <v>44</v>
      </c>
      <c r="H653" t="s">
        <v>1380</v>
      </c>
      <c r="I653" t="s">
        <v>135</v>
      </c>
      <c r="J653" s="1">
        <v>368.91</v>
      </c>
      <c r="K653">
        <v>10</v>
      </c>
      <c r="L653" t="s">
        <v>48</v>
      </c>
      <c r="M653">
        <v>1</v>
      </c>
      <c r="N653">
        <v>3</v>
      </c>
      <c r="O653">
        <v>2</v>
      </c>
      <c r="P653" t="s">
        <v>44</v>
      </c>
      <c r="Q653" t="s">
        <v>50</v>
      </c>
      <c r="R653">
        <v>2</v>
      </c>
      <c r="S653">
        <v>10</v>
      </c>
      <c r="T653" t="s">
        <v>44</v>
      </c>
      <c r="U653" t="s">
        <v>79</v>
      </c>
      <c r="V653" t="s">
        <v>61</v>
      </c>
      <c r="W653" s="2">
        <v>45372</v>
      </c>
      <c r="X653" s="4">
        <f ca="1">TODAY()-DATASET[[#This Row],[Time_of_Purchase]]</f>
        <v>762</v>
      </c>
      <c r="Y653" t="b">
        <v>0</v>
      </c>
      <c r="Z653" t="b">
        <v>0</v>
      </c>
      <c r="AA653" t="s">
        <v>40</v>
      </c>
      <c r="AB653" t="s">
        <v>41</v>
      </c>
      <c r="AC653">
        <v>7</v>
      </c>
    </row>
    <row r="654" spans="1:29" x14ac:dyDescent="0.25">
      <c r="A654" t="s">
        <v>1381</v>
      </c>
      <c r="B654">
        <v>32</v>
      </c>
      <c r="C654" t="s">
        <v>43</v>
      </c>
      <c r="D654" t="s">
        <v>30</v>
      </c>
      <c r="E654" t="s">
        <v>69</v>
      </c>
      <c r="F654" t="s">
        <v>56</v>
      </c>
      <c r="G654" t="s">
        <v>30</v>
      </c>
      <c r="H654" t="s">
        <v>1382</v>
      </c>
      <c r="I654" t="s">
        <v>65</v>
      </c>
      <c r="J654" s="1">
        <v>100.32</v>
      </c>
      <c r="K654">
        <v>2</v>
      </c>
      <c r="L654" t="s">
        <v>48</v>
      </c>
      <c r="M654">
        <v>5</v>
      </c>
      <c r="N654">
        <v>1</v>
      </c>
      <c r="O654">
        <v>1</v>
      </c>
      <c r="P654" t="s">
        <v>59</v>
      </c>
      <c r="Q654" t="s">
        <v>85</v>
      </c>
      <c r="R654">
        <v>0</v>
      </c>
      <c r="S654">
        <v>1</v>
      </c>
      <c r="T654" t="s">
        <v>49</v>
      </c>
      <c r="U654" t="s">
        <v>38</v>
      </c>
      <c r="V654" t="s">
        <v>39</v>
      </c>
      <c r="W654" s="2">
        <v>45637</v>
      </c>
      <c r="X654" s="4">
        <f ca="1">TODAY()-DATASET[[#This Row],[Time_of_Purchase]]</f>
        <v>497</v>
      </c>
      <c r="Y654" t="b">
        <v>0</v>
      </c>
      <c r="Z654" t="b">
        <v>1</v>
      </c>
      <c r="AA654" t="s">
        <v>74</v>
      </c>
      <c r="AB654" t="s">
        <v>67</v>
      </c>
      <c r="AC654">
        <v>8</v>
      </c>
    </row>
    <row r="655" spans="1:29" x14ac:dyDescent="0.25">
      <c r="A655" t="s">
        <v>1383</v>
      </c>
      <c r="B655">
        <v>34</v>
      </c>
      <c r="C655" t="s">
        <v>43</v>
      </c>
      <c r="D655" t="s">
        <v>44</v>
      </c>
      <c r="E655" t="s">
        <v>31</v>
      </c>
      <c r="F655" t="s">
        <v>56</v>
      </c>
      <c r="G655" t="s">
        <v>30</v>
      </c>
      <c r="H655" t="s">
        <v>1384</v>
      </c>
      <c r="I655" t="s">
        <v>47</v>
      </c>
      <c r="J655" s="1">
        <v>107.82</v>
      </c>
      <c r="K655">
        <v>7</v>
      </c>
      <c r="L655" t="s">
        <v>35</v>
      </c>
      <c r="M655">
        <v>5</v>
      </c>
      <c r="N655">
        <v>3</v>
      </c>
      <c r="O655">
        <v>2</v>
      </c>
      <c r="P655" t="s">
        <v>44</v>
      </c>
      <c r="Q655" t="s">
        <v>85</v>
      </c>
      <c r="R655">
        <v>2</v>
      </c>
      <c r="S655">
        <v>10</v>
      </c>
      <c r="T655" t="s">
        <v>59</v>
      </c>
      <c r="U655" t="s">
        <v>60</v>
      </c>
      <c r="V655" t="s">
        <v>39</v>
      </c>
      <c r="W655" s="2">
        <v>45630</v>
      </c>
      <c r="X655" s="4">
        <f ca="1">TODAY()-DATASET[[#This Row],[Time_of_Purchase]]</f>
        <v>504</v>
      </c>
      <c r="Y655" t="b">
        <v>0</v>
      </c>
      <c r="Z655" t="b">
        <v>1</v>
      </c>
      <c r="AA655" t="s">
        <v>52</v>
      </c>
      <c r="AB655" t="s">
        <v>41</v>
      </c>
      <c r="AC655">
        <v>2</v>
      </c>
    </row>
    <row r="656" spans="1:29" x14ac:dyDescent="0.25">
      <c r="A656" t="s">
        <v>1385</v>
      </c>
      <c r="B656">
        <v>50</v>
      </c>
      <c r="C656" t="s">
        <v>43</v>
      </c>
      <c r="D656" t="s">
        <v>30</v>
      </c>
      <c r="E656" t="s">
        <v>31</v>
      </c>
      <c r="F656" t="s">
        <v>45</v>
      </c>
      <c r="G656" t="s">
        <v>30</v>
      </c>
      <c r="H656" t="s">
        <v>1386</v>
      </c>
      <c r="I656" t="s">
        <v>123</v>
      </c>
      <c r="J656" s="1">
        <v>83.88</v>
      </c>
      <c r="K656">
        <v>11</v>
      </c>
      <c r="L656" t="s">
        <v>78</v>
      </c>
      <c r="M656">
        <v>4</v>
      </c>
      <c r="N656">
        <v>2</v>
      </c>
      <c r="O656">
        <v>1</v>
      </c>
      <c r="P656" t="s">
        <v>49</v>
      </c>
      <c r="Q656" t="s">
        <v>50</v>
      </c>
      <c r="R656">
        <v>0</v>
      </c>
      <c r="S656">
        <v>6</v>
      </c>
      <c r="T656" t="s">
        <v>59</v>
      </c>
      <c r="U656" t="s">
        <v>79</v>
      </c>
      <c r="V656" t="s">
        <v>66</v>
      </c>
      <c r="W656" s="2">
        <v>45346</v>
      </c>
      <c r="X656" s="4">
        <f ca="1">TODAY()-DATASET[[#This Row],[Time_of_Purchase]]</f>
        <v>788</v>
      </c>
      <c r="Y656" t="b">
        <v>1</v>
      </c>
      <c r="Z656" t="b">
        <v>1</v>
      </c>
      <c r="AA656" t="s">
        <v>74</v>
      </c>
      <c r="AB656" t="s">
        <v>67</v>
      </c>
      <c r="AC656">
        <v>4</v>
      </c>
    </row>
    <row r="657" spans="1:29" x14ac:dyDescent="0.25">
      <c r="A657" t="s">
        <v>1387</v>
      </c>
      <c r="B657">
        <v>24</v>
      </c>
      <c r="C657" t="s">
        <v>29</v>
      </c>
      <c r="D657" t="s">
        <v>30</v>
      </c>
      <c r="E657" t="s">
        <v>69</v>
      </c>
      <c r="F657" t="s">
        <v>32</v>
      </c>
      <c r="G657" t="s">
        <v>30</v>
      </c>
      <c r="H657" t="s">
        <v>1388</v>
      </c>
      <c r="I657" t="s">
        <v>194</v>
      </c>
      <c r="J657" s="1">
        <v>81.25</v>
      </c>
      <c r="K657">
        <v>9</v>
      </c>
      <c r="L657" t="s">
        <v>78</v>
      </c>
      <c r="M657">
        <v>1</v>
      </c>
      <c r="N657">
        <v>2</v>
      </c>
      <c r="O657">
        <v>1</v>
      </c>
      <c r="P657" t="s">
        <v>59</v>
      </c>
      <c r="Q657" t="s">
        <v>85</v>
      </c>
      <c r="R657">
        <v>2</v>
      </c>
      <c r="S657">
        <v>8</v>
      </c>
      <c r="T657" t="s">
        <v>49</v>
      </c>
      <c r="U657" t="s">
        <v>79</v>
      </c>
      <c r="V657" t="s">
        <v>86</v>
      </c>
      <c r="W657" s="2">
        <v>45436</v>
      </c>
      <c r="X657" s="4">
        <f ca="1">TODAY()-DATASET[[#This Row],[Time_of_Purchase]]</f>
        <v>698</v>
      </c>
      <c r="Y657" t="b">
        <v>1</v>
      </c>
      <c r="Z657" t="b">
        <v>1</v>
      </c>
      <c r="AA657" t="s">
        <v>74</v>
      </c>
      <c r="AB657" t="s">
        <v>41</v>
      </c>
      <c r="AC657">
        <v>10</v>
      </c>
    </row>
    <row r="658" spans="1:29" x14ac:dyDescent="0.25">
      <c r="A658" t="s">
        <v>1389</v>
      </c>
      <c r="B658">
        <v>49</v>
      </c>
      <c r="C658" t="s">
        <v>43</v>
      </c>
      <c r="D658" t="s">
        <v>30</v>
      </c>
      <c r="E658" t="s">
        <v>69</v>
      </c>
      <c r="F658" t="s">
        <v>56</v>
      </c>
      <c r="G658" t="s">
        <v>44</v>
      </c>
      <c r="H658" t="s">
        <v>1390</v>
      </c>
      <c r="I658" t="s">
        <v>65</v>
      </c>
      <c r="J658" s="1">
        <v>125.8</v>
      </c>
      <c r="K658">
        <v>12</v>
      </c>
      <c r="L658" t="s">
        <v>48</v>
      </c>
      <c r="M658">
        <v>4</v>
      </c>
      <c r="N658">
        <v>4</v>
      </c>
      <c r="O658">
        <v>2</v>
      </c>
      <c r="P658" t="s">
        <v>36</v>
      </c>
      <c r="Q658" t="s">
        <v>37</v>
      </c>
      <c r="R658">
        <v>0</v>
      </c>
      <c r="S658">
        <v>8</v>
      </c>
      <c r="T658" t="s">
        <v>44</v>
      </c>
      <c r="U658" t="s">
        <v>79</v>
      </c>
      <c r="V658" t="s">
        <v>51</v>
      </c>
      <c r="W658" s="2">
        <v>45430</v>
      </c>
      <c r="X658" s="4">
        <f ca="1">TODAY()-DATASET[[#This Row],[Time_of_Purchase]]</f>
        <v>704</v>
      </c>
      <c r="Y658" t="b">
        <v>0</v>
      </c>
      <c r="Z658" t="b">
        <v>1</v>
      </c>
      <c r="AA658" t="s">
        <v>74</v>
      </c>
      <c r="AB658" t="s">
        <v>41</v>
      </c>
      <c r="AC658">
        <v>1</v>
      </c>
    </row>
    <row r="659" spans="1:29" x14ac:dyDescent="0.25">
      <c r="A659" t="s">
        <v>1391</v>
      </c>
      <c r="B659">
        <v>18</v>
      </c>
      <c r="C659" t="s">
        <v>29</v>
      </c>
      <c r="D659" t="s">
        <v>30</v>
      </c>
      <c r="E659" t="s">
        <v>55</v>
      </c>
      <c r="F659" t="s">
        <v>32</v>
      </c>
      <c r="G659" t="s">
        <v>30</v>
      </c>
      <c r="H659" t="s">
        <v>1392</v>
      </c>
      <c r="I659" t="s">
        <v>142</v>
      </c>
      <c r="J659" s="1">
        <v>197.9</v>
      </c>
      <c r="K659">
        <v>11</v>
      </c>
      <c r="L659" t="s">
        <v>35</v>
      </c>
      <c r="M659">
        <v>2</v>
      </c>
      <c r="N659">
        <v>4</v>
      </c>
      <c r="O659">
        <v>2</v>
      </c>
      <c r="P659" t="s">
        <v>49</v>
      </c>
      <c r="Q659" t="s">
        <v>50</v>
      </c>
      <c r="R659">
        <v>1</v>
      </c>
      <c r="S659">
        <v>4</v>
      </c>
      <c r="T659" t="s">
        <v>59</v>
      </c>
      <c r="U659" t="s">
        <v>79</v>
      </c>
      <c r="V659" t="s">
        <v>61</v>
      </c>
      <c r="W659" s="2">
        <v>45384</v>
      </c>
      <c r="X659" s="4">
        <f ca="1">TODAY()-DATASET[[#This Row],[Time_of_Purchase]]</f>
        <v>750</v>
      </c>
      <c r="Y659" t="b">
        <v>1</v>
      </c>
      <c r="Z659" t="b">
        <v>1</v>
      </c>
      <c r="AA659" t="s">
        <v>52</v>
      </c>
      <c r="AB659" t="s">
        <v>53</v>
      </c>
      <c r="AC659">
        <v>5</v>
      </c>
    </row>
    <row r="660" spans="1:29" x14ac:dyDescent="0.25">
      <c r="A660" t="s">
        <v>1393</v>
      </c>
      <c r="B660">
        <v>44</v>
      </c>
      <c r="C660" t="s">
        <v>43</v>
      </c>
      <c r="D660" t="s">
        <v>44</v>
      </c>
      <c r="E660" t="s">
        <v>76</v>
      </c>
      <c r="F660" t="s">
        <v>45</v>
      </c>
      <c r="G660" t="s">
        <v>30</v>
      </c>
      <c r="H660" t="s">
        <v>1394</v>
      </c>
      <c r="I660" t="s">
        <v>194</v>
      </c>
      <c r="J660" s="1">
        <v>299.08999999999997</v>
      </c>
      <c r="K660">
        <v>8</v>
      </c>
      <c r="L660" t="s">
        <v>48</v>
      </c>
      <c r="M660">
        <v>1</v>
      </c>
      <c r="N660">
        <v>1</v>
      </c>
      <c r="O660">
        <v>2</v>
      </c>
      <c r="P660" t="s">
        <v>44</v>
      </c>
      <c r="Q660" t="s">
        <v>85</v>
      </c>
      <c r="R660">
        <v>2</v>
      </c>
      <c r="S660">
        <v>7</v>
      </c>
      <c r="T660" t="s">
        <v>44</v>
      </c>
      <c r="U660" t="s">
        <v>38</v>
      </c>
      <c r="V660" t="s">
        <v>61</v>
      </c>
      <c r="W660" s="2">
        <v>45467</v>
      </c>
      <c r="X660" s="4">
        <f ca="1">TODAY()-DATASET[[#This Row],[Time_of_Purchase]]</f>
        <v>667</v>
      </c>
      <c r="Y660" t="b">
        <v>0</v>
      </c>
      <c r="Z660" t="b">
        <v>0</v>
      </c>
      <c r="AA660" t="s">
        <v>62</v>
      </c>
      <c r="AB660" t="s">
        <v>53</v>
      </c>
      <c r="AC660">
        <v>14</v>
      </c>
    </row>
    <row r="661" spans="1:29" x14ac:dyDescent="0.25">
      <c r="A661" t="s">
        <v>1395</v>
      </c>
      <c r="B661">
        <v>41</v>
      </c>
      <c r="C661" t="s">
        <v>43</v>
      </c>
      <c r="D661" t="s">
        <v>44</v>
      </c>
      <c r="E661" t="s">
        <v>31</v>
      </c>
      <c r="F661" t="s">
        <v>45</v>
      </c>
      <c r="G661" t="s">
        <v>30</v>
      </c>
      <c r="H661" t="s">
        <v>1396</v>
      </c>
      <c r="I661" t="s">
        <v>194</v>
      </c>
      <c r="J661" s="1">
        <v>79.3</v>
      </c>
      <c r="K661">
        <v>10</v>
      </c>
      <c r="L661" t="s">
        <v>78</v>
      </c>
      <c r="M661">
        <v>3</v>
      </c>
      <c r="N661">
        <v>2</v>
      </c>
      <c r="O661">
        <v>1</v>
      </c>
      <c r="P661" t="s">
        <v>59</v>
      </c>
      <c r="Q661" t="s">
        <v>37</v>
      </c>
      <c r="R661">
        <v>2</v>
      </c>
      <c r="S661">
        <v>4</v>
      </c>
      <c r="T661" t="s">
        <v>44</v>
      </c>
      <c r="U661" t="s">
        <v>60</v>
      </c>
      <c r="V661" t="s">
        <v>61</v>
      </c>
      <c r="W661" s="2">
        <v>45538</v>
      </c>
      <c r="X661" s="4">
        <f ca="1">TODAY()-DATASET[[#This Row],[Time_of_Purchase]]</f>
        <v>596</v>
      </c>
      <c r="Y661" t="b">
        <v>0</v>
      </c>
      <c r="Z661" t="b">
        <v>0</v>
      </c>
      <c r="AA661" t="s">
        <v>74</v>
      </c>
      <c r="AB661" t="s">
        <v>41</v>
      </c>
      <c r="AC661">
        <v>2</v>
      </c>
    </row>
    <row r="662" spans="1:29" x14ac:dyDescent="0.25">
      <c r="A662" t="s">
        <v>1397</v>
      </c>
      <c r="B662">
        <v>33</v>
      </c>
      <c r="C662" t="s">
        <v>43</v>
      </c>
      <c r="D662" t="s">
        <v>44</v>
      </c>
      <c r="E662" t="s">
        <v>76</v>
      </c>
      <c r="F662" t="s">
        <v>45</v>
      </c>
      <c r="G662" t="s">
        <v>44</v>
      </c>
      <c r="H662" t="s">
        <v>1398</v>
      </c>
      <c r="I662" t="s">
        <v>82</v>
      </c>
      <c r="J662" s="1">
        <v>55.73</v>
      </c>
      <c r="K662">
        <v>12</v>
      </c>
      <c r="L662" t="s">
        <v>48</v>
      </c>
      <c r="M662">
        <v>4</v>
      </c>
      <c r="N662">
        <v>3</v>
      </c>
      <c r="O662">
        <v>0.3</v>
      </c>
      <c r="P662" t="s">
        <v>49</v>
      </c>
      <c r="Q662" t="s">
        <v>50</v>
      </c>
      <c r="R662">
        <v>1</v>
      </c>
      <c r="S662">
        <v>3</v>
      </c>
      <c r="T662" t="s">
        <v>44</v>
      </c>
      <c r="U662" t="s">
        <v>38</v>
      </c>
      <c r="V662" t="s">
        <v>51</v>
      </c>
      <c r="W662" s="2">
        <v>45431</v>
      </c>
      <c r="X662" s="4">
        <f ca="1">TODAY()-DATASET[[#This Row],[Time_of_Purchase]]</f>
        <v>703</v>
      </c>
      <c r="Y662" t="b">
        <v>0</v>
      </c>
      <c r="Z662" t="b">
        <v>1</v>
      </c>
      <c r="AA662" t="s">
        <v>40</v>
      </c>
      <c r="AB662" t="s">
        <v>67</v>
      </c>
      <c r="AC662">
        <v>3</v>
      </c>
    </row>
    <row r="663" spans="1:29" x14ac:dyDescent="0.25">
      <c r="A663" t="s">
        <v>1399</v>
      </c>
      <c r="B663">
        <v>46</v>
      </c>
      <c r="C663" t="s">
        <v>43</v>
      </c>
      <c r="D663" t="s">
        <v>44</v>
      </c>
      <c r="E663" t="s">
        <v>55</v>
      </c>
      <c r="F663" t="s">
        <v>32</v>
      </c>
      <c r="G663" t="s">
        <v>44</v>
      </c>
      <c r="H663" t="s">
        <v>1400</v>
      </c>
      <c r="I663" t="s">
        <v>120</v>
      </c>
      <c r="J663" s="1">
        <v>256.44</v>
      </c>
      <c r="K663">
        <v>8</v>
      </c>
      <c r="L663" t="s">
        <v>48</v>
      </c>
      <c r="M663">
        <v>4</v>
      </c>
      <c r="N663">
        <v>1</v>
      </c>
      <c r="O663">
        <v>2</v>
      </c>
      <c r="P663" t="s">
        <v>44</v>
      </c>
      <c r="Q663" t="s">
        <v>37</v>
      </c>
      <c r="R663">
        <v>1</v>
      </c>
      <c r="S663">
        <v>6</v>
      </c>
      <c r="T663" t="s">
        <v>49</v>
      </c>
      <c r="U663" t="s">
        <v>38</v>
      </c>
      <c r="V663" t="s">
        <v>66</v>
      </c>
      <c r="W663" s="2">
        <v>45508</v>
      </c>
      <c r="X663" s="4">
        <f ca="1">TODAY()-DATASET[[#This Row],[Time_of_Purchase]]</f>
        <v>626</v>
      </c>
      <c r="Y663" t="b">
        <v>0</v>
      </c>
      <c r="Z663" t="b">
        <v>0</v>
      </c>
      <c r="AA663" t="s">
        <v>52</v>
      </c>
      <c r="AB663" t="s">
        <v>67</v>
      </c>
      <c r="AC663">
        <v>3</v>
      </c>
    </row>
    <row r="664" spans="1:29" x14ac:dyDescent="0.25">
      <c r="A664" t="s">
        <v>1401</v>
      </c>
      <c r="B664">
        <v>23</v>
      </c>
      <c r="C664" t="s">
        <v>29</v>
      </c>
      <c r="D664" t="s">
        <v>44</v>
      </c>
      <c r="E664" t="s">
        <v>31</v>
      </c>
      <c r="F664" t="s">
        <v>32</v>
      </c>
      <c r="G664" t="s">
        <v>44</v>
      </c>
      <c r="H664" t="s">
        <v>1402</v>
      </c>
      <c r="I664" t="s">
        <v>126</v>
      </c>
      <c r="J664" s="1">
        <v>337.21</v>
      </c>
      <c r="K664">
        <v>12</v>
      </c>
      <c r="L664" t="s">
        <v>78</v>
      </c>
      <c r="M664">
        <v>1</v>
      </c>
      <c r="N664">
        <v>5</v>
      </c>
      <c r="O664">
        <v>1</v>
      </c>
      <c r="P664" t="s">
        <v>59</v>
      </c>
      <c r="Q664" t="s">
        <v>37</v>
      </c>
      <c r="R664">
        <v>0</v>
      </c>
      <c r="S664">
        <v>9</v>
      </c>
      <c r="T664" t="s">
        <v>36</v>
      </c>
      <c r="U664" t="s">
        <v>60</v>
      </c>
      <c r="V664" t="s">
        <v>61</v>
      </c>
      <c r="W664" s="2">
        <v>45589</v>
      </c>
      <c r="X664" s="4">
        <f ca="1">TODAY()-DATASET[[#This Row],[Time_of_Purchase]]</f>
        <v>545</v>
      </c>
      <c r="Y664" t="b">
        <v>1</v>
      </c>
      <c r="Z664" t="b">
        <v>1</v>
      </c>
      <c r="AA664" t="s">
        <v>74</v>
      </c>
      <c r="AB664" t="s">
        <v>67</v>
      </c>
      <c r="AC664">
        <v>11</v>
      </c>
    </row>
    <row r="665" spans="1:29" x14ac:dyDescent="0.25">
      <c r="A665" t="s">
        <v>1403</v>
      </c>
      <c r="B665">
        <v>35</v>
      </c>
      <c r="C665" t="s">
        <v>29</v>
      </c>
      <c r="D665" t="s">
        <v>44</v>
      </c>
      <c r="E665" t="s">
        <v>55</v>
      </c>
      <c r="F665" t="s">
        <v>56</v>
      </c>
      <c r="G665" t="s">
        <v>30</v>
      </c>
      <c r="H665" t="s">
        <v>1404</v>
      </c>
      <c r="I665" t="s">
        <v>120</v>
      </c>
      <c r="J665" s="1">
        <v>494.97</v>
      </c>
      <c r="K665">
        <v>12</v>
      </c>
      <c r="L665" t="s">
        <v>48</v>
      </c>
      <c r="M665">
        <v>5</v>
      </c>
      <c r="N665">
        <v>4</v>
      </c>
      <c r="O665">
        <v>2</v>
      </c>
      <c r="P665" t="s">
        <v>59</v>
      </c>
      <c r="Q665" t="s">
        <v>50</v>
      </c>
      <c r="R665">
        <v>1</v>
      </c>
      <c r="S665">
        <v>5</v>
      </c>
      <c r="T665" t="s">
        <v>59</v>
      </c>
      <c r="U665" t="s">
        <v>38</v>
      </c>
      <c r="V665" t="s">
        <v>61</v>
      </c>
      <c r="W665" s="2">
        <v>45520</v>
      </c>
      <c r="X665" s="4">
        <f ca="1">TODAY()-DATASET[[#This Row],[Time_of_Purchase]]</f>
        <v>614</v>
      </c>
      <c r="Y665" t="b">
        <v>0</v>
      </c>
      <c r="Z665" t="b">
        <v>0</v>
      </c>
      <c r="AA665" t="s">
        <v>74</v>
      </c>
      <c r="AB665" t="s">
        <v>41</v>
      </c>
      <c r="AC665">
        <v>7</v>
      </c>
    </row>
    <row r="666" spans="1:29" x14ac:dyDescent="0.25">
      <c r="A666" t="s">
        <v>1405</v>
      </c>
      <c r="B666">
        <v>31</v>
      </c>
      <c r="C666" t="s">
        <v>29</v>
      </c>
      <c r="D666" t="s">
        <v>30</v>
      </c>
      <c r="E666" t="s">
        <v>69</v>
      </c>
      <c r="F666" t="s">
        <v>45</v>
      </c>
      <c r="G666" t="s">
        <v>44</v>
      </c>
      <c r="H666" t="s">
        <v>1406</v>
      </c>
      <c r="I666" t="s">
        <v>135</v>
      </c>
      <c r="J666" s="1">
        <v>238.58</v>
      </c>
      <c r="K666">
        <v>6</v>
      </c>
      <c r="L666" t="s">
        <v>78</v>
      </c>
      <c r="M666">
        <v>3</v>
      </c>
      <c r="N666">
        <v>2</v>
      </c>
      <c r="O666">
        <v>2</v>
      </c>
      <c r="P666" t="s">
        <v>49</v>
      </c>
      <c r="Q666" t="s">
        <v>85</v>
      </c>
      <c r="R666">
        <v>2</v>
      </c>
      <c r="S666">
        <v>9</v>
      </c>
      <c r="T666" t="s">
        <v>49</v>
      </c>
      <c r="U666" t="s">
        <v>38</v>
      </c>
      <c r="V666" t="s">
        <v>51</v>
      </c>
      <c r="W666" s="2">
        <v>45454</v>
      </c>
      <c r="X666" s="4">
        <f ca="1">TODAY()-DATASET[[#This Row],[Time_of_Purchase]]</f>
        <v>680</v>
      </c>
      <c r="Y666" t="b">
        <v>1</v>
      </c>
      <c r="Z666" t="b">
        <v>1</v>
      </c>
      <c r="AA666" t="s">
        <v>52</v>
      </c>
      <c r="AB666" t="s">
        <v>53</v>
      </c>
      <c r="AC666">
        <v>8</v>
      </c>
    </row>
    <row r="667" spans="1:29" x14ac:dyDescent="0.25">
      <c r="A667" t="s">
        <v>1407</v>
      </c>
      <c r="B667">
        <v>20</v>
      </c>
      <c r="C667" t="s">
        <v>29</v>
      </c>
      <c r="D667" t="s">
        <v>44</v>
      </c>
      <c r="E667" t="s">
        <v>55</v>
      </c>
      <c r="F667" t="s">
        <v>32</v>
      </c>
      <c r="G667" t="s">
        <v>44</v>
      </c>
      <c r="H667" t="s">
        <v>1408</v>
      </c>
      <c r="I667" t="s">
        <v>90</v>
      </c>
      <c r="J667" s="1">
        <v>131.9</v>
      </c>
      <c r="K667">
        <v>8</v>
      </c>
      <c r="L667" t="s">
        <v>35</v>
      </c>
      <c r="M667">
        <v>3</v>
      </c>
      <c r="N667">
        <v>5</v>
      </c>
      <c r="O667">
        <v>0</v>
      </c>
      <c r="P667" t="s">
        <v>36</v>
      </c>
      <c r="Q667" t="s">
        <v>50</v>
      </c>
      <c r="R667">
        <v>2</v>
      </c>
      <c r="S667">
        <v>4</v>
      </c>
      <c r="T667" t="s">
        <v>49</v>
      </c>
      <c r="U667" t="s">
        <v>38</v>
      </c>
      <c r="V667" t="s">
        <v>39</v>
      </c>
      <c r="W667" s="2">
        <v>45597</v>
      </c>
      <c r="X667" s="4">
        <f ca="1">TODAY()-DATASET[[#This Row],[Time_of_Purchase]]</f>
        <v>537</v>
      </c>
      <c r="Y667" t="b">
        <v>1</v>
      </c>
      <c r="Z667" t="b">
        <v>1</v>
      </c>
      <c r="AA667" t="s">
        <v>74</v>
      </c>
      <c r="AB667" t="s">
        <v>41</v>
      </c>
      <c r="AC667">
        <v>4</v>
      </c>
    </row>
    <row r="668" spans="1:29" x14ac:dyDescent="0.25">
      <c r="A668" t="s">
        <v>1409</v>
      </c>
      <c r="B668">
        <v>49</v>
      </c>
      <c r="C668" t="s">
        <v>29</v>
      </c>
      <c r="D668" t="s">
        <v>30</v>
      </c>
      <c r="E668" t="s">
        <v>31</v>
      </c>
      <c r="F668" t="s">
        <v>32</v>
      </c>
      <c r="G668" t="s">
        <v>44</v>
      </c>
      <c r="H668" t="s">
        <v>1410</v>
      </c>
      <c r="I668" t="s">
        <v>47</v>
      </c>
      <c r="J668" s="1">
        <v>403.03</v>
      </c>
      <c r="K668">
        <v>12</v>
      </c>
      <c r="L668" t="s">
        <v>35</v>
      </c>
      <c r="M668">
        <v>1</v>
      </c>
      <c r="N668">
        <v>5</v>
      </c>
      <c r="O668">
        <v>1</v>
      </c>
      <c r="P668" t="s">
        <v>49</v>
      </c>
      <c r="Q668" t="s">
        <v>37</v>
      </c>
      <c r="R668">
        <v>0</v>
      </c>
      <c r="S668">
        <v>1</v>
      </c>
      <c r="T668" t="s">
        <v>44</v>
      </c>
      <c r="U668" t="s">
        <v>38</v>
      </c>
      <c r="V668" t="s">
        <v>66</v>
      </c>
      <c r="W668" s="2">
        <v>45526</v>
      </c>
      <c r="X668" s="4">
        <f ca="1">TODAY()-DATASET[[#This Row],[Time_of_Purchase]]</f>
        <v>608</v>
      </c>
      <c r="Y668" t="b">
        <v>1</v>
      </c>
      <c r="Z668" t="b">
        <v>1</v>
      </c>
      <c r="AA668" t="s">
        <v>52</v>
      </c>
      <c r="AB668" t="s">
        <v>53</v>
      </c>
      <c r="AC668">
        <v>2</v>
      </c>
    </row>
    <row r="669" spans="1:29" x14ac:dyDescent="0.25">
      <c r="A669" t="s">
        <v>1411</v>
      </c>
      <c r="B669">
        <v>26</v>
      </c>
      <c r="C669" t="s">
        <v>29</v>
      </c>
      <c r="D669" t="s">
        <v>44</v>
      </c>
      <c r="E669" t="s">
        <v>69</v>
      </c>
      <c r="F669" t="s">
        <v>32</v>
      </c>
      <c r="G669" t="s">
        <v>44</v>
      </c>
      <c r="H669" t="s">
        <v>1412</v>
      </c>
      <c r="I669" t="s">
        <v>142</v>
      </c>
      <c r="J669" s="1">
        <v>338.6</v>
      </c>
      <c r="K669">
        <v>10</v>
      </c>
      <c r="L669" t="s">
        <v>48</v>
      </c>
      <c r="M669">
        <v>1</v>
      </c>
      <c r="N669">
        <v>3</v>
      </c>
      <c r="O669">
        <v>2</v>
      </c>
      <c r="P669" t="s">
        <v>49</v>
      </c>
      <c r="Q669" t="s">
        <v>37</v>
      </c>
      <c r="R669">
        <v>1</v>
      </c>
      <c r="S669">
        <v>3</v>
      </c>
      <c r="T669" t="s">
        <v>49</v>
      </c>
      <c r="U669" t="s">
        <v>79</v>
      </c>
      <c r="V669" t="s">
        <v>66</v>
      </c>
      <c r="W669" s="2">
        <v>45528</v>
      </c>
      <c r="X669" s="4">
        <f ca="1">TODAY()-DATASET[[#This Row],[Time_of_Purchase]]</f>
        <v>606</v>
      </c>
      <c r="Y669" t="b">
        <v>0</v>
      </c>
      <c r="Z669" t="b">
        <v>0</v>
      </c>
      <c r="AA669" t="s">
        <v>74</v>
      </c>
      <c r="AB669" t="s">
        <v>41</v>
      </c>
      <c r="AC669">
        <v>9</v>
      </c>
    </row>
    <row r="670" spans="1:29" x14ac:dyDescent="0.25">
      <c r="A670" t="s">
        <v>1413</v>
      </c>
      <c r="B670">
        <v>36</v>
      </c>
      <c r="C670" t="s">
        <v>43</v>
      </c>
      <c r="D670" t="s">
        <v>30</v>
      </c>
      <c r="E670" t="s">
        <v>69</v>
      </c>
      <c r="F670" t="s">
        <v>45</v>
      </c>
      <c r="G670" t="s">
        <v>44</v>
      </c>
      <c r="H670" t="s">
        <v>1414</v>
      </c>
      <c r="I670" t="s">
        <v>71</v>
      </c>
      <c r="J670" s="1">
        <v>365.38</v>
      </c>
      <c r="K670">
        <v>11</v>
      </c>
      <c r="L670" t="s">
        <v>78</v>
      </c>
      <c r="M670">
        <v>1</v>
      </c>
      <c r="N670">
        <v>4</v>
      </c>
      <c r="O670">
        <v>0</v>
      </c>
      <c r="P670" t="s">
        <v>44</v>
      </c>
      <c r="Q670" t="s">
        <v>37</v>
      </c>
      <c r="R670">
        <v>0</v>
      </c>
      <c r="S670">
        <v>9</v>
      </c>
      <c r="T670" t="s">
        <v>49</v>
      </c>
      <c r="U670" t="s">
        <v>79</v>
      </c>
      <c r="V670" t="s">
        <v>86</v>
      </c>
      <c r="W670" s="2">
        <v>45505</v>
      </c>
      <c r="X670" s="4">
        <f ca="1">TODAY()-DATASET[[#This Row],[Time_of_Purchase]]</f>
        <v>629</v>
      </c>
      <c r="Y670" t="b">
        <v>0</v>
      </c>
      <c r="Z670" t="b">
        <v>0</v>
      </c>
      <c r="AA670" t="s">
        <v>52</v>
      </c>
      <c r="AB670" t="s">
        <v>67</v>
      </c>
      <c r="AC670">
        <v>14</v>
      </c>
    </row>
    <row r="671" spans="1:29" x14ac:dyDescent="0.25">
      <c r="A671" t="s">
        <v>1415</v>
      </c>
      <c r="B671">
        <v>21</v>
      </c>
      <c r="C671" t="s">
        <v>43</v>
      </c>
      <c r="D671" t="s">
        <v>30</v>
      </c>
      <c r="E671" t="s">
        <v>31</v>
      </c>
      <c r="F671" t="s">
        <v>45</v>
      </c>
      <c r="G671" t="s">
        <v>44</v>
      </c>
      <c r="H671" t="s">
        <v>1416</v>
      </c>
      <c r="I671" t="s">
        <v>90</v>
      </c>
      <c r="J671" s="1">
        <v>433.99</v>
      </c>
      <c r="K671">
        <v>11</v>
      </c>
      <c r="L671" t="s">
        <v>35</v>
      </c>
      <c r="M671">
        <v>3</v>
      </c>
      <c r="N671">
        <v>2</v>
      </c>
      <c r="O671">
        <v>1</v>
      </c>
      <c r="P671" t="s">
        <v>44</v>
      </c>
      <c r="Q671" t="s">
        <v>50</v>
      </c>
      <c r="R671">
        <v>0</v>
      </c>
      <c r="S671">
        <v>2</v>
      </c>
      <c r="T671" t="s">
        <v>36</v>
      </c>
      <c r="U671" t="s">
        <v>79</v>
      </c>
      <c r="V671" t="s">
        <v>39</v>
      </c>
      <c r="W671" s="2">
        <v>45331</v>
      </c>
      <c r="X671" s="4">
        <f ca="1">TODAY()-DATASET[[#This Row],[Time_of_Purchase]]</f>
        <v>803</v>
      </c>
      <c r="Y671" t="b">
        <v>0</v>
      </c>
      <c r="Z671" t="b">
        <v>0</v>
      </c>
      <c r="AA671" t="s">
        <v>40</v>
      </c>
      <c r="AB671" t="s">
        <v>41</v>
      </c>
      <c r="AC671">
        <v>8</v>
      </c>
    </row>
    <row r="672" spans="1:29" x14ac:dyDescent="0.25">
      <c r="A672" t="s">
        <v>1417</v>
      </c>
      <c r="B672">
        <v>35</v>
      </c>
      <c r="C672" t="s">
        <v>29</v>
      </c>
      <c r="D672" t="s">
        <v>30</v>
      </c>
      <c r="E672" t="s">
        <v>69</v>
      </c>
      <c r="F672" t="s">
        <v>45</v>
      </c>
      <c r="G672" t="s">
        <v>30</v>
      </c>
      <c r="H672" t="s">
        <v>1418</v>
      </c>
      <c r="I672" t="s">
        <v>104</v>
      </c>
      <c r="J672" s="1">
        <v>495.95</v>
      </c>
      <c r="K672">
        <v>5</v>
      </c>
      <c r="L672" t="s">
        <v>48</v>
      </c>
      <c r="M672">
        <v>4</v>
      </c>
      <c r="N672">
        <v>2</v>
      </c>
      <c r="O672">
        <v>0</v>
      </c>
      <c r="P672" t="s">
        <v>44</v>
      </c>
      <c r="Q672" t="s">
        <v>85</v>
      </c>
      <c r="R672">
        <v>1</v>
      </c>
      <c r="S672">
        <v>7</v>
      </c>
      <c r="T672" t="s">
        <v>36</v>
      </c>
      <c r="U672" t="s">
        <v>60</v>
      </c>
      <c r="V672" t="s">
        <v>66</v>
      </c>
      <c r="W672" s="2">
        <v>45392</v>
      </c>
      <c r="X672" s="4">
        <f ca="1">TODAY()-DATASET[[#This Row],[Time_of_Purchase]]</f>
        <v>742</v>
      </c>
      <c r="Y672" t="b">
        <v>0</v>
      </c>
      <c r="Z672" t="b">
        <v>0</v>
      </c>
      <c r="AA672" t="s">
        <v>74</v>
      </c>
      <c r="AB672" t="s">
        <v>41</v>
      </c>
      <c r="AC672">
        <v>6</v>
      </c>
    </row>
    <row r="673" spans="1:29" x14ac:dyDescent="0.25">
      <c r="A673" t="s">
        <v>1419</v>
      </c>
      <c r="B673">
        <v>41</v>
      </c>
      <c r="C673" t="s">
        <v>43</v>
      </c>
      <c r="D673" t="s">
        <v>44</v>
      </c>
      <c r="E673" t="s">
        <v>31</v>
      </c>
      <c r="F673" t="s">
        <v>45</v>
      </c>
      <c r="G673" t="s">
        <v>30</v>
      </c>
      <c r="H673" t="s">
        <v>1420</v>
      </c>
      <c r="I673" t="s">
        <v>123</v>
      </c>
      <c r="J673" s="1">
        <v>356.22</v>
      </c>
      <c r="K673">
        <v>7</v>
      </c>
      <c r="L673" t="s">
        <v>48</v>
      </c>
      <c r="M673">
        <v>2</v>
      </c>
      <c r="N673">
        <v>5</v>
      </c>
      <c r="O673">
        <v>0</v>
      </c>
      <c r="P673" t="s">
        <v>49</v>
      </c>
      <c r="Q673" t="s">
        <v>85</v>
      </c>
      <c r="R673">
        <v>1</v>
      </c>
      <c r="S673">
        <v>7</v>
      </c>
      <c r="T673" t="s">
        <v>44</v>
      </c>
      <c r="U673" t="s">
        <v>60</v>
      </c>
      <c r="V673" t="s">
        <v>39</v>
      </c>
      <c r="W673" s="2">
        <v>45453</v>
      </c>
      <c r="X673" s="4">
        <f ca="1">TODAY()-DATASET[[#This Row],[Time_of_Purchase]]</f>
        <v>681</v>
      </c>
      <c r="Y673" t="b">
        <v>0</v>
      </c>
      <c r="Z673" t="b">
        <v>1</v>
      </c>
      <c r="AA673" t="s">
        <v>74</v>
      </c>
      <c r="AB673" t="s">
        <v>67</v>
      </c>
      <c r="AC673">
        <v>6</v>
      </c>
    </row>
    <row r="674" spans="1:29" x14ac:dyDescent="0.25">
      <c r="A674" t="s">
        <v>1421</v>
      </c>
      <c r="B674">
        <v>22</v>
      </c>
      <c r="C674" t="s">
        <v>352</v>
      </c>
      <c r="D674" t="s">
        <v>44</v>
      </c>
      <c r="E674" t="s">
        <v>55</v>
      </c>
      <c r="F674" t="s">
        <v>45</v>
      </c>
      <c r="G674" t="s">
        <v>30</v>
      </c>
      <c r="H674" t="s">
        <v>1422</v>
      </c>
      <c r="I674" t="s">
        <v>142</v>
      </c>
      <c r="J674" s="1">
        <v>156.4</v>
      </c>
      <c r="K674">
        <v>7</v>
      </c>
      <c r="L674" t="s">
        <v>48</v>
      </c>
      <c r="M674">
        <v>4</v>
      </c>
      <c r="N674">
        <v>5</v>
      </c>
      <c r="O674">
        <v>2</v>
      </c>
      <c r="P674" t="s">
        <v>59</v>
      </c>
      <c r="Q674" t="s">
        <v>37</v>
      </c>
      <c r="R674">
        <v>1</v>
      </c>
      <c r="S674">
        <v>7</v>
      </c>
      <c r="T674" t="s">
        <v>59</v>
      </c>
      <c r="U674" t="s">
        <v>79</v>
      </c>
      <c r="V674" t="s">
        <v>39</v>
      </c>
      <c r="W674" s="2">
        <v>45603</v>
      </c>
      <c r="X674" s="4">
        <f ca="1">TODAY()-DATASET[[#This Row],[Time_of_Purchase]]</f>
        <v>531</v>
      </c>
      <c r="Y674" t="b">
        <v>0</v>
      </c>
      <c r="Z674" t="b">
        <v>1</v>
      </c>
      <c r="AA674" t="s">
        <v>40</v>
      </c>
      <c r="AB674" t="s">
        <v>53</v>
      </c>
      <c r="AC674">
        <v>4</v>
      </c>
    </row>
    <row r="675" spans="1:29" x14ac:dyDescent="0.25">
      <c r="A675" t="s">
        <v>1423</v>
      </c>
      <c r="B675">
        <v>42</v>
      </c>
      <c r="C675" t="s">
        <v>43</v>
      </c>
      <c r="D675" t="s">
        <v>30</v>
      </c>
      <c r="E675" t="s">
        <v>55</v>
      </c>
      <c r="F675" t="s">
        <v>56</v>
      </c>
      <c r="G675" t="s">
        <v>30</v>
      </c>
      <c r="H675" t="s">
        <v>1424</v>
      </c>
      <c r="I675" t="s">
        <v>90</v>
      </c>
      <c r="J675" s="1">
        <v>454.36</v>
      </c>
      <c r="K675">
        <v>3</v>
      </c>
      <c r="L675" t="s">
        <v>48</v>
      </c>
      <c r="M675">
        <v>4</v>
      </c>
      <c r="N675">
        <v>5</v>
      </c>
      <c r="O675">
        <v>1</v>
      </c>
      <c r="P675" t="s">
        <v>59</v>
      </c>
      <c r="Q675" t="s">
        <v>85</v>
      </c>
      <c r="R675">
        <v>1</v>
      </c>
      <c r="S675">
        <v>8</v>
      </c>
      <c r="T675" t="s">
        <v>49</v>
      </c>
      <c r="U675" t="s">
        <v>38</v>
      </c>
      <c r="V675" t="s">
        <v>86</v>
      </c>
      <c r="W675" s="2">
        <v>45551</v>
      </c>
      <c r="X675" s="4">
        <f ca="1">TODAY()-DATASET[[#This Row],[Time_of_Purchase]]</f>
        <v>583</v>
      </c>
      <c r="Y675" t="b">
        <v>1</v>
      </c>
      <c r="Z675" t="b">
        <v>0</v>
      </c>
      <c r="AA675" t="s">
        <v>74</v>
      </c>
      <c r="AB675" t="s">
        <v>41</v>
      </c>
      <c r="AC675">
        <v>12</v>
      </c>
    </row>
    <row r="676" spans="1:29" x14ac:dyDescent="0.25">
      <c r="A676" t="s">
        <v>1425</v>
      </c>
      <c r="B676">
        <v>50</v>
      </c>
      <c r="C676" t="s">
        <v>43</v>
      </c>
      <c r="D676" t="s">
        <v>44</v>
      </c>
      <c r="E676" t="s">
        <v>55</v>
      </c>
      <c r="F676" t="s">
        <v>32</v>
      </c>
      <c r="G676" t="s">
        <v>44</v>
      </c>
      <c r="H676" t="s">
        <v>1426</v>
      </c>
      <c r="I676" t="s">
        <v>120</v>
      </c>
      <c r="J676" s="1">
        <v>486.07</v>
      </c>
      <c r="K676">
        <v>11</v>
      </c>
      <c r="L676" t="s">
        <v>35</v>
      </c>
      <c r="M676">
        <v>5</v>
      </c>
      <c r="N676">
        <v>1</v>
      </c>
      <c r="O676">
        <v>0</v>
      </c>
      <c r="P676" t="s">
        <v>49</v>
      </c>
      <c r="Q676" t="s">
        <v>37</v>
      </c>
      <c r="R676">
        <v>2</v>
      </c>
      <c r="S676">
        <v>6</v>
      </c>
      <c r="T676" t="s">
        <v>36</v>
      </c>
      <c r="U676" t="s">
        <v>38</v>
      </c>
      <c r="V676" t="s">
        <v>39</v>
      </c>
      <c r="W676" s="2">
        <v>45307</v>
      </c>
      <c r="X676" s="4">
        <f ca="1">TODAY()-DATASET[[#This Row],[Time_of_Purchase]]</f>
        <v>827</v>
      </c>
      <c r="Y676" t="b">
        <v>0</v>
      </c>
      <c r="Z676" t="b">
        <v>0</v>
      </c>
      <c r="AA676" t="s">
        <v>74</v>
      </c>
      <c r="AB676" t="s">
        <v>53</v>
      </c>
      <c r="AC676">
        <v>12</v>
      </c>
    </row>
    <row r="677" spans="1:29" x14ac:dyDescent="0.25">
      <c r="A677" t="s">
        <v>1427</v>
      </c>
      <c r="B677">
        <v>30</v>
      </c>
      <c r="C677" t="s">
        <v>29</v>
      </c>
      <c r="D677" t="s">
        <v>44</v>
      </c>
      <c r="E677" t="s">
        <v>76</v>
      </c>
      <c r="F677" t="s">
        <v>45</v>
      </c>
      <c r="G677" t="s">
        <v>30</v>
      </c>
      <c r="H677" t="s">
        <v>332</v>
      </c>
      <c r="I677" t="s">
        <v>114</v>
      </c>
      <c r="J677" s="1">
        <v>427.86</v>
      </c>
      <c r="K677">
        <v>11</v>
      </c>
      <c r="L677" t="s">
        <v>35</v>
      </c>
      <c r="M677">
        <v>4</v>
      </c>
      <c r="N677">
        <v>3</v>
      </c>
      <c r="O677">
        <v>1</v>
      </c>
      <c r="P677" t="s">
        <v>49</v>
      </c>
      <c r="Q677" t="s">
        <v>50</v>
      </c>
      <c r="R677">
        <v>0</v>
      </c>
      <c r="S677">
        <v>6</v>
      </c>
      <c r="T677" t="s">
        <v>49</v>
      </c>
      <c r="U677" t="s">
        <v>79</v>
      </c>
      <c r="V677" t="s">
        <v>61</v>
      </c>
      <c r="W677" s="2">
        <v>45354</v>
      </c>
      <c r="X677" s="4">
        <f ca="1">TODAY()-DATASET[[#This Row],[Time_of_Purchase]]</f>
        <v>780</v>
      </c>
      <c r="Y677" t="b">
        <v>1</v>
      </c>
      <c r="Z677" t="b">
        <v>1</v>
      </c>
      <c r="AA677" t="s">
        <v>40</v>
      </c>
      <c r="AB677" t="s">
        <v>67</v>
      </c>
      <c r="AC677">
        <v>8</v>
      </c>
    </row>
    <row r="678" spans="1:29" x14ac:dyDescent="0.25">
      <c r="A678" t="s">
        <v>1428</v>
      </c>
      <c r="B678">
        <v>49</v>
      </c>
      <c r="C678" t="s">
        <v>29</v>
      </c>
      <c r="D678" t="s">
        <v>44</v>
      </c>
      <c r="E678" t="s">
        <v>76</v>
      </c>
      <c r="F678" t="s">
        <v>56</v>
      </c>
      <c r="G678" t="s">
        <v>44</v>
      </c>
      <c r="H678" t="s">
        <v>1429</v>
      </c>
      <c r="I678" t="s">
        <v>188</v>
      </c>
      <c r="J678" s="1">
        <v>235.13</v>
      </c>
      <c r="K678">
        <v>10</v>
      </c>
      <c r="L678" t="s">
        <v>78</v>
      </c>
      <c r="M678">
        <v>5</v>
      </c>
      <c r="N678">
        <v>4</v>
      </c>
      <c r="O678">
        <v>1</v>
      </c>
      <c r="P678" t="s">
        <v>49</v>
      </c>
      <c r="Q678" t="s">
        <v>85</v>
      </c>
      <c r="R678">
        <v>2</v>
      </c>
      <c r="S678">
        <v>3</v>
      </c>
      <c r="T678" t="s">
        <v>36</v>
      </c>
      <c r="U678" t="s">
        <v>60</v>
      </c>
      <c r="V678" t="s">
        <v>66</v>
      </c>
      <c r="W678" s="2">
        <v>45380</v>
      </c>
      <c r="X678" s="4">
        <f ca="1">TODAY()-DATASET[[#This Row],[Time_of_Purchase]]</f>
        <v>754</v>
      </c>
      <c r="Y678" t="b">
        <v>1</v>
      </c>
      <c r="Z678" t="b">
        <v>0</v>
      </c>
      <c r="AA678" t="s">
        <v>74</v>
      </c>
      <c r="AB678" t="s">
        <v>41</v>
      </c>
      <c r="AC678">
        <v>6</v>
      </c>
    </row>
    <row r="679" spans="1:29" x14ac:dyDescent="0.25">
      <c r="A679" t="s">
        <v>1430</v>
      </c>
      <c r="B679">
        <v>40</v>
      </c>
      <c r="C679" t="s">
        <v>29</v>
      </c>
      <c r="D679" t="s">
        <v>30</v>
      </c>
      <c r="E679" t="s">
        <v>76</v>
      </c>
      <c r="F679" t="s">
        <v>32</v>
      </c>
      <c r="G679" t="s">
        <v>30</v>
      </c>
      <c r="H679" t="s">
        <v>1431</v>
      </c>
      <c r="I679" t="s">
        <v>158</v>
      </c>
      <c r="J679" s="1">
        <v>361.27</v>
      </c>
      <c r="K679">
        <v>4</v>
      </c>
      <c r="L679" t="s">
        <v>78</v>
      </c>
      <c r="M679">
        <v>3</v>
      </c>
      <c r="N679">
        <v>3</v>
      </c>
      <c r="O679">
        <v>1</v>
      </c>
      <c r="P679" t="s">
        <v>36</v>
      </c>
      <c r="Q679" t="s">
        <v>50</v>
      </c>
      <c r="R679">
        <v>0</v>
      </c>
      <c r="S679">
        <v>5</v>
      </c>
      <c r="T679" t="s">
        <v>44</v>
      </c>
      <c r="U679" t="s">
        <v>38</v>
      </c>
      <c r="V679" t="s">
        <v>39</v>
      </c>
      <c r="W679" s="2">
        <v>45550</v>
      </c>
      <c r="X679" s="4">
        <f ca="1">TODAY()-DATASET[[#This Row],[Time_of_Purchase]]</f>
        <v>584</v>
      </c>
      <c r="Y679" t="b">
        <v>1</v>
      </c>
      <c r="Z679" t="b">
        <v>0</v>
      </c>
      <c r="AA679" t="s">
        <v>40</v>
      </c>
      <c r="AB679" t="s">
        <v>53</v>
      </c>
      <c r="AC679">
        <v>2</v>
      </c>
    </row>
    <row r="680" spans="1:29" x14ac:dyDescent="0.25">
      <c r="A680" t="s">
        <v>1432</v>
      </c>
      <c r="B680">
        <v>38</v>
      </c>
      <c r="C680" t="s">
        <v>29</v>
      </c>
      <c r="D680" t="s">
        <v>30</v>
      </c>
      <c r="E680" t="s">
        <v>55</v>
      </c>
      <c r="F680" t="s">
        <v>32</v>
      </c>
      <c r="G680" t="s">
        <v>30</v>
      </c>
      <c r="H680" t="s">
        <v>1433</v>
      </c>
      <c r="I680" t="s">
        <v>71</v>
      </c>
      <c r="J680" s="1">
        <v>195.83</v>
      </c>
      <c r="K680">
        <v>10</v>
      </c>
      <c r="L680" t="s">
        <v>35</v>
      </c>
      <c r="M680">
        <v>1</v>
      </c>
      <c r="N680">
        <v>2</v>
      </c>
      <c r="O680">
        <v>2</v>
      </c>
      <c r="P680" t="s">
        <v>36</v>
      </c>
      <c r="Q680" t="s">
        <v>50</v>
      </c>
      <c r="R680">
        <v>1</v>
      </c>
      <c r="S680">
        <v>7</v>
      </c>
      <c r="T680" t="s">
        <v>44</v>
      </c>
      <c r="U680" t="s">
        <v>79</v>
      </c>
      <c r="V680" t="s">
        <v>61</v>
      </c>
      <c r="W680" s="2">
        <v>45316</v>
      </c>
      <c r="X680" s="4">
        <f ca="1">TODAY()-DATASET[[#This Row],[Time_of_Purchase]]</f>
        <v>818</v>
      </c>
      <c r="Y680" t="b">
        <v>1</v>
      </c>
      <c r="Z680" t="b">
        <v>0</v>
      </c>
      <c r="AA680" t="s">
        <v>40</v>
      </c>
      <c r="AB680" t="s">
        <v>41</v>
      </c>
      <c r="AC680">
        <v>13</v>
      </c>
    </row>
    <row r="681" spans="1:29" x14ac:dyDescent="0.25">
      <c r="A681" t="s">
        <v>1434</v>
      </c>
      <c r="B681">
        <v>21</v>
      </c>
      <c r="C681" t="s">
        <v>43</v>
      </c>
      <c r="D681" t="s">
        <v>44</v>
      </c>
      <c r="E681" t="s">
        <v>31</v>
      </c>
      <c r="F681" t="s">
        <v>56</v>
      </c>
      <c r="G681" t="s">
        <v>44</v>
      </c>
      <c r="H681" t="s">
        <v>1435</v>
      </c>
      <c r="I681" t="s">
        <v>90</v>
      </c>
      <c r="J681" s="1">
        <v>340.31</v>
      </c>
      <c r="K681">
        <v>10</v>
      </c>
      <c r="L681" t="s">
        <v>78</v>
      </c>
      <c r="M681">
        <v>5</v>
      </c>
      <c r="N681">
        <v>1</v>
      </c>
      <c r="O681">
        <v>1</v>
      </c>
      <c r="P681" t="s">
        <v>59</v>
      </c>
      <c r="Q681" t="s">
        <v>37</v>
      </c>
      <c r="R681">
        <v>0</v>
      </c>
      <c r="S681">
        <v>5</v>
      </c>
      <c r="T681" t="s">
        <v>59</v>
      </c>
      <c r="U681" t="s">
        <v>79</v>
      </c>
      <c r="V681" t="s">
        <v>66</v>
      </c>
      <c r="W681" s="2">
        <v>45553</v>
      </c>
      <c r="X681" s="4">
        <f ca="1">TODAY()-DATASET[[#This Row],[Time_of_Purchase]]</f>
        <v>581</v>
      </c>
      <c r="Y681" t="b">
        <v>0</v>
      </c>
      <c r="Z681" t="b">
        <v>1</v>
      </c>
      <c r="AA681" t="s">
        <v>62</v>
      </c>
      <c r="AB681" t="s">
        <v>41</v>
      </c>
      <c r="AC681">
        <v>14</v>
      </c>
    </row>
    <row r="682" spans="1:29" x14ac:dyDescent="0.25">
      <c r="A682" t="s">
        <v>1436</v>
      </c>
      <c r="B682">
        <v>40</v>
      </c>
      <c r="C682" t="s">
        <v>43</v>
      </c>
      <c r="D682" t="s">
        <v>44</v>
      </c>
      <c r="E682" t="s">
        <v>76</v>
      </c>
      <c r="F682" t="s">
        <v>56</v>
      </c>
      <c r="G682" t="s">
        <v>44</v>
      </c>
      <c r="H682" t="s">
        <v>1437</v>
      </c>
      <c r="I682" t="s">
        <v>101</v>
      </c>
      <c r="J682" s="1">
        <v>489.67</v>
      </c>
      <c r="K682">
        <v>5</v>
      </c>
      <c r="L682" t="s">
        <v>35</v>
      </c>
      <c r="M682">
        <v>5</v>
      </c>
      <c r="N682">
        <v>5</v>
      </c>
      <c r="O682">
        <v>1</v>
      </c>
      <c r="P682" t="s">
        <v>36</v>
      </c>
      <c r="Q682" t="s">
        <v>85</v>
      </c>
      <c r="R682">
        <v>1</v>
      </c>
      <c r="S682">
        <v>5</v>
      </c>
      <c r="T682" t="s">
        <v>49</v>
      </c>
      <c r="U682" t="s">
        <v>38</v>
      </c>
      <c r="V682" t="s">
        <v>61</v>
      </c>
      <c r="W682" s="2">
        <v>45647</v>
      </c>
      <c r="X682" s="4">
        <f ca="1">TODAY()-DATASET[[#This Row],[Time_of_Purchase]]</f>
        <v>487</v>
      </c>
      <c r="Y682" t="b">
        <v>0</v>
      </c>
      <c r="Z682" t="b">
        <v>0</v>
      </c>
      <c r="AA682" t="s">
        <v>52</v>
      </c>
      <c r="AB682" t="s">
        <v>53</v>
      </c>
      <c r="AC682">
        <v>11</v>
      </c>
    </row>
    <row r="683" spans="1:29" x14ac:dyDescent="0.25">
      <c r="A683" t="s">
        <v>1438</v>
      </c>
      <c r="B683">
        <v>26</v>
      </c>
      <c r="C683" t="s">
        <v>43</v>
      </c>
      <c r="D683" t="s">
        <v>44</v>
      </c>
      <c r="E683" t="s">
        <v>76</v>
      </c>
      <c r="F683" t="s">
        <v>56</v>
      </c>
      <c r="G683" t="s">
        <v>30</v>
      </c>
      <c r="H683" t="s">
        <v>1439</v>
      </c>
      <c r="I683" t="s">
        <v>93</v>
      </c>
      <c r="J683" s="1">
        <v>482.5</v>
      </c>
      <c r="K683">
        <v>11</v>
      </c>
      <c r="L683" t="s">
        <v>35</v>
      </c>
      <c r="M683">
        <v>1</v>
      </c>
      <c r="N683">
        <v>1</v>
      </c>
      <c r="O683">
        <v>1</v>
      </c>
      <c r="P683" t="s">
        <v>36</v>
      </c>
      <c r="Q683" t="s">
        <v>85</v>
      </c>
      <c r="R683">
        <v>2</v>
      </c>
      <c r="S683">
        <v>1</v>
      </c>
      <c r="T683" t="s">
        <v>36</v>
      </c>
      <c r="U683" t="s">
        <v>60</v>
      </c>
      <c r="V683" t="s">
        <v>86</v>
      </c>
      <c r="W683" s="2">
        <v>45563</v>
      </c>
      <c r="X683" s="4">
        <f ca="1">TODAY()-DATASET[[#This Row],[Time_of_Purchase]]</f>
        <v>571</v>
      </c>
      <c r="Y683" t="b">
        <v>1</v>
      </c>
      <c r="Z683" t="b">
        <v>1</v>
      </c>
      <c r="AA683" t="s">
        <v>40</v>
      </c>
      <c r="AB683" t="s">
        <v>41</v>
      </c>
      <c r="AC683">
        <v>13</v>
      </c>
    </row>
    <row r="684" spans="1:29" x14ac:dyDescent="0.25">
      <c r="A684" t="s">
        <v>1440</v>
      </c>
      <c r="B684">
        <v>32</v>
      </c>
      <c r="C684" t="s">
        <v>29</v>
      </c>
      <c r="D684" t="s">
        <v>30</v>
      </c>
      <c r="E684" t="s">
        <v>31</v>
      </c>
      <c r="F684" t="s">
        <v>56</v>
      </c>
      <c r="G684" t="s">
        <v>30</v>
      </c>
      <c r="H684" t="s">
        <v>1441</v>
      </c>
      <c r="I684" t="s">
        <v>246</v>
      </c>
      <c r="J684" s="1">
        <v>433.14</v>
      </c>
      <c r="K684">
        <v>10</v>
      </c>
      <c r="L684" t="s">
        <v>48</v>
      </c>
      <c r="M684">
        <v>3</v>
      </c>
      <c r="N684">
        <v>1</v>
      </c>
      <c r="O684">
        <v>2</v>
      </c>
      <c r="P684" t="s">
        <v>49</v>
      </c>
      <c r="Q684" t="s">
        <v>50</v>
      </c>
      <c r="R684">
        <v>2</v>
      </c>
      <c r="S684">
        <v>3</v>
      </c>
      <c r="T684" t="s">
        <v>44</v>
      </c>
      <c r="U684" t="s">
        <v>38</v>
      </c>
      <c r="V684" t="s">
        <v>61</v>
      </c>
      <c r="W684" s="2">
        <v>45482</v>
      </c>
      <c r="X684" s="4">
        <f ca="1">TODAY()-DATASET[[#This Row],[Time_of_Purchase]]</f>
        <v>652</v>
      </c>
      <c r="Y684" t="b">
        <v>0</v>
      </c>
      <c r="Z684" t="b">
        <v>0</v>
      </c>
      <c r="AA684" t="s">
        <v>62</v>
      </c>
      <c r="AB684" t="s">
        <v>41</v>
      </c>
      <c r="AC684">
        <v>5</v>
      </c>
    </row>
    <row r="685" spans="1:29" x14ac:dyDescent="0.25">
      <c r="A685" t="s">
        <v>1442</v>
      </c>
      <c r="B685">
        <v>47</v>
      </c>
      <c r="C685" t="s">
        <v>29</v>
      </c>
      <c r="D685" t="s">
        <v>30</v>
      </c>
      <c r="E685" t="s">
        <v>69</v>
      </c>
      <c r="F685" t="s">
        <v>45</v>
      </c>
      <c r="G685" t="s">
        <v>44</v>
      </c>
      <c r="H685" t="s">
        <v>1443</v>
      </c>
      <c r="I685" t="s">
        <v>246</v>
      </c>
      <c r="J685" s="1">
        <v>375.7</v>
      </c>
      <c r="K685">
        <v>6</v>
      </c>
      <c r="L685" t="s">
        <v>78</v>
      </c>
      <c r="M685">
        <v>3</v>
      </c>
      <c r="N685">
        <v>1</v>
      </c>
      <c r="O685">
        <v>2</v>
      </c>
      <c r="P685" t="s">
        <v>59</v>
      </c>
      <c r="Q685" t="s">
        <v>85</v>
      </c>
      <c r="R685">
        <v>2</v>
      </c>
      <c r="S685">
        <v>10</v>
      </c>
      <c r="T685" t="s">
        <v>49</v>
      </c>
      <c r="U685" t="s">
        <v>38</v>
      </c>
      <c r="V685" t="s">
        <v>66</v>
      </c>
      <c r="W685" s="2">
        <v>45562</v>
      </c>
      <c r="X685" s="4">
        <f ca="1">TODAY()-DATASET[[#This Row],[Time_of_Purchase]]</f>
        <v>572</v>
      </c>
      <c r="Y685" t="b">
        <v>1</v>
      </c>
      <c r="Z685" t="b">
        <v>0</v>
      </c>
      <c r="AA685" t="s">
        <v>52</v>
      </c>
      <c r="AB685" t="s">
        <v>41</v>
      </c>
      <c r="AC685">
        <v>10</v>
      </c>
    </row>
    <row r="686" spans="1:29" x14ac:dyDescent="0.25">
      <c r="A686" t="s">
        <v>1444</v>
      </c>
      <c r="B686">
        <v>21</v>
      </c>
      <c r="C686" t="s">
        <v>43</v>
      </c>
      <c r="D686" t="s">
        <v>30</v>
      </c>
      <c r="E686" t="s">
        <v>55</v>
      </c>
      <c r="F686" t="s">
        <v>56</v>
      </c>
      <c r="G686" t="s">
        <v>30</v>
      </c>
      <c r="H686" t="s">
        <v>1445</v>
      </c>
      <c r="I686" t="s">
        <v>194</v>
      </c>
      <c r="J686" s="1">
        <v>381.3</v>
      </c>
      <c r="K686">
        <v>12</v>
      </c>
      <c r="L686" t="s">
        <v>78</v>
      </c>
      <c r="M686">
        <v>2</v>
      </c>
      <c r="N686">
        <v>1</v>
      </c>
      <c r="O686">
        <v>1</v>
      </c>
      <c r="P686" t="s">
        <v>44</v>
      </c>
      <c r="Q686" t="s">
        <v>85</v>
      </c>
      <c r="R686">
        <v>0</v>
      </c>
      <c r="S686">
        <v>4</v>
      </c>
      <c r="T686" t="s">
        <v>59</v>
      </c>
      <c r="U686" t="s">
        <v>79</v>
      </c>
      <c r="V686" t="s">
        <v>39</v>
      </c>
      <c r="W686" s="2">
        <v>45300</v>
      </c>
      <c r="X686" s="4">
        <f ca="1">TODAY()-DATASET[[#This Row],[Time_of_Purchase]]</f>
        <v>834</v>
      </c>
      <c r="Y686" t="b">
        <v>0</v>
      </c>
      <c r="Z686" t="b">
        <v>0</v>
      </c>
      <c r="AA686" t="s">
        <v>74</v>
      </c>
      <c r="AB686" t="s">
        <v>67</v>
      </c>
      <c r="AC686">
        <v>7</v>
      </c>
    </row>
    <row r="687" spans="1:29" x14ac:dyDescent="0.25">
      <c r="A687" t="s">
        <v>1446</v>
      </c>
      <c r="B687">
        <v>34</v>
      </c>
      <c r="C687" t="s">
        <v>43</v>
      </c>
      <c r="D687" t="s">
        <v>44</v>
      </c>
      <c r="E687" t="s">
        <v>69</v>
      </c>
      <c r="F687" t="s">
        <v>45</v>
      </c>
      <c r="G687" t="s">
        <v>44</v>
      </c>
      <c r="H687" t="s">
        <v>1447</v>
      </c>
      <c r="I687" t="s">
        <v>117</v>
      </c>
      <c r="J687" s="1">
        <v>210.21</v>
      </c>
      <c r="K687">
        <v>4</v>
      </c>
      <c r="L687" t="s">
        <v>35</v>
      </c>
      <c r="M687">
        <v>4</v>
      </c>
      <c r="N687">
        <v>1</v>
      </c>
      <c r="O687">
        <v>2</v>
      </c>
      <c r="P687" t="s">
        <v>44</v>
      </c>
      <c r="Q687" t="s">
        <v>85</v>
      </c>
      <c r="R687">
        <v>0</v>
      </c>
      <c r="S687">
        <v>10</v>
      </c>
      <c r="T687" t="s">
        <v>44</v>
      </c>
      <c r="U687" t="s">
        <v>79</v>
      </c>
      <c r="V687" t="s">
        <v>51</v>
      </c>
      <c r="W687" s="2">
        <v>45478</v>
      </c>
      <c r="X687" s="4">
        <f ca="1">TODAY()-DATASET[[#This Row],[Time_of_Purchase]]</f>
        <v>656</v>
      </c>
      <c r="Y687" t="b">
        <v>0</v>
      </c>
      <c r="Z687" t="b">
        <v>1</v>
      </c>
      <c r="AA687" t="s">
        <v>40</v>
      </c>
      <c r="AB687" t="s">
        <v>41</v>
      </c>
      <c r="AC687">
        <v>14</v>
      </c>
    </row>
    <row r="688" spans="1:29" x14ac:dyDescent="0.25">
      <c r="A688" t="s">
        <v>1448</v>
      </c>
      <c r="B688">
        <v>29</v>
      </c>
      <c r="C688" t="s">
        <v>43</v>
      </c>
      <c r="D688" t="s">
        <v>30</v>
      </c>
      <c r="E688" t="s">
        <v>69</v>
      </c>
      <c r="F688" t="s">
        <v>56</v>
      </c>
      <c r="G688" t="s">
        <v>44</v>
      </c>
      <c r="H688" t="s">
        <v>1449</v>
      </c>
      <c r="I688" t="s">
        <v>142</v>
      </c>
      <c r="J688" s="1">
        <v>408.81</v>
      </c>
      <c r="K688">
        <v>8</v>
      </c>
      <c r="L688" t="s">
        <v>35</v>
      </c>
      <c r="M688">
        <v>5</v>
      </c>
      <c r="N688">
        <v>4</v>
      </c>
      <c r="O688">
        <v>2</v>
      </c>
      <c r="P688" t="s">
        <v>59</v>
      </c>
      <c r="Q688" t="s">
        <v>85</v>
      </c>
      <c r="R688">
        <v>1</v>
      </c>
      <c r="S688">
        <v>3</v>
      </c>
      <c r="T688" t="s">
        <v>49</v>
      </c>
      <c r="U688" t="s">
        <v>79</v>
      </c>
      <c r="V688" t="s">
        <v>61</v>
      </c>
      <c r="W688" s="2">
        <v>45489</v>
      </c>
      <c r="X688" s="4">
        <f ca="1">TODAY()-DATASET[[#This Row],[Time_of_Purchase]]</f>
        <v>645</v>
      </c>
      <c r="Y688" t="b">
        <v>0</v>
      </c>
      <c r="Z688" t="b">
        <v>1</v>
      </c>
      <c r="AA688" t="s">
        <v>52</v>
      </c>
      <c r="AB688" t="s">
        <v>67</v>
      </c>
      <c r="AC688">
        <v>12</v>
      </c>
    </row>
    <row r="689" spans="1:29" x14ac:dyDescent="0.25">
      <c r="A689" t="s">
        <v>1450</v>
      </c>
      <c r="B689">
        <v>20</v>
      </c>
      <c r="C689" t="s">
        <v>29</v>
      </c>
      <c r="D689" t="s">
        <v>30</v>
      </c>
      <c r="E689" t="s">
        <v>76</v>
      </c>
      <c r="F689" t="s">
        <v>32</v>
      </c>
      <c r="G689" t="s">
        <v>44</v>
      </c>
      <c r="H689" t="s">
        <v>1451</v>
      </c>
      <c r="I689" t="s">
        <v>246</v>
      </c>
      <c r="J689" s="1">
        <v>118.65</v>
      </c>
      <c r="K689">
        <v>10</v>
      </c>
      <c r="L689" t="s">
        <v>35</v>
      </c>
      <c r="M689">
        <v>1</v>
      </c>
      <c r="N689">
        <v>3</v>
      </c>
      <c r="O689">
        <v>0</v>
      </c>
      <c r="P689" t="s">
        <v>59</v>
      </c>
      <c r="Q689" t="s">
        <v>85</v>
      </c>
      <c r="R689">
        <v>0</v>
      </c>
      <c r="S689">
        <v>2</v>
      </c>
      <c r="T689" t="s">
        <v>59</v>
      </c>
      <c r="U689" t="s">
        <v>60</v>
      </c>
      <c r="V689" t="s">
        <v>39</v>
      </c>
      <c r="W689" s="2">
        <v>45300</v>
      </c>
      <c r="X689" s="4">
        <f ca="1">TODAY()-DATASET[[#This Row],[Time_of_Purchase]]</f>
        <v>834</v>
      </c>
      <c r="Y689" t="b">
        <v>1</v>
      </c>
      <c r="Z689" t="b">
        <v>1</v>
      </c>
      <c r="AA689" t="s">
        <v>62</v>
      </c>
      <c r="AB689" t="s">
        <v>53</v>
      </c>
      <c r="AC689">
        <v>13</v>
      </c>
    </row>
    <row r="690" spans="1:29" x14ac:dyDescent="0.25">
      <c r="A690" t="s">
        <v>1452</v>
      </c>
      <c r="B690">
        <v>50</v>
      </c>
      <c r="C690" t="s">
        <v>43</v>
      </c>
      <c r="D690" t="s">
        <v>44</v>
      </c>
      <c r="E690" t="s">
        <v>76</v>
      </c>
      <c r="F690" t="s">
        <v>32</v>
      </c>
      <c r="G690" t="s">
        <v>30</v>
      </c>
      <c r="H690" t="s">
        <v>1453</v>
      </c>
      <c r="I690" t="s">
        <v>120</v>
      </c>
      <c r="J690" s="1">
        <v>166.45</v>
      </c>
      <c r="K690">
        <v>7</v>
      </c>
      <c r="L690" t="s">
        <v>35</v>
      </c>
      <c r="M690">
        <v>5</v>
      </c>
      <c r="N690">
        <v>2</v>
      </c>
      <c r="O690">
        <v>2</v>
      </c>
      <c r="P690" t="s">
        <v>59</v>
      </c>
      <c r="Q690" t="s">
        <v>85</v>
      </c>
      <c r="R690">
        <v>2</v>
      </c>
      <c r="S690">
        <v>1</v>
      </c>
      <c r="T690" t="s">
        <v>44</v>
      </c>
      <c r="U690" t="s">
        <v>60</v>
      </c>
      <c r="V690" t="s">
        <v>86</v>
      </c>
      <c r="W690" s="2">
        <v>45517</v>
      </c>
      <c r="X690" s="4">
        <f ca="1">TODAY()-DATASET[[#This Row],[Time_of_Purchase]]</f>
        <v>617</v>
      </c>
      <c r="Y690" t="b">
        <v>1</v>
      </c>
      <c r="Z690" t="b">
        <v>0</v>
      </c>
      <c r="AA690" t="s">
        <v>74</v>
      </c>
      <c r="AB690" t="s">
        <v>67</v>
      </c>
      <c r="AC690">
        <v>12</v>
      </c>
    </row>
    <row r="691" spans="1:29" x14ac:dyDescent="0.25">
      <c r="A691" t="s">
        <v>1454</v>
      </c>
      <c r="B691">
        <v>29</v>
      </c>
      <c r="C691" t="s">
        <v>29</v>
      </c>
      <c r="D691" t="s">
        <v>30</v>
      </c>
      <c r="E691" t="s">
        <v>76</v>
      </c>
      <c r="F691" t="s">
        <v>56</v>
      </c>
      <c r="G691" t="s">
        <v>44</v>
      </c>
      <c r="H691" t="s">
        <v>1455</v>
      </c>
      <c r="I691" t="s">
        <v>194</v>
      </c>
      <c r="J691" s="1">
        <v>385.32</v>
      </c>
      <c r="K691">
        <v>10</v>
      </c>
      <c r="L691" t="s">
        <v>78</v>
      </c>
      <c r="M691">
        <v>1</v>
      </c>
      <c r="N691">
        <v>1</v>
      </c>
      <c r="O691">
        <v>1</v>
      </c>
      <c r="P691" t="s">
        <v>59</v>
      </c>
      <c r="Q691" t="s">
        <v>85</v>
      </c>
      <c r="R691">
        <v>0</v>
      </c>
      <c r="S691">
        <v>1</v>
      </c>
      <c r="T691" t="s">
        <v>49</v>
      </c>
      <c r="U691" t="s">
        <v>60</v>
      </c>
      <c r="V691" t="s">
        <v>51</v>
      </c>
      <c r="W691" s="2">
        <v>45540</v>
      </c>
      <c r="X691" s="4">
        <f ca="1">TODAY()-DATASET[[#This Row],[Time_of_Purchase]]</f>
        <v>594</v>
      </c>
      <c r="Y691" t="b">
        <v>1</v>
      </c>
      <c r="Z691" t="b">
        <v>1</v>
      </c>
      <c r="AA691" t="s">
        <v>62</v>
      </c>
      <c r="AB691" t="s">
        <v>53</v>
      </c>
      <c r="AC691">
        <v>9</v>
      </c>
    </row>
    <row r="692" spans="1:29" x14ac:dyDescent="0.25">
      <c r="A692" t="s">
        <v>1456</v>
      </c>
      <c r="B692">
        <v>25</v>
      </c>
      <c r="C692" t="s">
        <v>190</v>
      </c>
      <c r="D692" t="s">
        <v>30</v>
      </c>
      <c r="E692" t="s">
        <v>31</v>
      </c>
      <c r="F692" t="s">
        <v>32</v>
      </c>
      <c r="G692" t="s">
        <v>44</v>
      </c>
      <c r="H692" t="s">
        <v>1457</v>
      </c>
      <c r="I692" t="s">
        <v>93</v>
      </c>
      <c r="J692" s="1">
        <v>293.99</v>
      </c>
      <c r="K692">
        <v>10</v>
      </c>
      <c r="L692" t="s">
        <v>35</v>
      </c>
      <c r="M692">
        <v>3</v>
      </c>
      <c r="N692">
        <v>4</v>
      </c>
      <c r="O692">
        <v>0</v>
      </c>
      <c r="P692" t="s">
        <v>36</v>
      </c>
      <c r="Q692" t="s">
        <v>37</v>
      </c>
      <c r="R692">
        <v>2</v>
      </c>
      <c r="S692">
        <v>7</v>
      </c>
      <c r="T692" t="s">
        <v>36</v>
      </c>
      <c r="U692" t="s">
        <v>38</v>
      </c>
      <c r="V692" t="s">
        <v>39</v>
      </c>
      <c r="W692" s="2">
        <v>45564</v>
      </c>
      <c r="X692" s="4">
        <f ca="1">TODAY()-DATASET[[#This Row],[Time_of_Purchase]]</f>
        <v>570</v>
      </c>
      <c r="Y692" t="b">
        <v>0</v>
      </c>
      <c r="Z692" t="b">
        <v>1</v>
      </c>
      <c r="AA692" t="s">
        <v>52</v>
      </c>
      <c r="AB692" t="s">
        <v>41</v>
      </c>
      <c r="AC692">
        <v>5</v>
      </c>
    </row>
    <row r="693" spans="1:29" x14ac:dyDescent="0.25">
      <c r="A693" t="s">
        <v>1458</v>
      </c>
      <c r="B693">
        <v>37</v>
      </c>
      <c r="C693" t="s">
        <v>43</v>
      </c>
      <c r="D693" t="s">
        <v>30</v>
      </c>
      <c r="E693" t="s">
        <v>69</v>
      </c>
      <c r="F693" t="s">
        <v>45</v>
      </c>
      <c r="G693" t="s">
        <v>30</v>
      </c>
      <c r="H693" t="s">
        <v>1459</v>
      </c>
      <c r="I693" t="s">
        <v>126</v>
      </c>
      <c r="J693" s="1">
        <v>161.41</v>
      </c>
      <c r="K693">
        <v>9</v>
      </c>
      <c r="L693" t="s">
        <v>35</v>
      </c>
      <c r="M693">
        <v>1</v>
      </c>
      <c r="N693">
        <v>4</v>
      </c>
      <c r="O693">
        <v>0</v>
      </c>
      <c r="P693" t="s">
        <v>59</v>
      </c>
      <c r="Q693" t="s">
        <v>85</v>
      </c>
      <c r="R693">
        <v>1</v>
      </c>
      <c r="S693">
        <v>8</v>
      </c>
      <c r="T693" t="s">
        <v>44</v>
      </c>
      <c r="U693" t="s">
        <v>79</v>
      </c>
      <c r="V693" t="s">
        <v>51</v>
      </c>
      <c r="W693" s="2">
        <v>45389</v>
      </c>
      <c r="X693" s="4">
        <f ca="1">TODAY()-DATASET[[#This Row],[Time_of_Purchase]]</f>
        <v>745</v>
      </c>
      <c r="Y693" t="b">
        <v>1</v>
      </c>
      <c r="Z693" t="b">
        <v>0</v>
      </c>
      <c r="AA693" t="s">
        <v>62</v>
      </c>
      <c r="AB693" t="s">
        <v>53</v>
      </c>
      <c r="AC693">
        <v>3</v>
      </c>
    </row>
    <row r="694" spans="1:29" x14ac:dyDescent="0.25">
      <c r="A694" t="s">
        <v>1460</v>
      </c>
      <c r="B694">
        <v>39</v>
      </c>
      <c r="C694" t="s">
        <v>43</v>
      </c>
      <c r="D694" t="s">
        <v>30</v>
      </c>
      <c r="E694" t="s">
        <v>55</v>
      </c>
      <c r="F694" t="s">
        <v>56</v>
      </c>
      <c r="G694" t="s">
        <v>30</v>
      </c>
      <c r="H694" t="s">
        <v>675</v>
      </c>
      <c r="I694" t="s">
        <v>158</v>
      </c>
      <c r="J694" s="1">
        <v>130.91999999999999</v>
      </c>
      <c r="K694">
        <v>2</v>
      </c>
      <c r="L694" t="s">
        <v>78</v>
      </c>
      <c r="M694">
        <v>1</v>
      </c>
      <c r="N694">
        <v>2</v>
      </c>
      <c r="O694">
        <v>1</v>
      </c>
      <c r="P694" t="s">
        <v>44</v>
      </c>
      <c r="Q694" t="s">
        <v>85</v>
      </c>
      <c r="R694">
        <v>2</v>
      </c>
      <c r="S694">
        <v>2</v>
      </c>
      <c r="T694" t="s">
        <v>36</v>
      </c>
      <c r="U694" t="s">
        <v>38</v>
      </c>
      <c r="V694" t="s">
        <v>86</v>
      </c>
      <c r="W694" s="2">
        <v>45644</v>
      </c>
      <c r="X694" s="4">
        <f ca="1">TODAY()-DATASET[[#This Row],[Time_of_Purchase]]</f>
        <v>490</v>
      </c>
      <c r="Y694" t="b">
        <v>1</v>
      </c>
      <c r="Z694" t="b">
        <v>1</v>
      </c>
      <c r="AA694" t="s">
        <v>62</v>
      </c>
      <c r="AB694" t="s">
        <v>41</v>
      </c>
      <c r="AC694">
        <v>9</v>
      </c>
    </row>
    <row r="695" spans="1:29" x14ac:dyDescent="0.25">
      <c r="A695" t="s">
        <v>1461</v>
      </c>
      <c r="B695">
        <v>48</v>
      </c>
      <c r="C695" t="s">
        <v>29</v>
      </c>
      <c r="D695" t="s">
        <v>30</v>
      </c>
      <c r="E695" t="s">
        <v>76</v>
      </c>
      <c r="F695" t="s">
        <v>32</v>
      </c>
      <c r="G695" t="s">
        <v>44</v>
      </c>
      <c r="H695" t="s">
        <v>1462</v>
      </c>
      <c r="I695" t="s">
        <v>126</v>
      </c>
      <c r="J695" s="1">
        <v>468.6</v>
      </c>
      <c r="K695">
        <v>4</v>
      </c>
      <c r="L695" t="s">
        <v>35</v>
      </c>
      <c r="M695">
        <v>3</v>
      </c>
      <c r="N695">
        <v>4</v>
      </c>
      <c r="O695">
        <v>2</v>
      </c>
      <c r="P695" t="s">
        <v>49</v>
      </c>
      <c r="Q695" t="s">
        <v>37</v>
      </c>
      <c r="R695">
        <v>0</v>
      </c>
      <c r="S695">
        <v>6</v>
      </c>
      <c r="T695" t="s">
        <v>36</v>
      </c>
      <c r="U695" t="s">
        <v>79</v>
      </c>
      <c r="V695" t="s">
        <v>51</v>
      </c>
      <c r="W695" s="2">
        <v>45457</v>
      </c>
      <c r="X695" s="4">
        <f ca="1">TODAY()-DATASET[[#This Row],[Time_of_Purchase]]</f>
        <v>677</v>
      </c>
      <c r="Y695" t="b">
        <v>0</v>
      </c>
      <c r="Z695" t="b">
        <v>1</v>
      </c>
      <c r="AA695" t="s">
        <v>40</v>
      </c>
      <c r="AB695" t="s">
        <v>41</v>
      </c>
      <c r="AC695">
        <v>2</v>
      </c>
    </row>
    <row r="696" spans="1:29" x14ac:dyDescent="0.25">
      <c r="A696" t="s">
        <v>1463</v>
      </c>
      <c r="B696">
        <v>47</v>
      </c>
      <c r="C696" t="s">
        <v>43</v>
      </c>
      <c r="D696" t="s">
        <v>44</v>
      </c>
      <c r="E696" t="s">
        <v>76</v>
      </c>
      <c r="F696" t="s">
        <v>32</v>
      </c>
      <c r="G696" t="s">
        <v>30</v>
      </c>
      <c r="H696" t="s">
        <v>1464</v>
      </c>
      <c r="I696" t="s">
        <v>126</v>
      </c>
      <c r="J696" s="1">
        <v>237.57</v>
      </c>
      <c r="K696">
        <v>5</v>
      </c>
      <c r="L696" t="s">
        <v>78</v>
      </c>
      <c r="M696">
        <v>3</v>
      </c>
      <c r="N696">
        <v>3</v>
      </c>
      <c r="O696">
        <v>0</v>
      </c>
      <c r="P696" t="s">
        <v>49</v>
      </c>
      <c r="Q696" t="s">
        <v>37</v>
      </c>
      <c r="R696">
        <v>0</v>
      </c>
      <c r="S696">
        <v>3</v>
      </c>
      <c r="T696" t="s">
        <v>49</v>
      </c>
      <c r="U696" t="s">
        <v>60</v>
      </c>
      <c r="V696" t="s">
        <v>86</v>
      </c>
      <c r="W696" s="2">
        <v>45407</v>
      </c>
      <c r="X696" s="4">
        <f ca="1">TODAY()-DATASET[[#This Row],[Time_of_Purchase]]</f>
        <v>727</v>
      </c>
      <c r="Y696" t="b">
        <v>1</v>
      </c>
      <c r="Z696" t="b">
        <v>1</v>
      </c>
      <c r="AA696" t="s">
        <v>40</v>
      </c>
      <c r="AB696" t="s">
        <v>41</v>
      </c>
      <c r="AC696">
        <v>11</v>
      </c>
    </row>
    <row r="697" spans="1:29" x14ac:dyDescent="0.25">
      <c r="A697" t="s">
        <v>1465</v>
      </c>
      <c r="B697">
        <v>50</v>
      </c>
      <c r="C697" t="s">
        <v>29</v>
      </c>
      <c r="D697" t="s">
        <v>30</v>
      </c>
      <c r="E697" t="s">
        <v>76</v>
      </c>
      <c r="F697" t="s">
        <v>45</v>
      </c>
      <c r="G697" t="s">
        <v>44</v>
      </c>
      <c r="H697" t="s">
        <v>1466</v>
      </c>
      <c r="I697" t="s">
        <v>71</v>
      </c>
      <c r="J697" s="1">
        <v>395.18</v>
      </c>
      <c r="K697">
        <v>5</v>
      </c>
      <c r="L697" t="s">
        <v>48</v>
      </c>
      <c r="M697">
        <v>2</v>
      </c>
      <c r="N697">
        <v>2</v>
      </c>
      <c r="O697">
        <v>1</v>
      </c>
      <c r="P697" t="s">
        <v>36</v>
      </c>
      <c r="Q697" t="s">
        <v>50</v>
      </c>
      <c r="R697">
        <v>0</v>
      </c>
      <c r="S697">
        <v>5</v>
      </c>
      <c r="T697" t="s">
        <v>44</v>
      </c>
      <c r="U697" t="s">
        <v>60</v>
      </c>
      <c r="V697" t="s">
        <v>66</v>
      </c>
      <c r="W697" s="2">
        <v>45493</v>
      </c>
      <c r="X697" s="4">
        <f ca="1">TODAY()-DATASET[[#This Row],[Time_of_Purchase]]</f>
        <v>641</v>
      </c>
      <c r="Y697" t="b">
        <v>1</v>
      </c>
      <c r="Z697" t="b">
        <v>1</v>
      </c>
      <c r="AA697" t="s">
        <v>40</v>
      </c>
      <c r="AB697" t="s">
        <v>53</v>
      </c>
      <c r="AC697">
        <v>6</v>
      </c>
    </row>
    <row r="698" spans="1:29" x14ac:dyDescent="0.25">
      <c r="A698" t="s">
        <v>1467</v>
      </c>
      <c r="B698">
        <v>42</v>
      </c>
      <c r="C698" t="s">
        <v>212</v>
      </c>
      <c r="D698" t="s">
        <v>44</v>
      </c>
      <c r="E698" t="s">
        <v>31</v>
      </c>
      <c r="F698" t="s">
        <v>45</v>
      </c>
      <c r="G698" t="s">
        <v>30</v>
      </c>
      <c r="H698" t="s">
        <v>1468</v>
      </c>
      <c r="I698" t="s">
        <v>117</v>
      </c>
      <c r="J698" s="1">
        <v>427.94</v>
      </c>
      <c r="K698">
        <v>12</v>
      </c>
      <c r="L698" t="s">
        <v>35</v>
      </c>
      <c r="M698">
        <v>5</v>
      </c>
      <c r="N698">
        <v>4</v>
      </c>
      <c r="O698">
        <v>1.3</v>
      </c>
      <c r="P698" t="s">
        <v>44</v>
      </c>
      <c r="Q698" t="s">
        <v>50</v>
      </c>
      <c r="R698">
        <v>1</v>
      </c>
      <c r="S698">
        <v>2</v>
      </c>
      <c r="T698" t="s">
        <v>36</v>
      </c>
      <c r="U698" t="s">
        <v>60</v>
      </c>
      <c r="V698" t="s">
        <v>66</v>
      </c>
      <c r="W698" s="2">
        <v>45380</v>
      </c>
      <c r="X698" s="4">
        <f ca="1">TODAY()-DATASET[[#This Row],[Time_of_Purchase]]</f>
        <v>754</v>
      </c>
      <c r="Y698" t="b">
        <v>0</v>
      </c>
      <c r="Z698" t="b">
        <v>0</v>
      </c>
      <c r="AA698" t="s">
        <v>62</v>
      </c>
      <c r="AB698" t="s">
        <v>41</v>
      </c>
      <c r="AC698">
        <v>10</v>
      </c>
    </row>
    <row r="699" spans="1:29" x14ac:dyDescent="0.25">
      <c r="A699" t="s">
        <v>1469</v>
      </c>
      <c r="B699">
        <v>28</v>
      </c>
      <c r="C699" t="s">
        <v>29</v>
      </c>
      <c r="D699" t="s">
        <v>44</v>
      </c>
      <c r="E699" t="s">
        <v>55</v>
      </c>
      <c r="F699" t="s">
        <v>32</v>
      </c>
      <c r="G699" t="s">
        <v>44</v>
      </c>
      <c r="H699" t="s">
        <v>1470</v>
      </c>
      <c r="I699" t="s">
        <v>107</v>
      </c>
      <c r="J699" s="1">
        <v>81.23</v>
      </c>
      <c r="K699">
        <v>9</v>
      </c>
      <c r="L699" t="s">
        <v>35</v>
      </c>
      <c r="M699">
        <v>2</v>
      </c>
      <c r="N699">
        <v>5</v>
      </c>
      <c r="O699">
        <v>2</v>
      </c>
      <c r="P699" t="s">
        <v>44</v>
      </c>
      <c r="Q699" t="s">
        <v>50</v>
      </c>
      <c r="R699">
        <v>1</v>
      </c>
      <c r="S699">
        <v>10</v>
      </c>
      <c r="T699" t="s">
        <v>49</v>
      </c>
      <c r="U699" t="s">
        <v>38</v>
      </c>
      <c r="V699" t="s">
        <v>86</v>
      </c>
      <c r="W699" s="2">
        <v>45377</v>
      </c>
      <c r="X699" s="4">
        <f ca="1">TODAY()-DATASET[[#This Row],[Time_of_Purchase]]</f>
        <v>757</v>
      </c>
      <c r="Y699" t="b">
        <v>0</v>
      </c>
      <c r="Z699" t="b">
        <v>1</v>
      </c>
      <c r="AA699" t="s">
        <v>52</v>
      </c>
      <c r="AB699" t="s">
        <v>53</v>
      </c>
      <c r="AC699">
        <v>6</v>
      </c>
    </row>
    <row r="700" spans="1:29" x14ac:dyDescent="0.25">
      <c r="A700" t="s">
        <v>1471</v>
      </c>
      <c r="B700">
        <v>23</v>
      </c>
      <c r="C700" t="s">
        <v>43</v>
      </c>
      <c r="D700" t="s">
        <v>30</v>
      </c>
      <c r="E700" t="s">
        <v>55</v>
      </c>
      <c r="F700" t="s">
        <v>45</v>
      </c>
      <c r="G700" t="s">
        <v>30</v>
      </c>
      <c r="H700" t="s">
        <v>1472</v>
      </c>
      <c r="I700" t="s">
        <v>107</v>
      </c>
      <c r="J700" s="1">
        <v>257.43</v>
      </c>
      <c r="K700">
        <v>5</v>
      </c>
      <c r="L700" t="s">
        <v>78</v>
      </c>
      <c r="M700">
        <v>4</v>
      </c>
      <c r="N700">
        <v>2</v>
      </c>
      <c r="O700">
        <v>0</v>
      </c>
      <c r="P700" t="s">
        <v>59</v>
      </c>
      <c r="Q700" t="s">
        <v>37</v>
      </c>
      <c r="R700">
        <v>1</v>
      </c>
      <c r="S700">
        <v>7</v>
      </c>
      <c r="T700" t="s">
        <v>59</v>
      </c>
      <c r="U700" t="s">
        <v>79</v>
      </c>
      <c r="V700" t="s">
        <v>66</v>
      </c>
      <c r="W700" s="2">
        <v>45396</v>
      </c>
      <c r="X700" s="4">
        <f ca="1">TODAY()-DATASET[[#This Row],[Time_of_Purchase]]</f>
        <v>738</v>
      </c>
      <c r="Y700" t="b">
        <v>1</v>
      </c>
      <c r="Z700" t="b">
        <v>1</v>
      </c>
      <c r="AA700" t="s">
        <v>40</v>
      </c>
      <c r="AB700" t="s">
        <v>53</v>
      </c>
      <c r="AC700">
        <v>13</v>
      </c>
    </row>
    <row r="701" spans="1:29" x14ac:dyDescent="0.25">
      <c r="A701" t="s">
        <v>1473</v>
      </c>
      <c r="B701">
        <v>42</v>
      </c>
      <c r="C701" t="s">
        <v>43</v>
      </c>
      <c r="D701" t="s">
        <v>44</v>
      </c>
      <c r="E701" t="s">
        <v>76</v>
      </c>
      <c r="F701" t="s">
        <v>45</v>
      </c>
      <c r="G701" t="s">
        <v>44</v>
      </c>
      <c r="H701" t="s">
        <v>1474</v>
      </c>
      <c r="I701" t="s">
        <v>135</v>
      </c>
      <c r="J701" s="1">
        <v>305.73</v>
      </c>
      <c r="K701">
        <v>7</v>
      </c>
      <c r="L701" t="s">
        <v>35</v>
      </c>
      <c r="M701">
        <v>2</v>
      </c>
      <c r="N701">
        <v>5</v>
      </c>
      <c r="O701">
        <v>1</v>
      </c>
      <c r="P701" t="s">
        <v>49</v>
      </c>
      <c r="Q701" t="s">
        <v>50</v>
      </c>
      <c r="R701">
        <v>2</v>
      </c>
      <c r="S701">
        <v>8</v>
      </c>
      <c r="T701" t="s">
        <v>49</v>
      </c>
      <c r="U701" t="s">
        <v>38</v>
      </c>
      <c r="V701" t="s">
        <v>86</v>
      </c>
      <c r="W701" s="2">
        <v>45640</v>
      </c>
      <c r="X701" s="4">
        <f ca="1">TODAY()-DATASET[[#This Row],[Time_of_Purchase]]</f>
        <v>494</v>
      </c>
      <c r="Y701" t="b">
        <v>1</v>
      </c>
      <c r="Z701" t="b">
        <v>0</v>
      </c>
      <c r="AA701" t="s">
        <v>74</v>
      </c>
      <c r="AB701" t="s">
        <v>67</v>
      </c>
      <c r="AC701">
        <v>14</v>
      </c>
    </row>
    <row r="702" spans="1:29" x14ac:dyDescent="0.25">
      <c r="A702" t="s">
        <v>1475</v>
      </c>
      <c r="B702">
        <v>32</v>
      </c>
      <c r="C702" t="s">
        <v>43</v>
      </c>
      <c r="D702" t="s">
        <v>44</v>
      </c>
      <c r="E702" t="s">
        <v>55</v>
      </c>
      <c r="F702" t="s">
        <v>32</v>
      </c>
      <c r="G702" t="s">
        <v>44</v>
      </c>
      <c r="H702" t="s">
        <v>1476</v>
      </c>
      <c r="I702" t="s">
        <v>126</v>
      </c>
      <c r="J702" s="1">
        <v>249.82</v>
      </c>
      <c r="K702">
        <v>10</v>
      </c>
      <c r="L702" t="s">
        <v>48</v>
      </c>
      <c r="M702">
        <v>5</v>
      </c>
      <c r="N702">
        <v>3</v>
      </c>
      <c r="O702">
        <v>1</v>
      </c>
      <c r="P702" t="s">
        <v>44</v>
      </c>
      <c r="Q702" t="s">
        <v>50</v>
      </c>
      <c r="R702">
        <v>2</v>
      </c>
      <c r="S702">
        <v>6</v>
      </c>
      <c r="T702" t="s">
        <v>49</v>
      </c>
      <c r="U702" t="s">
        <v>38</v>
      </c>
      <c r="V702" t="s">
        <v>51</v>
      </c>
      <c r="W702" s="2">
        <v>45516</v>
      </c>
      <c r="X702" s="4">
        <f ca="1">TODAY()-DATASET[[#This Row],[Time_of_Purchase]]</f>
        <v>618</v>
      </c>
      <c r="Y702" t="b">
        <v>1</v>
      </c>
      <c r="Z702" t="b">
        <v>0</v>
      </c>
      <c r="AA702" t="s">
        <v>52</v>
      </c>
      <c r="AB702" t="s">
        <v>41</v>
      </c>
      <c r="AC702">
        <v>10</v>
      </c>
    </row>
    <row r="703" spans="1:29" x14ac:dyDescent="0.25">
      <c r="A703" t="s">
        <v>1477</v>
      </c>
      <c r="B703">
        <v>33</v>
      </c>
      <c r="C703" t="s">
        <v>43</v>
      </c>
      <c r="D703" t="s">
        <v>30</v>
      </c>
      <c r="E703" t="s">
        <v>76</v>
      </c>
      <c r="F703" t="s">
        <v>32</v>
      </c>
      <c r="G703" t="s">
        <v>44</v>
      </c>
      <c r="H703" t="s">
        <v>1478</v>
      </c>
      <c r="I703" t="s">
        <v>101</v>
      </c>
      <c r="J703" s="1">
        <v>332.79</v>
      </c>
      <c r="K703">
        <v>11</v>
      </c>
      <c r="L703" t="s">
        <v>78</v>
      </c>
      <c r="M703">
        <v>3</v>
      </c>
      <c r="N703">
        <v>5</v>
      </c>
      <c r="O703">
        <v>2</v>
      </c>
      <c r="P703" t="s">
        <v>36</v>
      </c>
      <c r="Q703" t="s">
        <v>50</v>
      </c>
      <c r="R703">
        <v>2</v>
      </c>
      <c r="S703">
        <v>1</v>
      </c>
      <c r="T703" t="s">
        <v>44</v>
      </c>
      <c r="U703" t="s">
        <v>38</v>
      </c>
      <c r="V703" t="s">
        <v>51</v>
      </c>
      <c r="W703" s="2">
        <v>45533</v>
      </c>
      <c r="X703" s="4">
        <f ca="1">TODAY()-DATASET[[#This Row],[Time_of_Purchase]]</f>
        <v>601</v>
      </c>
      <c r="Y703" t="b">
        <v>0</v>
      </c>
      <c r="Z703" t="b">
        <v>0</v>
      </c>
      <c r="AA703" t="s">
        <v>52</v>
      </c>
      <c r="AB703" t="s">
        <v>41</v>
      </c>
      <c r="AC703">
        <v>4</v>
      </c>
    </row>
    <row r="704" spans="1:29" x14ac:dyDescent="0.25">
      <c r="A704" t="s">
        <v>1479</v>
      </c>
      <c r="B704">
        <v>32</v>
      </c>
      <c r="C704" t="s">
        <v>43</v>
      </c>
      <c r="D704" t="s">
        <v>44</v>
      </c>
      <c r="E704" t="s">
        <v>55</v>
      </c>
      <c r="F704" t="s">
        <v>32</v>
      </c>
      <c r="G704" t="s">
        <v>30</v>
      </c>
      <c r="H704" t="s">
        <v>1480</v>
      </c>
      <c r="I704" t="s">
        <v>135</v>
      </c>
      <c r="J704" s="1">
        <v>78.900000000000006</v>
      </c>
      <c r="K704">
        <v>3</v>
      </c>
      <c r="L704" t="s">
        <v>48</v>
      </c>
      <c r="M704">
        <v>4</v>
      </c>
      <c r="N704">
        <v>1</v>
      </c>
      <c r="O704">
        <v>1</v>
      </c>
      <c r="P704" t="s">
        <v>59</v>
      </c>
      <c r="Q704" t="s">
        <v>50</v>
      </c>
      <c r="R704">
        <v>0</v>
      </c>
      <c r="S704">
        <v>1</v>
      </c>
      <c r="T704" t="s">
        <v>49</v>
      </c>
      <c r="U704" t="s">
        <v>38</v>
      </c>
      <c r="V704" t="s">
        <v>61</v>
      </c>
      <c r="W704" s="2">
        <v>45542</v>
      </c>
      <c r="X704" s="4">
        <f ca="1">TODAY()-DATASET[[#This Row],[Time_of_Purchase]]</f>
        <v>592</v>
      </c>
      <c r="Y704" t="b">
        <v>0</v>
      </c>
      <c r="Z704" t="b">
        <v>1</v>
      </c>
      <c r="AA704" t="s">
        <v>74</v>
      </c>
      <c r="AB704" t="s">
        <v>53</v>
      </c>
      <c r="AC704">
        <v>10</v>
      </c>
    </row>
    <row r="705" spans="1:29" x14ac:dyDescent="0.25">
      <c r="A705" t="s">
        <v>1481</v>
      </c>
      <c r="B705">
        <v>29</v>
      </c>
      <c r="C705" t="s">
        <v>43</v>
      </c>
      <c r="D705" t="s">
        <v>44</v>
      </c>
      <c r="E705" t="s">
        <v>69</v>
      </c>
      <c r="F705" t="s">
        <v>45</v>
      </c>
      <c r="G705" t="s">
        <v>44</v>
      </c>
      <c r="H705" t="s">
        <v>1482</v>
      </c>
      <c r="I705" t="s">
        <v>104</v>
      </c>
      <c r="J705" s="1">
        <v>122.55</v>
      </c>
      <c r="K705">
        <v>9</v>
      </c>
      <c r="L705" t="s">
        <v>35</v>
      </c>
      <c r="M705">
        <v>2</v>
      </c>
      <c r="N705">
        <v>4</v>
      </c>
      <c r="O705">
        <v>0.3</v>
      </c>
      <c r="P705" t="s">
        <v>59</v>
      </c>
      <c r="Q705" t="s">
        <v>50</v>
      </c>
      <c r="R705">
        <v>2</v>
      </c>
      <c r="S705">
        <v>3</v>
      </c>
      <c r="T705" t="s">
        <v>49</v>
      </c>
      <c r="U705" t="s">
        <v>79</v>
      </c>
      <c r="V705" t="s">
        <v>39</v>
      </c>
      <c r="W705" s="2">
        <v>45471</v>
      </c>
      <c r="X705" s="4">
        <f ca="1">TODAY()-DATASET[[#This Row],[Time_of_Purchase]]</f>
        <v>663</v>
      </c>
      <c r="Y705" t="b">
        <v>0</v>
      </c>
      <c r="Z705" t="b">
        <v>0</v>
      </c>
      <c r="AA705" t="s">
        <v>62</v>
      </c>
      <c r="AB705" t="s">
        <v>67</v>
      </c>
      <c r="AC705">
        <v>4</v>
      </c>
    </row>
    <row r="706" spans="1:29" x14ac:dyDescent="0.25">
      <c r="A706" t="s">
        <v>1483</v>
      </c>
      <c r="B706">
        <v>25</v>
      </c>
      <c r="C706" t="s">
        <v>190</v>
      </c>
      <c r="D706" t="s">
        <v>44</v>
      </c>
      <c r="E706" t="s">
        <v>76</v>
      </c>
      <c r="F706" t="s">
        <v>32</v>
      </c>
      <c r="G706" t="s">
        <v>30</v>
      </c>
      <c r="H706" t="s">
        <v>1484</v>
      </c>
      <c r="I706" t="s">
        <v>93</v>
      </c>
      <c r="J706" s="1">
        <v>307.61</v>
      </c>
      <c r="K706">
        <v>6</v>
      </c>
      <c r="L706" t="s">
        <v>35</v>
      </c>
      <c r="M706">
        <v>1</v>
      </c>
      <c r="N706">
        <v>1</v>
      </c>
      <c r="O706">
        <v>0</v>
      </c>
      <c r="P706" t="s">
        <v>59</v>
      </c>
      <c r="Q706" t="s">
        <v>37</v>
      </c>
      <c r="R706">
        <v>0</v>
      </c>
      <c r="S706">
        <v>9</v>
      </c>
      <c r="T706" t="s">
        <v>49</v>
      </c>
      <c r="U706" t="s">
        <v>60</v>
      </c>
      <c r="V706" t="s">
        <v>51</v>
      </c>
      <c r="W706" s="2">
        <v>45547</v>
      </c>
      <c r="X706" s="4">
        <f ca="1">TODAY()-DATASET[[#This Row],[Time_of_Purchase]]</f>
        <v>587</v>
      </c>
      <c r="Y706" t="b">
        <v>1</v>
      </c>
      <c r="Z706" t="b">
        <v>1</v>
      </c>
      <c r="AA706" t="s">
        <v>40</v>
      </c>
      <c r="AB706" t="s">
        <v>41</v>
      </c>
      <c r="AC706">
        <v>10</v>
      </c>
    </row>
    <row r="707" spans="1:29" x14ac:dyDescent="0.25">
      <c r="A707" t="s">
        <v>1485</v>
      </c>
      <c r="B707">
        <v>41</v>
      </c>
      <c r="C707" t="s">
        <v>29</v>
      </c>
      <c r="D707" t="s">
        <v>44</v>
      </c>
      <c r="E707" t="s">
        <v>76</v>
      </c>
      <c r="F707" t="s">
        <v>32</v>
      </c>
      <c r="G707" t="s">
        <v>30</v>
      </c>
      <c r="H707" t="s">
        <v>1486</v>
      </c>
      <c r="I707" t="s">
        <v>120</v>
      </c>
      <c r="J707" s="1">
        <v>152.33000000000001</v>
      </c>
      <c r="K707">
        <v>2</v>
      </c>
      <c r="L707" t="s">
        <v>48</v>
      </c>
      <c r="M707">
        <v>1</v>
      </c>
      <c r="N707">
        <v>5</v>
      </c>
      <c r="O707">
        <v>1</v>
      </c>
      <c r="P707" t="s">
        <v>36</v>
      </c>
      <c r="Q707" t="s">
        <v>50</v>
      </c>
      <c r="R707">
        <v>1</v>
      </c>
      <c r="S707">
        <v>6</v>
      </c>
      <c r="T707" t="s">
        <v>44</v>
      </c>
      <c r="U707" t="s">
        <v>60</v>
      </c>
      <c r="V707" t="s">
        <v>61</v>
      </c>
      <c r="W707" s="2">
        <v>45310</v>
      </c>
      <c r="X707" s="4">
        <f ca="1">TODAY()-DATASET[[#This Row],[Time_of_Purchase]]</f>
        <v>824</v>
      </c>
      <c r="Y707" t="b">
        <v>0</v>
      </c>
      <c r="Z707" t="b">
        <v>1</v>
      </c>
      <c r="AA707" t="s">
        <v>62</v>
      </c>
      <c r="AB707" t="s">
        <v>41</v>
      </c>
      <c r="AC707">
        <v>8</v>
      </c>
    </row>
    <row r="708" spans="1:29" x14ac:dyDescent="0.25">
      <c r="A708" t="s">
        <v>1487</v>
      </c>
      <c r="B708">
        <v>24</v>
      </c>
      <c r="C708" t="s">
        <v>29</v>
      </c>
      <c r="D708" t="s">
        <v>30</v>
      </c>
      <c r="E708" t="s">
        <v>76</v>
      </c>
      <c r="F708" t="s">
        <v>32</v>
      </c>
      <c r="G708" t="s">
        <v>44</v>
      </c>
      <c r="H708" t="s">
        <v>1488</v>
      </c>
      <c r="I708" t="s">
        <v>93</v>
      </c>
      <c r="J708" s="1">
        <v>465.07</v>
      </c>
      <c r="K708">
        <v>8</v>
      </c>
      <c r="L708" t="s">
        <v>78</v>
      </c>
      <c r="M708">
        <v>2</v>
      </c>
      <c r="N708">
        <v>4</v>
      </c>
      <c r="O708">
        <v>0</v>
      </c>
      <c r="P708" t="s">
        <v>49</v>
      </c>
      <c r="Q708" t="s">
        <v>50</v>
      </c>
      <c r="R708">
        <v>1</v>
      </c>
      <c r="S708">
        <v>2</v>
      </c>
      <c r="T708" t="s">
        <v>44</v>
      </c>
      <c r="U708" t="s">
        <v>79</v>
      </c>
      <c r="V708" t="s">
        <v>86</v>
      </c>
      <c r="W708" s="2">
        <v>45353</v>
      </c>
      <c r="X708" s="4">
        <f ca="1">TODAY()-DATASET[[#This Row],[Time_of_Purchase]]</f>
        <v>781</v>
      </c>
      <c r="Y708" t="b">
        <v>0</v>
      </c>
      <c r="Z708" t="b">
        <v>0</v>
      </c>
      <c r="AA708" t="s">
        <v>52</v>
      </c>
      <c r="AB708" t="s">
        <v>41</v>
      </c>
      <c r="AC708">
        <v>8</v>
      </c>
    </row>
    <row r="709" spans="1:29" x14ac:dyDescent="0.25">
      <c r="A709" t="s">
        <v>1489</v>
      </c>
      <c r="B709">
        <v>32</v>
      </c>
      <c r="C709" t="s">
        <v>29</v>
      </c>
      <c r="D709" t="s">
        <v>44</v>
      </c>
      <c r="E709" t="s">
        <v>55</v>
      </c>
      <c r="F709" t="s">
        <v>56</v>
      </c>
      <c r="G709" t="s">
        <v>30</v>
      </c>
      <c r="H709" t="s">
        <v>1490</v>
      </c>
      <c r="I709" t="s">
        <v>90</v>
      </c>
      <c r="J709" s="1">
        <v>498.23</v>
      </c>
      <c r="K709">
        <v>10</v>
      </c>
      <c r="L709" t="s">
        <v>78</v>
      </c>
      <c r="M709">
        <v>5</v>
      </c>
      <c r="N709">
        <v>2</v>
      </c>
      <c r="O709">
        <v>0</v>
      </c>
      <c r="P709" t="s">
        <v>36</v>
      </c>
      <c r="Q709" t="s">
        <v>85</v>
      </c>
      <c r="R709">
        <v>0</v>
      </c>
      <c r="S709">
        <v>7</v>
      </c>
      <c r="T709" t="s">
        <v>49</v>
      </c>
      <c r="U709" t="s">
        <v>60</v>
      </c>
      <c r="V709" t="s">
        <v>66</v>
      </c>
      <c r="W709" s="2">
        <v>45299</v>
      </c>
      <c r="X709" s="4">
        <f ca="1">TODAY()-DATASET[[#This Row],[Time_of_Purchase]]</f>
        <v>835</v>
      </c>
      <c r="Y709" t="b">
        <v>1</v>
      </c>
      <c r="Z709" t="b">
        <v>0</v>
      </c>
      <c r="AA709" t="s">
        <v>74</v>
      </c>
      <c r="AB709" t="s">
        <v>41</v>
      </c>
      <c r="AC709">
        <v>9</v>
      </c>
    </row>
    <row r="710" spans="1:29" x14ac:dyDescent="0.25">
      <c r="A710" t="s">
        <v>1491</v>
      </c>
      <c r="B710">
        <v>41</v>
      </c>
      <c r="C710" t="s">
        <v>29</v>
      </c>
      <c r="D710" t="s">
        <v>30</v>
      </c>
      <c r="E710" t="s">
        <v>69</v>
      </c>
      <c r="F710" t="s">
        <v>45</v>
      </c>
      <c r="G710" t="s">
        <v>30</v>
      </c>
      <c r="H710" t="s">
        <v>1492</v>
      </c>
      <c r="I710" t="s">
        <v>98</v>
      </c>
      <c r="J710" s="1">
        <v>491.18</v>
      </c>
      <c r="K710">
        <v>3</v>
      </c>
      <c r="L710" t="s">
        <v>35</v>
      </c>
      <c r="M710">
        <v>4</v>
      </c>
      <c r="N710">
        <v>4</v>
      </c>
      <c r="O710">
        <v>1</v>
      </c>
      <c r="P710" t="s">
        <v>44</v>
      </c>
      <c r="Q710" t="s">
        <v>85</v>
      </c>
      <c r="R710">
        <v>0</v>
      </c>
      <c r="S710">
        <v>6</v>
      </c>
      <c r="T710" t="s">
        <v>36</v>
      </c>
      <c r="U710" t="s">
        <v>60</v>
      </c>
      <c r="V710" t="s">
        <v>86</v>
      </c>
      <c r="W710" s="2">
        <v>45531</v>
      </c>
      <c r="X710" s="4">
        <f ca="1">TODAY()-DATASET[[#This Row],[Time_of_Purchase]]</f>
        <v>603</v>
      </c>
      <c r="Y710" t="b">
        <v>0</v>
      </c>
      <c r="Z710" t="b">
        <v>0</v>
      </c>
      <c r="AA710" t="s">
        <v>62</v>
      </c>
      <c r="AB710" t="s">
        <v>41</v>
      </c>
      <c r="AC710">
        <v>14</v>
      </c>
    </row>
    <row r="711" spans="1:29" x14ac:dyDescent="0.25">
      <c r="A711" t="s">
        <v>1493</v>
      </c>
      <c r="B711">
        <v>18</v>
      </c>
      <c r="C711" t="s">
        <v>43</v>
      </c>
      <c r="D711" t="s">
        <v>30</v>
      </c>
      <c r="E711" t="s">
        <v>76</v>
      </c>
      <c r="F711" t="s">
        <v>32</v>
      </c>
      <c r="G711" t="s">
        <v>30</v>
      </c>
      <c r="H711" t="s">
        <v>1494</v>
      </c>
      <c r="I711" t="s">
        <v>104</v>
      </c>
      <c r="J711" s="1">
        <v>149.41999999999999</v>
      </c>
      <c r="K711">
        <v>3</v>
      </c>
      <c r="L711" t="s">
        <v>35</v>
      </c>
      <c r="M711">
        <v>1</v>
      </c>
      <c r="N711">
        <v>1</v>
      </c>
      <c r="O711">
        <v>2</v>
      </c>
      <c r="P711" t="s">
        <v>49</v>
      </c>
      <c r="Q711" t="s">
        <v>85</v>
      </c>
      <c r="R711">
        <v>0</v>
      </c>
      <c r="S711">
        <v>6</v>
      </c>
      <c r="T711" t="s">
        <v>36</v>
      </c>
      <c r="U711" t="s">
        <v>79</v>
      </c>
      <c r="V711" t="s">
        <v>86</v>
      </c>
      <c r="W711" s="2">
        <v>45294</v>
      </c>
      <c r="X711" s="4">
        <f ca="1">TODAY()-DATASET[[#This Row],[Time_of_Purchase]]</f>
        <v>840</v>
      </c>
      <c r="Y711" t="b">
        <v>1</v>
      </c>
      <c r="Z711" t="b">
        <v>0</v>
      </c>
      <c r="AA711" t="s">
        <v>52</v>
      </c>
      <c r="AB711" t="s">
        <v>67</v>
      </c>
      <c r="AC711">
        <v>5</v>
      </c>
    </row>
    <row r="712" spans="1:29" x14ac:dyDescent="0.25">
      <c r="A712" t="s">
        <v>1495</v>
      </c>
      <c r="B712">
        <v>25</v>
      </c>
      <c r="C712" t="s">
        <v>43</v>
      </c>
      <c r="D712" t="s">
        <v>30</v>
      </c>
      <c r="E712" t="s">
        <v>55</v>
      </c>
      <c r="F712" t="s">
        <v>56</v>
      </c>
      <c r="G712" t="s">
        <v>30</v>
      </c>
      <c r="H712" t="s">
        <v>1496</v>
      </c>
      <c r="I712" t="s">
        <v>71</v>
      </c>
      <c r="J712" s="1">
        <v>82.13</v>
      </c>
      <c r="K712">
        <v>9</v>
      </c>
      <c r="L712" t="s">
        <v>78</v>
      </c>
      <c r="M712">
        <v>5</v>
      </c>
      <c r="N712">
        <v>1</v>
      </c>
      <c r="O712">
        <v>0</v>
      </c>
      <c r="P712" t="s">
        <v>49</v>
      </c>
      <c r="Q712" t="s">
        <v>37</v>
      </c>
      <c r="R712">
        <v>2</v>
      </c>
      <c r="S712">
        <v>6</v>
      </c>
      <c r="T712" t="s">
        <v>44</v>
      </c>
      <c r="U712" t="s">
        <v>38</v>
      </c>
      <c r="V712" t="s">
        <v>61</v>
      </c>
      <c r="W712" s="2">
        <v>45391</v>
      </c>
      <c r="X712" s="4">
        <f ca="1">TODAY()-DATASET[[#This Row],[Time_of_Purchase]]</f>
        <v>743</v>
      </c>
      <c r="Y712" t="b">
        <v>1</v>
      </c>
      <c r="Z712" t="b">
        <v>1</v>
      </c>
      <c r="AA712" t="s">
        <v>40</v>
      </c>
      <c r="AB712" t="s">
        <v>67</v>
      </c>
      <c r="AC712">
        <v>6</v>
      </c>
    </row>
    <row r="713" spans="1:29" x14ac:dyDescent="0.25">
      <c r="A713" t="s">
        <v>1497</v>
      </c>
      <c r="B713">
        <v>49</v>
      </c>
      <c r="C713" t="s">
        <v>43</v>
      </c>
      <c r="D713" t="s">
        <v>30</v>
      </c>
      <c r="E713" t="s">
        <v>76</v>
      </c>
      <c r="F713" t="s">
        <v>32</v>
      </c>
      <c r="G713" t="s">
        <v>44</v>
      </c>
      <c r="H713" t="s">
        <v>1498</v>
      </c>
      <c r="I713" t="s">
        <v>90</v>
      </c>
      <c r="J713" s="1">
        <v>425.18</v>
      </c>
      <c r="K713">
        <v>4</v>
      </c>
      <c r="L713" t="s">
        <v>35</v>
      </c>
      <c r="M713">
        <v>2</v>
      </c>
      <c r="N713">
        <v>1</v>
      </c>
      <c r="O713">
        <v>0</v>
      </c>
      <c r="P713" t="s">
        <v>49</v>
      </c>
      <c r="Q713" t="s">
        <v>85</v>
      </c>
      <c r="R713">
        <v>1</v>
      </c>
      <c r="S713">
        <v>8</v>
      </c>
      <c r="T713" t="s">
        <v>49</v>
      </c>
      <c r="U713" t="s">
        <v>38</v>
      </c>
      <c r="V713" t="s">
        <v>51</v>
      </c>
      <c r="W713" s="2">
        <v>45370</v>
      </c>
      <c r="X713" s="4">
        <f ca="1">TODAY()-DATASET[[#This Row],[Time_of_Purchase]]</f>
        <v>764</v>
      </c>
      <c r="Y713" t="b">
        <v>1</v>
      </c>
      <c r="Z713" t="b">
        <v>0</v>
      </c>
      <c r="AA713" t="s">
        <v>52</v>
      </c>
      <c r="AB713" t="s">
        <v>53</v>
      </c>
      <c r="AC713">
        <v>10</v>
      </c>
    </row>
    <row r="714" spans="1:29" x14ac:dyDescent="0.25">
      <c r="A714" t="s">
        <v>1499</v>
      </c>
      <c r="B714">
        <v>39</v>
      </c>
      <c r="C714" t="s">
        <v>43</v>
      </c>
      <c r="D714" t="s">
        <v>44</v>
      </c>
      <c r="E714" t="s">
        <v>31</v>
      </c>
      <c r="F714" t="s">
        <v>56</v>
      </c>
      <c r="G714" t="s">
        <v>30</v>
      </c>
      <c r="H714" t="s">
        <v>1500</v>
      </c>
      <c r="I714" t="s">
        <v>135</v>
      </c>
      <c r="J714" s="1">
        <v>176.12</v>
      </c>
      <c r="K714">
        <v>8</v>
      </c>
      <c r="L714" t="s">
        <v>78</v>
      </c>
      <c r="M714">
        <v>2</v>
      </c>
      <c r="N714">
        <v>3</v>
      </c>
      <c r="O714">
        <v>1.2</v>
      </c>
      <c r="P714" t="s">
        <v>49</v>
      </c>
      <c r="Q714" t="s">
        <v>37</v>
      </c>
      <c r="R714">
        <v>1</v>
      </c>
      <c r="S714">
        <v>10</v>
      </c>
      <c r="T714" t="s">
        <v>59</v>
      </c>
      <c r="U714" t="s">
        <v>79</v>
      </c>
      <c r="V714" t="s">
        <v>39</v>
      </c>
      <c r="W714" s="2">
        <v>45458</v>
      </c>
      <c r="X714" s="4">
        <f ca="1">TODAY()-DATASET[[#This Row],[Time_of_Purchase]]</f>
        <v>676</v>
      </c>
      <c r="Y714" t="b">
        <v>1</v>
      </c>
      <c r="Z714" t="b">
        <v>1</v>
      </c>
      <c r="AA714" t="s">
        <v>62</v>
      </c>
      <c r="AB714" t="s">
        <v>53</v>
      </c>
      <c r="AC714">
        <v>14</v>
      </c>
    </row>
    <row r="715" spans="1:29" x14ac:dyDescent="0.25">
      <c r="A715" t="s">
        <v>1501</v>
      </c>
      <c r="B715">
        <v>47</v>
      </c>
      <c r="C715" t="s">
        <v>29</v>
      </c>
      <c r="D715" t="s">
        <v>44</v>
      </c>
      <c r="E715" t="s">
        <v>55</v>
      </c>
      <c r="F715" t="s">
        <v>45</v>
      </c>
      <c r="G715" t="s">
        <v>30</v>
      </c>
      <c r="H715" t="s">
        <v>1502</v>
      </c>
      <c r="I715" t="s">
        <v>246</v>
      </c>
      <c r="J715" s="1">
        <v>70.3</v>
      </c>
      <c r="K715">
        <v>6</v>
      </c>
      <c r="L715" t="s">
        <v>78</v>
      </c>
      <c r="M715">
        <v>3</v>
      </c>
      <c r="N715">
        <v>5</v>
      </c>
      <c r="O715">
        <v>0</v>
      </c>
      <c r="P715" t="s">
        <v>36</v>
      </c>
      <c r="Q715" t="s">
        <v>85</v>
      </c>
      <c r="R715">
        <v>1</v>
      </c>
      <c r="S715">
        <v>8</v>
      </c>
      <c r="T715" t="s">
        <v>49</v>
      </c>
      <c r="U715" t="s">
        <v>79</v>
      </c>
      <c r="V715" t="s">
        <v>86</v>
      </c>
      <c r="W715" s="2">
        <v>45354</v>
      </c>
      <c r="X715" s="4">
        <f ca="1">TODAY()-DATASET[[#This Row],[Time_of_Purchase]]</f>
        <v>780</v>
      </c>
      <c r="Y715" t="b">
        <v>1</v>
      </c>
      <c r="Z715" t="b">
        <v>1</v>
      </c>
      <c r="AA715" t="s">
        <v>40</v>
      </c>
      <c r="AB715" t="s">
        <v>53</v>
      </c>
      <c r="AC715">
        <v>3</v>
      </c>
    </row>
    <row r="716" spans="1:29" x14ac:dyDescent="0.25">
      <c r="A716" t="s">
        <v>1503</v>
      </c>
      <c r="B716">
        <v>43</v>
      </c>
      <c r="C716" t="s">
        <v>43</v>
      </c>
      <c r="D716" t="s">
        <v>30</v>
      </c>
      <c r="E716" t="s">
        <v>31</v>
      </c>
      <c r="F716" t="s">
        <v>32</v>
      </c>
      <c r="G716" t="s">
        <v>30</v>
      </c>
      <c r="H716" t="s">
        <v>1504</v>
      </c>
      <c r="I716" t="s">
        <v>98</v>
      </c>
      <c r="J716" s="1">
        <v>319.39</v>
      </c>
      <c r="K716">
        <v>7</v>
      </c>
      <c r="L716" t="s">
        <v>35</v>
      </c>
      <c r="M716">
        <v>4</v>
      </c>
      <c r="N716">
        <v>5</v>
      </c>
      <c r="O716">
        <v>0</v>
      </c>
      <c r="P716" t="s">
        <v>36</v>
      </c>
      <c r="Q716" t="s">
        <v>85</v>
      </c>
      <c r="R716">
        <v>1</v>
      </c>
      <c r="S716">
        <v>10</v>
      </c>
      <c r="T716" t="s">
        <v>44</v>
      </c>
      <c r="U716" t="s">
        <v>79</v>
      </c>
      <c r="V716" t="s">
        <v>39</v>
      </c>
      <c r="W716" s="2">
        <v>45613</v>
      </c>
      <c r="X716" s="4">
        <f ca="1">TODAY()-DATASET[[#This Row],[Time_of_Purchase]]</f>
        <v>521</v>
      </c>
      <c r="Y716" t="b">
        <v>0</v>
      </c>
      <c r="Z716" t="b">
        <v>1</v>
      </c>
      <c r="AA716" t="s">
        <v>74</v>
      </c>
      <c r="AB716" t="s">
        <v>53</v>
      </c>
      <c r="AC716">
        <v>3</v>
      </c>
    </row>
    <row r="717" spans="1:29" x14ac:dyDescent="0.25">
      <c r="A717" t="s">
        <v>1505</v>
      </c>
      <c r="B717">
        <v>38</v>
      </c>
      <c r="C717" t="s">
        <v>29</v>
      </c>
      <c r="D717" t="s">
        <v>44</v>
      </c>
      <c r="E717" t="s">
        <v>69</v>
      </c>
      <c r="F717" t="s">
        <v>45</v>
      </c>
      <c r="G717" t="s">
        <v>44</v>
      </c>
      <c r="H717" t="s">
        <v>1506</v>
      </c>
      <c r="I717" t="s">
        <v>65</v>
      </c>
      <c r="J717" s="1">
        <v>113.51</v>
      </c>
      <c r="K717">
        <v>11</v>
      </c>
      <c r="L717" t="s">
        <v>35</v>
      </c>
      <c r="M717">
        <v>4</v>
      </c>
      <c r="N717">
        <v>1</v>
      </c>
      <c r="O717">
        <v>1</v>
      </c>
      <c r="P717" t="s">
        <v>44</v>
      </c>
      <c r="Q717" t="s">
        <v>50</v>
      </c>
      <c r="R717">
        <v>2</v>
      </c>
      <c r="S717">
        <v>2</v>
      </c>
      <c r="T717" t="s">
        <v>59</v>
      </c>
      <c r="U717" t="s">
        <v>79</v>
      </c>
      <c r="V717" t="s">
        <v>39</v>
      </c>
      <c r="W717" s="2">
        <v>45336</v>
      </c>
      <c r="X717" s="4">
        <f ca="1">TODAY()-DATASET[[#This Row],[Time_of_Purchase]]</f>
        <v>798</v>
      </c>
      <c r="Y717" t="b">
        <v>1</v>
      </c>
      <c r="Z717" t="b">
        <v>1</v>
      </c>
      <c r="AA717" t="s">
        <v>74</v>
      </c>
      <c r="AB717" t="s">
        <v>67</v>
      </c>
      <c r="AC717">
        <v>8</v>
      </c>
    </row>
    <row r="718" spans="1:29" x14ac:dyDescent="0.25">
      <c r="A718" t="s">
        <v>1507</v>
      </c>
      <c r="B718">
        <v>40</v>
      </c>
      <c r="C718" t="s">
        <v>29</v>
      </c>
      <c r="D718" t="s">
        <v>44</v>
      </c>
      <c r="E718" t="s">
        <v>55</v>
      </c>
      <c r="F718" t="s">
        <v>32</v>
      </c>
      <c r="G718" t="s">
        <v>30</v>
      </c>
      <c r="H718" t="s">
        <v>1508</v>
      </c>
      <c r="I718" t="s">
        <v>101</v>
      </c>
      <c r="J718" s="1">
        <v>492.74</v>
      </c>
      <c r="K718">
        <v>2</v>
      </c>
      <c r="L718" t="s">
        <v>35</v>
      </c>
      <c r="M718">
        <v>1</v>
      </c>
      <c r="N718">
        <v>5</v>
      </c>
      <c r="O718">
        <v>2</v>
      </c>
      <c r="P718" t="s">
        <v>59</v>
      </c>
      <c r="Q718" t="s">
        <v>85</v>
      </c>
      <c r="R718">
        <v>1</v>
      </c>
      <c r="S718">
        <v>3</v>
      </c>
      <c r="T718" t="s">
        <v>44</v>
      </c>
      <c r="U718" t="s">
        <v>38</v>
      </c>
      <c r="V718" t="s">
        <v>66</v>
      </c>
      <c r="W718" s="2">
        <v>45351</v>
      </c>
      <c r="X718" s="4">
        <f ca="1">TODAY()-DATASET[[#This Row],[Time_of_Purchase]]</f>
        <v>783</v>
      </c>
      <c r="Y718" t="b">
        <v>1</v>
      </c>
      <c r="Z718" t="b">
        <v>0</v>
      </c>
      <c r="AA718" t="s">
        <v>40</v>
      </c>
      <c r="AB718" t="s">
        <v>67</v>
      </c>
      <c r="AC718">
        <v>13</v>
      </c>
    </row>
    <row r="719" spans="1:29" x14ac:dyDescent="0.25">
      <c r="A719" t="s">
        <v>1509</v>
      </c>
      <c r="B719">
        <v>33</v>
      </c>
      <c r="C719" t="s">
        <v>43</v>
      </c>
      <c r="D719" t="s">
        <v>30</v>
      </c>
      <c r="E719" t="s">
        <v>76</v>
      </c>
      <c r="F719" t="s">
        <v>56</v>
      </c>
      <c r="G719" t="s">
        <v>30</v>
      </c>
      <c r="H719" t="s">
        <v>1510</v>
      </c>
      <c r="I719" t="s">
        <v>71</v>
      </c>
      <c r="J719" s="1">
        <v>143.80000000000001</v>
      </c>
      <c r="K719">
        <v>9</v>
      </c>
      <c r="L719" t="s">
        <v>48</v>
      </c>
      <c r="M719">
        <v>2</v>
      </c>
      <c r="N719">
        <v>2</v>
      </c>
      <c r="O719">
        <v>2</v>
      </c>
      <c r="P719" t="s">
        <v>59</v>
      </c>
      <c r="Q719" t="s">
        <v>37</v>
      </c>
      <c r="R719">
        <v>0</v>
      </c>
      <c r="S719">
        <v>7</v>
      </c>
      <c r="T719" t="s">
        <v>36</v>
      </c>
      <c r="U719" t="s">
        <v>38</v>
      </c>
      <c r="V719" t="s">
        <v>61</v>
      </c>
      <c r="W719" s="2">
        <v>45344</v>
      </c>
      <c r="X719" s="4">
        <f ca="1">TODAY()-DATASET[[#This Row],[Time_of_Purchase]]</f>
        <v>790</v>
      </c>
      <c r="Y719" t="b">
        <v>1</v>
      </c>
      <c r="Z719" t="b">
        <v>0</v>
      </c>
      <c r="AA719" t="s">
        <v>52</v>
      </c>
      <c r="AB719" t="s">
        <v>41</v>
      </c>
      <c r="AC719">
        <v>11</v>
      </c>
    </row>
    <row r="720" spans="1:29" x14ac:dyDescent="0.25">
      <c r="A720" t="s">
        <v>1511</v>
      </c>
      <c r="B720">
        <v>18</v>
      </c>
      <c r="C720" t="s">
        <v>274</v>
      </c>
      <c r="D720" t="s">
        <v>30</v>
      </c>
      <c r="E720" t="s">
        <v>69</v>
      </c>
      <c r="F720" t="s">
        <v>32</v>
      </c>
      <c r="G720" t="s">
        <v>30</v>
      </c>
      <c r="H720" t="s">
        <v>1512</v>
      </c>
      <c r="I720" t="s">
        <v>135</v>
      </c>
      <c r="J720" s="1">
        <v>158.54</v>
      </c>
      <c r="K720">
        <v>5</v>
      </c>
      <c r="L720" t="s">
        <v>78</v>
      </c>
      <c r="M720">
        <v>2</v>
      </c>
      <c r="N720">
        <v>1</v>
      </c>
      <c r="O720">
        <v>1</v>
      </c>
      <c r="P720" t="s">
        <v>59</v>
      </c>
      <c r="Q720" t="s">
        <v>50</v>
      </c>
      <c r="R720">
        <v>2</v>
      </c>
      <c r="S720">
        <v>7</v>
      </c>
      <c r="T720" t="s">
        <v>44</v>
      </c>
      <c r="U720" t="s">
        <v>60</v>
      </c>
      <c r="V720" t="s">
        <v>61</v>
      </c>
      <c r="W720" s="2">
        <v>45382</v>
      </c>
      <c r="X720" s="4">
        <f ca="1">TODAY()-DATASET[[#This Row],[Time_of_Purchase]]</f>
        <v>752</v>
      </c>
      <c r="Y720" t="b">
        <v>0</v>
      </c>
      <c r="Z720" t="b">
        <v>0</v>
      </c>
      <c r="AA720" t="s">
        <v>74</v>
      </c>
      <c r="AB720" t="s">
        <v>67</v>
      </c>
      <c r="AC720">
        <v>5</v>
      </c>
    </row>
    <row r="721" spans="1:29" x14ac:dyDescent="0.25">
      <c r="A721" t="s">
        <v>1513</v>
      </c>
      <c r="B721">
        <v>39</v>
      </c>
      <c r="C721" t="s">
        <v>29</v>
      </c>
      <c r="D721" t="s">
        <v>44</v>
      </c>
      <c r="E721" t="s">
        <v>31</v>
      </c>
      <c r="F721" t="s">
        <v>32</v>
      </c>
      <c r="G721" t="s">
        <v>44</v>
      </c>
      <c r="H721" t="s">
        <v>1514</v>
      </c>
      <c r="I721" t="s">
        <v>71</v>
      </c>
      <c r="J721" s="1">
        <v>213.39</v>
      </c>
      <c r="K721">
        <v>6</v>
      </c>
      <c r="L721" t="s">
        <v>78</v>
      </c>
      <c r="M721">
        <v>3</v>
      </c>
      <c r="N721">
        <v>4</v>
      </c>
      <c r="O721">
        <v>2</v>
      </c>
      <c r="P721" t="s">
        <v>49</v>
      </c>
      <c r="Q721" t="s">
        <v>50</v>
      </c>
      <c r="R721">
        <v>2</v>
      </c>
      <c r="S721">
        <v>5</v>
      </c>
      <c r="T721" t="s">
        <v>49</v>
      </c>
      <c r="U721" t="s">
        <v>79</v>
      </c>
      <c r="V721" t="s">
        <v>86</v>
      </c>
      <c r="W721" s="2">
        <v>45592</v>
      </c>
      <c r="X721" s="4">
        <f ca="1">TODAY()-DATASET[[#This Row],[Time_of_Purchase]]</f>
        <v>542</v>
      </c>
      <c r="Y721" t="b">
        <v>0</v>
      </c>
      <c r="Z721" t="b">
        <v>1</v>
      </c>
      <c r="AA721" t="s">
        <v>74</v>
      </c>
      <c r="AB721" t="s">
        <v>53</v>
      </c>
      <c r="AC721">
        <v>4</v>
      </c>
    </row>
    <row r="722" spans="1:29" x14ac:dyDescent="0.25">
      <c r="A722" t="s">
        <v>1515</v>
      </c>
      <c r="B722">
        <v>31</v>
      </c>
      <c r="C722" t="s">
        <v>43</v>
      </c>
      <c r="D722" t="s">
        <v>30</v>
      </c>
      <c r="E722" t="s">
        <v>76</v>
      </c>
      <c r="F722" t="s">
        <v>32</v>
      </c>
      <c r="G722" t="s">
        <v>44</v>
      </c>
      <c r="H722" t="s">
        <v>1516</v>
      </c>
      <c r="I722" t="s">
        <v>142</v>
      </c>
      <c r="J722" s="1">
        <v>127.18</v>
      </c>
      <c r="K722">
        <v>2</v>
      </c>
      <c r="L722" t="s">
        <v>48</v>
      </c>
      <c r="M722">
        <v>5</v>
      </c>
      <c r="N722">
        <v>5</v>
      </c>
      <c r="O722">
        <v>1</v>
      </c>
      <c r="P722" t="s">
        <v>49</v>
      </c>
      <c r="Q722" t="s">
        <v>37</v>
      </c>
      <c r="R722">
        <v>0</v>
      </c>
      <c r="S722">
        <v>2</v>
      </c>
      <c r="T722" t="s">
        <v>49</v>
      </c>
      <c r="U722" t="s">
        <v>79</v>
      </c>
      <c r="V722" t="s">
        <v>61</v>
      </c>
      <c r="W722" s="2">
        <v>45647</v>
      </c>
      <c r="X722" s="4">
        <f ca="1">TODAY()-DATASET[[#This Row],[Time_of_Purchase]]</f>
        <v>487</v>
      </c>
      <c r="Y722" t="b">
        <v>0</v>
      </c>
      <c r="Z722" t="b">
        <v>0</v>
      </c>
      <c r="AA722" t="s">
        <v>74</v>
      </c>
      <c r="AB722" t="s">
        <v>53</v>
      </c>
      <c r="AC722">
        <v>4</v>
      </c>
    </row>
    <row r="723" spans="1:29" x14ac:dyDescent="0.25">
      <c r="A723" t="s">
        <v>1517</v>
      </c>
      <c r="B723">
        <v>27</v>
      </c>
      <c r="C723" t="s">
        <v>43</v>
      </c>
      <c r="D723" t="s">
        <v>30</v>
      </c>
      <c r="E723" t="s">
        <v>76</v>
      </c>
      <c r="F723" t="s">
        <v>56</v>
      </c>
      <c r="G723" t="s">
        <v>44</v>
      </c>
      <c r="H723" t="s">
        <v>1518</v>
      </c>
      <c r="I723" t="s">
        <v>98</v>
      </c>
      <c r="J723" s="1">
        <v>476.63</v>
      </c>
      <c r="K723">
        <v>9</v>
      </c>
      <c r="L723" t="s">
        <v>48</v>
      </c>
      <c r="M723">
        <v>3</v>
      </c>
      <c r="N723">
        <v>5</v>
      </c>
      <c r="O723">
        <v>2</v>
      </c>
      <c r="P723" t="s">
        <v>49</v>
      </c>
      <c r="Q723" t="s">
        <v>50</v>
      </c>
      <c r="R723">
        <v>2</v>
      </c>
      <c r="S723">
        <v>2</v>
      </c>
      <c r="T723" t="s">
        <v>36</v>
      </c>
      <c r="U723" t="s">
        <v>79</v>
      </c>
      <c r="V723" t="s">
        <v>61</v>
      </c>
      <c r="W723" s="2">
        <v>45615</v>
      </c>
      <c r="X723" s="4">
        <f ca="1">TODAY()-DATASET[[#This Row],[Time_of_Purchase]]</f>
        <v>519</v>
      </c>
      <c r="Y723" t="b">
        <v>1</v>
      </c>
      <c r="Z723" t="b">
        <v>0</v>
      </c>
      <c r="AA723" t="s">
        <v>62</v>
      </c>
      <c r="AB723" t="s">
        <v>41</v>
      </c>
      <c r="AC723">
        <v>1</v>
      </c>
    </row>
    <row r="724" spans="1:29" x14ac:dyDescent="0.25">
      <c r="A724" t="s">
        <v>1519</v>
      </c>
      <c r="B724">
        <v>31</v>
      </c>
      <c r="C724" t="s">
        <v>29</v>
      </c>
      <c r="D724" t="s">
        <v>44</v>
      </c>
      <c r="E724" t="s">
        <v>55</v>
      </c>
      <c r="F724" t="s">
        <v>32</v>
      </c>
      <c r="G724" t="s">
        <v>30</v>
      </c>
      <c r="H724" t="s">
        <v>1520</v>
      </c>
      <c r="I724" t="s">
        <v>101</v>
      </c>
      <c r="J724" s="1">
        <v>56.02</v>
      </c>
      <c r="K724">
        <v>3</v>
      </c>
      <c r="L724" t="s">
        <v>78</v>
      </c>
      <c r="M724">
        <v>5</v>
      </c>
      <c r="N724">
        <v>3</v>
      </c>
      <c r="O724">
        <v>1</v>
      </c>
      <c r="P724" t="s">
        <v>36</v>
      </c>
      <c r="Q724" t="s">
        <v>85</v>
      </c>
      <c r="R724">
        <v>1</v>
      </c>
      <c r="S724">
        <v>6</v>
      </c>
      <c r="T724" t="s">
        <v>44</v>
      </c>
      <c r="U724" t="s">
        <v>79</v>
      </c>
      <c r="V724" t="s">
        <v>51</v>
      </c>
      <c r="W724" s="2">
        <v>45548</v>
      </c>
      <c r="X724" s="4">
        <f ca="1">TODAY()-DATASET[[#This Row],[Time_of_Purchase]]</f>
        <v>586</v>
      </c>
      <c r="Y724" t="b">
        <v>0</v>
      </c>
      <c r="Z724" t="b">
        <v>1</v>
      </c>
      <c r="AA724" t="s">
        <v>40</v>
      </c>
      <c r="AB724" t="s">
        <v>53</v>
      </c>
      <c r="AC724">
        <v>12</v>
      </c>
    </row>
    <row r="725" spans="1:29" x14ac:dyDescent="0.25">
      <c r="A725" t="s">
        <v>1521</v>
      </c>
      <c r="B725">
        <v>36</v>
      </c>
      <c r="C725" t="s">
        <v>29</v>
      </c>
      <c r="D725" t="s">
        <v>44</v>
      </c>
      <c r="E725" t="s">
        <v>69</v>
      </c>
      <c r="F725" t="s">
        <v>32</v>
      </c>
      <c r="G725" t="s">
        <v>30</v>
      </c>
      <c r="H725" t="s">
        <v>1522</v>
      </c>
      <c r="I725" t="s">
        <v>117</v>
      </c>
      <c r="J725" s="1">
        <v>398.97</v>
      </c>
      <c r="K725">
        <v>3</v>
      </c>
      <c r="L725" t="s">
        <v>78</v>
      </c>
      <c r="M725">
        <v>2</v>
      </c>
      <c r="N725">
        <v>3</v>
      </c>
      <c r="O725">
        <v>1</v>
      </c>
      <c r="P725" t="s">
        <v>44</v>
      </c>
      <c r="Q725" t="s">
        <v>50</v>
      </c>
      <c r="R725">
        <v>2</v>
      </c>
      <c r="S725">
        <v>3</v>
      </c>
      <c r="T725" t="s">
        <v>44</v>
      </c>
      <c r="U725" t="s">
        <v>38</v>
      </c>
      <c r="V725" t="s">
        <v>61</v>
      </c>
      <c r="W725" s="2">
        <v>45561</v>
      </c>
      <c r="X725" s="4">
        <f ca="1">TODAY()-DATASET[[#This Row],[Time_of_Purchase]]</f>
        <v>573</v>
      </c>
      <c r="Y725" t="b">
        <v>0</v>
      </c>
      <c r="Z725" t="b">
        <v>0</v>
      </c>
      <c r="AA725" t="s">
        <v>62</v>
      </c>
      <c r="AB725" t="s">
        <v>41</v>
      </c>
      <c r="AC725">
        <v>9</v>
      </c>
    </row>
    <row r="726" spans="1:29" x14ac:dyDescent="0.25">
      <c r="A726" t="s">
        <v>1523</v>
      </c>
      <c r="B726">
        <v>27</v>
      </c>
      <c r="C726" t="s">
        <v>29</v>
      </c>
      <c r="D726" t="s">
        <v>30</v>
      </c>
      <c r="E726" t="s">
        <v>76</v>
      </c>
      <c r="F726" t="s">
        <v>45</v>
      </c>
      <c r="G726" t="s">
        <v>30</v>
      </c>
      <c r="H726" t="s">
        <v>902</v>
      </c>
      <c r="I726" t="s">
        <v>158</v>
      </c>
      <c r="J726" s="1">
        <v>53.45</v>
      </c>
      <c r="K726">
        <v>6</v>
      </c>
      <c r="L726" t="s">
        <v>35</v>
      </c>
      <c r="M726">
        <v>2</v>
      </c>
      <c r="N726">
        <v>3</v>
      </c>
      <c r="O726">
        <v>1</v>
      </c>
      <c r="P726" t="s">
        <v>44</v>
      </c>
      <c r="Q726" t="s">
        <v>37</v>
      </c>
      <c r="R726">
        <v>1</v>
      </c>
      <c r="S726">
        <v>9</v>
      </c>
      <c r="T726" t="s">
        <v>44</v>
      </c>
      <c r="U726" t="s">
        <v>38</v>
      </c>
      <c r="V726" t="s">
        <v>61</v>
      </c>
      <c r="W726" s="2">
        <v>45487</v>
      </c>
      <c r="X726" s="4">
        <f ca="1">TODAY()-DATASET[[#This Row],[Time_of_Purchase]]</f>
        <v>647</v>
      </c>
      <c r="Y726" t="b">
        <v>0</v>
      </c>
      <c r="Z726" t="b">
        <v>0</v>
      </c>
      <c r="AA726" t="s">
        <v>40</v>
      </c>
      <c r="AB726" t="s">
        <v>53</v>
      </c>
      <c r="AC726">
        <v>11</v>
      </c>
    </row>
    <row r="727" spans="1:29" x14ac:dyDescent="0.25">
      <c r="A727" t="s">
        <v>1524</v>
      </c>
      <c r="B727">
        <v>21</v>
      </c>
      <c r="C727" t="s">
        <v>274</v>
      </c>
      <c r="D727" t="s">
        <v>30</v>
      </c>
      <c r="E727" t="s">
        <v>31</v>
      </c>
      <c r="F727" t="s">
        <v>32</v>
      </c>
      <c r="G727" t="s">
        <v>44</v>
      </c>
      <c r="H727" t="s">
        <v>1525</v>
      </c>
      <c r="I727" t="s">
        <v>158</v>
      </c>
      <c r="J727" s="1">
        <v>61.19</v>
      </c>
      <c r="K727">
        <v>2</v>
      </c>
      <c r="L727" t="s">
        <v>35</v>
      </c>
      <c r="M727">
        <v>4</v>
      </c>
      <c r="N727">
        <v>5</v>
      </c>
      <c r="O727">
        <v>1</v>
      </c>
      <c r="P727" t="s">
        <v>36</v>
      </c>
      <c r="Q727" t="s">
        <v>50</v>
      </c>
      <c r="R727">
        <v>2</v>
      </c>
      <c r="S727">
        <v>6</v>
      </c>
      <c r="T727" t="s">
        <v>44</v>
      </c>
      <c r="U727" t="s">
        <v>79</v>
      </c>
      <c r="V727" t="s">
        <v>51</v>
      </c>
      <c r="W727" s="2">
        <v>45516</v>
      </c>
      <c r="X727" s="4">
        <f ca="1">TODAY()-DATASET[[#This Row],[Time_of_Purchase]]</f>
        <v>618</v>
      </c>
      <c r="Y727" t="b">
        <v>1</v>
      </c>
      <c r="Z727" t="b">
        <v>1</v>
      </c>
      <c r="AA727" t="s">
        <v>52</v>
      </c>
      <c r="AB727" t="s">
        <v>41</v>
      </c>
      <c r="AC727">
        <v>3</v>
      </c>
    </row>
    <row r="728" spans="1:29" x14ac:dyDescent="0.25">
      <c r="A728" t="s">
        <v>1526</v>
      </c>
      <c r="B728">
        <v>50</v>
      </c>
      <c r="C728" t="s">
        <v>29</v>
      </c>
      <c r="D728" t="s">
        <v>30</v>
      </c>
      <c r="E728" t="s">
        <v>31</v>
      </c>
      <c r="F728" t="s">
        <v>45</v>
      </c>
      <c r="G728" t="s">
        <v>30</v>
      </c>
      <c r="H728" t="s">
        <v>1527</v>
      </c>
      <c r="I728" t="s">
        <v>98</v>
      </c>
      <c r="J728" s="1">
        <v>471.31</v>
      </c>
      <c r="K728">
        <v>4</v>
      </c>
      <c r="L728" t="s">
        <v>35</v>
      </c>
      <c r="M728">
        <v>1</v>
      </c>
      <c r="N728">
        <v>5</v>
      </c>
      <c r="O728">
        <v>2</v>
      </c>
      <c r="P728" t="s">
        <v>44</v>
      </c>
      <c r="Q728" t="s">
        <v>85</v>
      </c>
      <c r="R728">
        <v>0</v>
      </c>
      <c r="S728">
        <v>8</v>
      </c>
      <c r="T728" t="s">
        <v>36</v>
      </c>
      <c r="U728" t="s">
        <v>60</v>
      </c>
      <c r="V728" t="s">
        <v>66</v>
      </c>
      <c r="W728" s="2">
        <v>45643</v>
      </c>
      <c r="X728" s="4">
        <f ca="1">TODAY()-DATASET[[#This Row],[Time_of_Purchase]]</f>
        <v>491</v>
      </c>
      <c r="Y728" t="b">
        <v>0</v>
      </c>
      <c r="Z728" t="b">
        <v>1</v>
      </c>
      <c r="AA728" t="s">
        <v>62</v>
      </c>
      <c r="AB728" t="s">
        <v>67</v>
      </c>
      <c r="AC728">
        <v>7</v>
      </c>
    </row>
    <row r="729" spans="1:29" x14ac:dyDescent="0.25">
      <c r="A729" t="s">
        <v>1528</v>
      </c>
      <c r="B729">
        <v>49</v>
      </c>
      <c r="C729" t="s">
        <v>29</v>
      </c>
      <c r="D729" t="s">
        <v>44</v>
      </c>
      <c r="E729" t="s">
        <v>76</v>
      </c>
      <c r="F729" t="s">
        <v>45</v>
      </c>
      <c r="G729" t="s">
        <v>44</v>
      </c>
      <c r="H729" t="s">
        <v>1529</v>
      </c>
      <c r="I729" t="s">
        <v>104</v>
      </c>
      <c r="J729" s="1">
        <v>179.19</v>
      </c>
      <c r="K729">
        <v>10</v>
      </c>
      <c r="L729" t="s">
        <v>48</v>
      </c>
      <c r="M729">
        <v>3</v>
      </c>
      <c r="N729">
        <v>1</v>
      </c>
      <c r="O729">
        <v>1</v>
      </c>
      <c r="P729" t="s">
        <v>59</v>
      </c>
      <c r="Q729" t="s">
        <v>50</v>
      </c>
      <c r="R729">
        <v>2</v>
      </c>
      <c r="S729">
        <v>7</v>
      </c>
      <c r="T729" t="s">
        <v>36</v>
      </c>
      <c r="U729" t="s">
        <v>38</v>
      </c>
      <c r="V729" t="s">
        <v>51</v>
      </c>
      <c r="W729" s="2">
        <v>45372</v>
      </c>
      <c r="X729" s="4">
        <f ca="1">TODAY()-DATASET[[#This Row],[Time_of_Purchase]]</f>
        <v>762</v>
      </c>
      <c r="Y729" t="b">
        <v>0</v>
      </c>
      <c r="Z729" t="b">
        <v>0</v>
      </c>
      <c r="AA729" t="s">
        <v>62</v>
      </c>
      <c r="AB729" t="s">
        <v>67</v>
      </c>
      <c r="AC729">
        <v>12</v>
      </c>
    </row>
    <row r="730" spans="1:29" x14ac:dyDescent="0.25">
      <c r="A730" t="s">
        <v>1530</v>
      </c>
      <c r="B730">
        <v>43</v>
      </c>
      <c r="C730" t="s">
        <v>29</v>
      </c>
      <c r="D730" t="s">
        <v>44</v>
      </c>
      <c r="E730" t="s">
        <v>76</v>
      </c>
      <c r="F730" t="s">
        <v>45</v>
      </c>
      <c r="G730" t="s">
        <v>30</v>
      </c>
      <c r="H730" t="s">
        <v>1531</v>
      </c>
      <c r="I730" t="s">
        <v>47</v>
      </c>
      <c r="J730" s="1">
        <v>294.61</v>
      </c>
      <c r="K730">
        <v>6</v>
      </c>
      <c r="L730" t="s">
        <v>48</v>
      </c>
      <c r="M730">
        <v>2</v>
      </c>
      <c r="N730">
        <v>1</v>
      </c>
      <c r="O730">
        <v>0</v>
      </c>
      <c r="P730" t="s">
        <v>36</v>
      </c>
      <c r="Q730" t="s">
        <v>85</v>
      </c>
      <c r="R730">
        <v>0</v>
      </c>
      <c r="S730">
        <v>2</v>
      </c>
      <c r="T730" t="s">
        <v>36</v>
      </c>
      <c r="U730" t="s">
        <v>79</v>
      </c>
      <c r="V730" t="s">
        <v>51</v>
      </c>
      <c r="W730" s="2">
        <v>45568</v>
      </c>
      <c r="X730" s="4">
        <f ca="1">TODAY()-DATASET[[#This Row],[Time_of_Purchase]]</f>
        <v>566</v>
      </c>
      <c r="Y730" t="b">
        <v>0</v>
      </c>
      <c r="Z730" t="b">
        <v>1</v>
      </c>
      <c r="AA730" t="s">
        <v>52</v>
      </c>
      <c r="AB730" t="s">
        <v>67</v>
      </c>
      <c r="AC730">
        <v>4</v>
      </c>
    </row>
    <row r="731" spans="1:29" x14ac:dyDescent="0.25">
      <c r="A731" t="s">
        <v>1532</v>
      </c>
      <c r="B731">
        <v>35</v>
      </c>
      <c r="C731" t="s">
        <v>190</v>
      </c>
      <c r="D731" t="s">
        <v>44</v>
      </c>
      <c r="E731" t="s">
        <v>69</v>
      </c>
      <c r="F731" t="s">
        <v>32</v>
      </c>
      <c r="G731" t="s">
        <v>44</v>
      </c>
      <c r="H731" t="s">
        <v>1533</v>
      </c>
      <c r="I731" t="s">
        <v>104</v>
      </c>
      <c r="J731" s="1">
        <v>375.45</v>
      </c>
      <c r="K731">
        <v>6</v>
      </c>
      <c r="L731" t="s">
        <v>78</v>
      </c>
      <c r="M731">
        <v>3</v>
      </c>
      <c r="N731">
        <v>4</v>
      </c>
      <c r="O731">
        <v>0</v>
      </c>
      <c r="P731" t="s">
        <v>44</v>
      </c>
      <c r="Q731" t="s">
        <v>50</v>
      </c>
      <c r="R731">
        <v>1</v>
      </c>
      <c r="S731">
        <v>8</v>
      </c>
      <c r="T731" t="s">
        <v>49</v>
      </c>
      <c r="U731" t="s">
        <v>60</v>
      </c>
      <c r="V731" t="s">
        <v>66</v>
      </c>
      <c r="W731" s="2">
        <v>45396</v>
      </c>
      <c r="X731" s="4">
        <f ca="1">TODAY()-DATASET[[#This Row],[Time_of_Purchase]]</f>
        <v>738</v>
      </c>
      <c r="Y731" t="b">
        <v>0</v>
      </c>
      <c r="Z731" t="b">
        <v>1</v>
      </c>
      <c r="AA731" t="s">
        <v>62</v>
      </c>
      <c r="AB731" t="s">
        <v>67</v>
      </c>
      <c r="AC731">
        <v>1</v>
      </c>
    </row>
    <row r="732" spans="1:29" x14ac:dyDescent="0.25">
      <c r="A732" t="s">
        <v>1534</v>
      </c>
      <c r="B732">
        <v>21</v>
      </c>
      <c r="C732" t="s">
        <v>43</v>
      </c>
      <c r="D732" t="s">
        <v>30</v>
      </c>
      <c r="E732" t="s">
        <v>69</v>
      </c>
      <c r="F732" t="s">
        <v>56</v>
      </c>
      <c r="G732" t="s">
        <v>44</v>
      </c>
      <c r="H732" t="s">
        <v>1535</v>
      </c>
      <c r="I732" t="s">
        <v>117</v>
      </c>
      <c r="J732" s="1">
        <v>83.5</v>
      </c>
      <c r="K732">
        <v>12</v>
      </c>
      <c r="L732" t="s">
        <v>48</v>
      </c>
      <c r="M732">
        <v>2</v>
      </c>
      <c r="N732">
        <v>4</v>
      </c>
      <c r="O732">
        <v>0</v>
      </c>
      <c r="P732" t="s">
        <v>36</v>
      </c>
      <c r="Q732" t="s">
        <v>50</v>
      </c>
      <c r="R732">
        <v>2</v>
      </c>
      <c r="S732">
        <v>7</v>
      </c>
      <c r="T732" t="s">
        <v>59</v>
      </c>
      <c r="U732" t="s">
        <v>60</v>
      </c>
      <c r="V732" t="s">
        <v>86</v>
      </c>
      <c r="W732" s="2">
        <v>45316</v>
      </c>
      <c r="X732" s="4">
        <f ca="1">TODAY()-DATASET[[#This Row],[Time_of_Purchase]]</f>
        <v>818</v>
      </c>
      <c r="Y732" t="b">
        <v>1</v>
      </c>
      <c r="Z732" t="b">
        <v>1</v>
      </c>
      <c r="AA732" t="s">
        <v>40</v>
      </c>
      <c r="AB732" t="s">
        <v>53</v>
      </c>
      <c r="AC732">
        <v>10</v>
      </c>
    </row>
    <row r="733" spans="1:29" x14ac:dyDescent="0.25">
      <c r="A733" t="s">
        <v>1536</v>
      </c>
      <c r="B733">
        <v>34</v>
      </c>
      <c r="C733" t="s">
        <v>43</v>
      </c>
      <c r="D733" t="s">
        <v>44</v>
      </c>
      <c r="E733" t="s">
        <v>31</v>
      </c>
      <c r="F733" t="s">
        <v>45</v>
      </c>
      <c r="G733" t="s">
        <v>30</v>
      </c>
      <c r="H733" t="s">
        <v>1537</v>
      </c>
      <c r="I733" t="s">
        <v>65</v>
      </c>
      <c r="J733" s="1">
        <v>109.88</v>
      </c>
      <c r="K733">
        <v>7</v>
      </c>
      <c r="L733" t="s">
        <v>78</v>
      </c>
      <c r="M733">
        <v>4</v>
      </c>
      <c r="N733">
        <v>4</v>
      </c>
      <c r="O733">
        <v>1</v>
      </c>
      <c r="P733" t="s">
        <v>59</v>
      </c>
      <c r="Q733" t="s">
        <v>85</v>
      </c>
      <c r="R733">
        <v>1</v>
      </c>
      <c r="S733">
        <v>3</v>
      </c>
      <c r="T733" t="s">
        <v>49</v>
      </c>
      <c r="U733" t="s">
        <v>60</v>
      </c>
      <c r="V733" t="s">
        <v>39</v>
      </c>
      <c r="W733" s="2">
        <v>45296</v>
      </c>
      <c r="X733" s="4">
        <f ca="1">TODAY()-DATASET[[#This Row],[Time_of_Purchase]]</f>
        <v>838</v>
      </c>
      <c r="Y733" t="b">
        <v>0</v>
      </c>
      <c r="Z733" t="b">
        <v>1</v>
      </c>
      <c r="AA733" t="s">
        <v>62</v>
      </c>
      <c r="AB733" t="s">
        <v>53</v>
      </c>
      <c r="AC733">
        <v>11</v>
      </c>
    </row>
    <row r="734" spans="1:29" x14ac:dyDescent="0.25">
      <c r="A734" t="s">
        <v>1538</v>
      </c>
      <c r="B734">
        <v>21</v>
      </c>
      <c r="C734" t="s">
        <v>29</v>
      </c>
      <c r="D734" t="s">
        <v>44</v>
      </c>
      <c r="E734" t="s">
        <v>31</v>
      </c>
      <c r="F734" t="s">
        <v>45</v>
      </c>
      <c r="G734" t="s">
        <v>44</v>
      </c>
      <c r="H734" t="s">
        <v>1539</v>
      </c>
      <c r="I734" t="s">
        <v>58</v>
      </c>
      <c r="J734" s="1">
        <v>182.54</v>
      </c>
      <c r="K734">
        <v>11</v>
      </c>
      <c r="L734" t="s">
        <v>35</v>
      </c>
      <c r="M734">
        <v>5</v>
      </c>
      <c r="N734">
        <v>5</v>
      </c>
      <c r="O734">
        <v>1</v>
      </c>
      <c r="P734" t="s">
        <v>49</v>
      </c>
      <c r="Q734" t="s">
        <v>37</v>
      </c>
      <c r="R734">
        <v>1</v>
      </c>
      <c r="S734">
        <v>1</v>
      </c>
      <c r="T734" t="s">
        <v>44</v>
      </c>
      <c r="U734" t="s">
        <v>38</v>
      </c>
      <c r="V734" t="s">
        <v>86</v>
      </c>
      <c r="W734" s="2">
        <v>45525</v>
      </c>
      <c r="X734" s="4">
        <f ca="1">TODAY()-DATASET[[#This Row],[Time_of_Purchase]]</f>
        <v>609</v>
      </c>
      <c r="Y734" t="b">
        <v>0</v>
      </c>
      <c r="Z734" t="b">
        <v>0</v>
      </c>
      <c r="AA734" t="s">
        <v>40</v>
      </c>
      <c r="AB734" t="s">
        <v>53</v>
      </c>
      <c r="AC734">
        <v>13</v>
      </c>
    </row>
    <row r="735" spans="1:29" x14ac:dyDescent="0.25">
      <c r="A735" t="s">
        <v>1540</v>
      </c>
      <c r="B735">
        <v>23</v>
      </c>
      <c r="C735" t="s">
        <v>29</v>
      </c>
      <c r="D735" t="s">
        <v>44</v>
      </c>
      <c r="E735" t="s">
        <v>69</v>
      </c>
      <c r="F735" t="s">
        <v>32</v>
      </c>
      <c r="G735" t="s">
        <v>44</v>
      </c>
      <c r="H735" t="s">
        <v>1541</v>
      </c>
      <c r="I735" t="s">
        <v>71</v>
      </c>
      <c r="J735" s="1">
        <v>465.48</v>
      </c>
      <c r="K735">
        <v>3</v>
      </c>
      <c r="L735" t="s">
        <v>35</v>
      </c>
      <c r="M735">
        <v>3</v>
      </c>
      <c r="N735">
        <v>3</v>
      </c>
      <c r="O735">
        <v>2</v>
      </c>
      <c r="P735" t="s">
        <v>49</v>
      </c>
      <c r="Q735" t="s">
        <v>85</v>
      </c>
      <c r="R735">
        <v>1</v>
      </c>
      <c r="S735">
        <v>8</v>
      </c>
      <c r="T735" t="s">
        <v>49</v>
      </c>
      <c r="U735" t="s">
        <v>38</v>
      </c>
      <c r="V735" t="s">
        <v>86</v>
      </c>
      <c r="W735" s="2">
        <v>45464</v>
      </c>
      <c r="X735" s="4">
        <f ca="1">TODAY()-DATASET[[#This Row],[Time_of_Purchase]]</f>
        <v>670</v>
      </c>
      <c r="Y735" t="b">
        <v>0</v>
      </c>
      <c r="Z735" t="b">
        <v>0</v>
      </c>
      <c r="AA735" t="s">
        <v>52</v>
      </c>
      <c r="AB735" t="s">
        <v>41</v>
      </c>
      <c r="AC735">
        <v>1</v>
      </c>
    </row>
    <row r="736" spans="1:29" x14ac:dyDescent="0.25">
      <c r="A736" t="s">
        <v>1542</v>
      </c>
      <c r="B736">
        <v>31</v>
      </c>
      <c r="C736" t="s">
        <v>29</v>
      </c>
      <c r="D736" t="s">
        <v>30</v>
      </c>
      <c r="E736" t="s">
        <v>31</v>
      </c>
      <c r="F736" t="s">
        <v>45</v>
      </c>
      <c r="G736" t="s">
        <v>30</v>
      </c>
      <c r="H736" t="s">
        <v>1543</v>
      </c>
      <c r="I736" t="s">
        <v>104</v>
      </c>
      <c r="J736" s="1">
        <v>224.52</v>
      </c>
      <c r="K736">
        <v>8</v>
      </c>
      <c r="L736" t="s">
        <v>35</v>
      </c>
      <c r="M736">
        <v>3</v>
      </c>
      <c r="N736">
        <v>3</v>
      </c>
      <c r="O736">
        <v>2</v>
      </c>
      <c r="P736" t="s">
        <v>59</v>
      </c>
      <c r="Q736" t="s">
        <v>50</v>
      </c>
      <c r="R736">
        <v>1</v>
      </c>
      <c r="S736">
        <v>5</v>
      </c>
      <c r="T736" t="s">
        <v>44</v>
      </c>
      <c r="U736" t="s">
        <v>79</v>
      </c>
      <c r="V736" t="s">
        <v>39</v>
      </c>
      <c r="W736" s="2">
        <v>45625</v>
      </c>
      <c r="X736" s="4">
        <f ca="1">TODAY()-DATASET[[#This Row],[Time_of_Purchase]]</f>
        <v>509</v>
      </c>
      <c r="Y736" t="b">
        <v>1</v>
      </c>
      <c r="Z736" t="b">
        <v>0</v>
      </c>
      <c r="AA736" t="s">
        <v>62</v>
      </c>
      <c r="AB736" t="s">
        <v>67</v>
      </c>
      <c r="AC736">
        <v>1</v>
      </c>
    </row>
    <row r="737" spans="1:29" x14ac:dyDescent="0.25">
      <c r="A737" t="s">
        <v>1544</v>
      </c>
      <c r="B737">
        <v>21</v>
      </c>
      <c r="C737" t="s">
        <v>43</v>
      </c>
      <c r="D737" t="s">
        <v>44</v>
      </c>
      <c r="E737" t="s">
        <v>69</v>
      </c>
      <c r="F737" t="s">
        <v>56</v>
      </c>
      <c r="G737" t="s">
        <v>30</v>
      </c>
      <c r="H737" t="s">
        <v>1545</v>
      </c>
      <c r="I737" t="s">
        <v>188</v>
      </c>
      <c r="J737" s="1">
        <v>281.37</v>
      </c>
      <c r="K737">
        <v>12</v>
      </c>
      <c r="L737" t="s">
        <v>78</v>
      </c>
      <c r="M737">
        <v>2</v>
      </c>
      <c r="N737">
        <v>3</v>
      </c>
      <c r="O737">
        <v>2</v>
      </c>
      <c r="P737" t="s">
        <v>59</v>
      </c>
      <c r="Q737" t="s">
        <v>85</v>
      </c>
      <c r="R737">
        <v>0</v>
      </c>
      <c r="S737">
        <v>2</v>
      </c>
      <c r="T737" t="s">
        <v>59</v>
      </c>
      <c r="U737" t="s">
        <v>60</v>
      </c>
      <c r="V737" t="s">
        <v>61</v>
      </c>
      <c r="W737" s="2">
        <v>45293</v>
      </c>
      <c r="X737" s="4">
        <f ca="1">TODAY()-DATASET[[#This Row],[Time_of_Purchase]]</f>
        <v>841</v>
      </c>
      <c r="Y737" t="b">
        <v>0</v>
      </c>
      <c r="Z737" t="b">
        <v>1</v>
      </c>
      <c r="AA737" t="s">
        <v>62</v>
      </c>
      <c r="AB737" t="s">
        <v>67</v>
      </c>
      <c r="AC737">
        <v>14</v>
      </c>
    </row>
    <row r="738" spans="1:29" x14ac:dyDescent="0.25">
      <c r="A738" t="s">
        <v>1546</v>
      </c>
      <c r="B738">
        <v>22</v>
      </c>
      <c r="C738" t="s">
        <v>29</v>
      </c>
      <c r="D738" t="s">
        <v>30</v>
      </c>
      <c r="E738" t="s">
        <v>31</v>
      </c>
      <c r="F738" t="s">
        <v>32</v>
      </c>
      <c r="G738" t="s">
        <v>30</v>
      </c>
      <c r="H738" t="s">
        <v>1547</v>
      </c>
      <c r="I738" t="s">
        <v>58</v>
      </c>
      <c r="J738" s="1">
        <v>125.68</v>
      </c>
      <c r="K738">
        <v>2</v>
      </c>
      <c r="L738" t="s">
        <v>78</v>
      </c>
      <c r="M738">
        <v>1</v>
      </c>
      <c r="N738">
        <v>4</v>
      </c>
      <c r="O738">
        <v>1</v>
      </c>
      <c r="P738" t="s">
        <v>36</v>
      </c>
      <c r="Q738" t="s">
        <v>50</v>
      </c>
      <c r="R738">
        <v>1</v>
      </c>
      <c r="S738">
        <v>8</v>
      </c>
      <c r="T738" t="s">
        <v>49</v>
      </c>
      <c r="U738" t="s">
        <v>60</v>
      </c>
      <c r="V738" t="s">
        <v>61</v>
      </c>
      <c r="W738" s="2">
        <v>45464</v>
      </c>
      <c r="X738" s="4">
        <f ca="1">TODAY()-DATASET[[#This Row],[Time_of_Purchase]]</f>
        <v>670</v>
      </c>
      <c r="Y738" t="b">
        <v>1</v>
      </c>
      <c r="Z738" t="b">
        <v>0</v>
      </c>
      <c r="AA738" t="s">
        <v>40</v>
      </c>
      <c r="AB738" t="s">
        <v>67</v>
      </c>
      <c r="AC738">
        <v>9</v>
      </c>
    </row>
    <row r="739" spans="1:29" x14ac:dyDescent="0.25">
      <c r="A739" t="s">
        <v>1548</v>
      </c>
      <c r="B739">
        <v>38</v>
      </c>
      <c r="C739" t="s">
        <v>29</v>
      </c>
      <c r="D739" t="s">
        <v>44</v>
      </c>
      <c r="E739" t="s">
        <v>55</v>
      </c>
      <c r="F739" t="s">
        <v>45</v>
      </c>
      <c r="G739" t="s">
        <v>44</v>
      </c>
      <c r="H739" t="s">
        <v>1549</v>
      </c>
      <c r="I739" t="s">
        <v>188</v>
      </c>
      <c r="J739" s="1">
        <v>178.21</v>
      </c>
      <c r="K739">
        <v>7</v>
      </c>
      <c r="L739" t="s">
        <v>48</v>
      </c>
      <c r="M739">
        <v>1</v>
      </c>
      <c r="N739">
        <v>5</v>
      </c>
      <c r="O739">
        <v>2</v>
      </c>
      <c r="P739" t="s">
        <v>59</v>
      </c>
      <c r="Q739" t="s">
        <v>37</v>
      </c>
      <c r="R739">
        <v>2</v>
      </c>
      <c r="S739">
        <v>8</v>
      </c>
      <c r="T739" t="s">
        <v>36</v>
      </c>
      <c r="U739" t="s">
        <v>79</v>
      </c>
      <c r="V739" t="s">
        <v>51</v>
      </c>
      <c r="W739" s="2">
        <v>45436</v>
      </c>
      <c r="X739" s="4">
        <f ca="1">TODAY()-DATASET[[#This Row],[Time_of_Purchase]]</f>
        <v>698</v>
      </c>
      <c r="Y739" t="b">
        <v>0</v>
      </c>
      <c r="Z739" t="b">
        <v>0</v>
      </c>
      <c r="AA739" t="s">
        <v>74</v>
      </c>
      <c r="AB739" t="s">
        <v>41</v>
      </c>
      <c r="AC739">
        <v>9</v>
      </c>
    </row>
    <row r="740" spans="1:29" x14ac:dyDescent="0.25">
      <c r="A740" t="s">
        <v>1550</v>
      </c>
      <c r="B740">
        <v>27</v>
      </c>
      <c r="C740" t="s">
        <v>43</v>
      </c>
      <c r="D740" t="s">
        <v>44</v>
      </c>
      <c r="E740" t="s">
        <v>76</v>
      </c>
      <c r="F740" t="s">
        <v>32</v>
      </c>
      <c r="G740" t="s">
        <v>30</v>
      </c>
      <c r="H740" t="s">
        <v>1551</v>
      </c>
      <c r="I740" t="s">
        <v>104</v>
      </c>
      <c r="J740" s="1">
        <v>483.23</v>
      </c>
      <c r="K740">
        <v>7</v>
      </c>
      <c r="L740" t="s">
        <v>78</v>
      </c>
      <c r="M740">
        <v>2</v>
      </c>
      <c r="N740">
        <v>4</v>
      </c>
      <c r="O740">
        <v>2</v>
      </c>
      <c r="P740" t="s">
        <v>49</v>
      </c>
      <c r="Q740" t="s">
        <v>37</v>
      </c>
      <c r="R740">
        <v>0</v>
      </c>
      <c r="S740">
        <v>5</v>
      </c>
      <c r="T740" t="s">
        <v>44</v>
      </c>
      <c r="U740" t="s">
        <v>60</v>
      </c>
      <c r="V740" t="s">
        <v>51</v>
      </c>
      <c r="W740" s="2">
        <v>45645</v>
      </c>
      <c r="X740" s="4">
        <f ca="1">TODAY()-DATASET[[#This Row],[Time_of_Purchase]]</f>
        <v>489</v>
      </c>
      <c r="Y740" t="b">
        <v>1</v>
      </c>
      <c r="Z740" t="b">
        <v>0</v>
      </c>
      <c r="AA740" t="s">
        <v>62</v>
      </c>
      <c r="AB740" t="s">
        <v>67</v>
      </c>
      <c r="AC740">
        <v>9</v>
      </c>
    </row>
    <row r="741" spans="1:29" x14ac:dyDescent="0.25">
      <c r="A741" t="s">
        <v>1552</v>
      </c>
      <c r="B741">
        <v>18</v>
      </c>
      <c r="C741" t="s">
        <v>43</v>
      </c>
      <c r="D741" t="s">
        <v>30</v>
      </c>
      <c r="E741" t="s">
        <v>31</v>
      </c>
      <c r="F741" t="s">
        <v>56</v>
      </c>
      <c r="G741" t="s">
        <v>44</v>
      </c>
      <c r="H741" t="s">
        <v>1553</v>
      </c>
      <c r="I741" t="s">
        <v>65</v>
      </c>
      <c r="J741" s="1">
        <v>415.3</v>
      </c>
      <c r="K741">
        <v>11</v>
      </c>
      <c r="L741" t="s">
        <v>48</v>
      </c>
      <c r="M741">
        <v>4</v>
      </c>
      <c r="N741">
        <v>2</v>
      </c>
      <c r="O741">
        <v>1</v>
      </c>
      <c r="P741" t="s">
        <v>59</v>
      </c>
      <c r="Q741" t="s">
        <v>85</v>
      </c>
      <c r="R741">
        <v>1</v>
      </c>
      <c r="S741">
        <v>9</v>
      </c>
      <c r="T741" t="s">
        <v>36</v>
      </c>
      <c r="U741" t="s">
        <v>38</v>
      </c>
      <c r="V741" t="s">
        <v>51</v>
      </c>
      <c r="W741" s="2">
        <v>45560</v>
      </c>
      <c r="X741" s="4">
        <f ca="1">TODAY()-DATASET[[#This Row],[Time_of_Purchase]]</f>
        <v>574</v>
      </c>
      <c r="Y741" t="b">
        <v>0</v>
      </c>
      <c r="Z741" t="b">
        <v>1</v>
      </c>
      <c r="AA741" t="s">
        <v>62</v>
      </c>
      <c r="AB741" t="s">
        <v>53</v>
      </c>
      <c r="AC741">
        <v>2</v>
      </c>
    </row>
    <row r="742" spans="1:29" x14ac:dyDescent="0.25">
      <c r="A742" t="s">
        <v>1554</v>
      </c>
      <c r="B742">
        <v>36</v>
      </c>
      <c r="C742" t="s">
        <v>43</v>
      </c>
      <c r="D742" t="s">
        <v>44</v>
      </c>
      <c r="E742" t="s">
        <v>31</v>
      </c>
      <c r="F742" t="s">
        <v>56</v>
      </c>
      <c r="G742" t="s">
        <v>30</v>
      </c>
      <c r="H742" t="s">
        <v>1555</v>
      </c>
      <c r="I742" t="s">
        <v>117</v>
      </c>
      <c r="J742" s="1">
        <v>85.52</v>
      </c>
      <c r="K742">
        <v>7</v>
      </c>
      <c r="L742" t="s">
        <v>35</v>
      </c>
      <c r="M742">
        <v>1</v>
      </c>
      <c r="N742">
        <v>5</v>
      </c>
      <c r="O742">
        <v>0</v>
      </c>
      <c r="P742" t="s">
        <v>49</v>
      </c>
      <c r="Q742" t="s">
        <v>37</v>
      </c>
      <c r="R742">
        <v>1</v>
      </c>
      <c r="S742">
        <v>3</v>
      </c>
      <c r="T742" t="s">
        <v>59</v>
      </c>
      <c r="U742" t="s">
        <v>60</v>
      </c>
      <c r="V742" t="s">
        <v>66</v>
      </c>
      <c r="W742" s="2">
        <v>45596</v>
      </c>
      <c r="X742" s="4">
        <f ca="1">TODAY()-DATASET[[#This Row],[Time_of_Purchase]]</f>
        <v>538</v>
      </c>
      <c r="Y742" t="b">
        <v>0</v>
      </c>
      <c r="Z742" t="b">
        <v>1</v>
      </c>
      <c r="AA742" t="s">
        <v>74</v>
      </c>
      <c r="AB742" t="s">
        <v>41</v>
      </c>
      <c r="AC742">
        <v>7</v>
      </c>
    </row>
    <row r="743" spans="1:29" x14ac:dyDescent="0.25">
      <c r="A743" t="s">
        <v>1556</v>
      </c>
      <c r="B743">
        <v>44</v>
      </c>
      <c r="C743" t="s">
        <v>29</v>
      </c>
      <c r="D743" t="s">
        <v>30</v>
      </c>
      <c r="E743" t="s">
        <v>69</v>
      </c>
      <c r="F743" t="s">
        <v>45</v>
      </c>
      <c r="G743" t="s">
        <v>44</v>
      </c>
      <c r="H743" t="s">
        <v>1557</v>
      </c>
      <c r="I743" t="s">
        <v>114</v>
      </c>
      <c r="J743" s="1">
        <v>422.31</v>
      </c>
      <c r="K743">
        <v>2</v>
      </c>
      <c r="L743" t="s">
        <v>48</v>
      </c>
      <c r="M743">
        <v>3</v>
      </c>
      <c r="N743">
        <v>4</v>
      </c>
      <c r="O743">
        <v>1</v>
      </c>
      <c r="P743" t="s">
        <v>49</v>
      </c>
      <c r="Q743" t="s">
        <v>85</v>
      </c>
      <c r="R743">
        <v>0</v>
      </c>
      <c r="S743">
        <v>6</v>
      </c>
      <c r="T743" t="s">
        <v>36</v>
      </c>
      <c r="U743" t="s">
        <v>60</v>
      </c>
      <c r="V743" t="s">
        <v>66</v>
      </c>
      <c r="W743" s="2">
        <v>45513</v>
      </c>
      <c r="X743" s="4">
        <f ca="1">TODAY()-DATASET[[#This Row],[Time_of_Purchase]]</f>
        <v>621</v>
      </c>
      <c r="Y743" t="b">
        <v>1</v>
      </c>
      <c r="Z743" t="b">
        <v>1</v>
      </c>
      <c r="AA743" t="s">
        <v>62</v>
      </c>
      <c r="AB743" t="s">
        <v>41</v>
      </c>
      <c r="AC743">
        <v>3</v>
      </c>
    </row>
    <row r="744" spans="1:29" x14ac:dyDescent="0.25">
      <c r="A744" t="s">
        <v>1558</v>
      </c>
      <c r="B744">
        <v>48</v>
      </c>
      <c r="C744" t="s">
        <v>88</v>
      </c>
      <c r="D744" t="s">
        <v>44</v>
      </c>
      <c r="E744" t="s">
        <v>31</v>
      </c>
      <c r="F744" t="s">
        <v>45</v>
      </c>
      <c r="G744" t="s">
        <v>44</v>
      </c>
      <c r="H744" t="s">
        <v>1559</v>
      </c>
      <c r="I744" t="s">
        <v>135</v>
      </c>
      <c r="J744" s="1">
        <v>70.42</v>
      </c>
      <c r="K744">
        <v>11</v>
      </c>
      <c r="L744" t="s">
        <v>78</v>
      </c>
      <c r="M744">
        <v>4</v>
      </c>
      <c r="N744">
        <v>5</v>
      </c>
      <c r="O744">
        <v>1</v>
      </c>
      <c r="P744" t="s">
        <v>44</v>
      </c>
      <c r="Q744" t="s">
        <v>50</v>
      </c>
      <c r="R744">
        <v>2</v>
      </c>
      <c r="S744">
        <v>7</v>
      </c>
      <c r="T744" t="s">
        <v>59</v>
      </c>
      <c r="U744" t="s">
        <v>79</v>
      </c>
      <c r="V744" t="s">
        <v>66</v>
      </c>
      <c r="W744" s="2">
        <v>45566</v>
      </c>
      <c r="X744" s="4">
        <f ca="1">TODAY()-DATASET[[#This Row],[Time_of_Purchase]]</f>
        <v>568</v>
      </c>
      <c r="Y744" t="b">
        <v>0</v>
      </c>
      <c r="Z744" t="b">
        <v>1</v>
      </c>
      <c r="AA744" t="s">
        <v>40</v>
      </c>
      <c r="AB744" t="s">
        <v>67</v>
      </c>
      <c r="AC744">
        <v>14</v>
      </c>
    </row>
    <row r="745" spans="1:29" x14ac:dyDescent="0.25">
      <c r="A745" t="s">
        <v>1560</v>
      </c>
      <c r="B745">
        <v>23</v>
      </c>
      <c r="C745" t="s">
        <v>29</v>
      </c>
      <c r="D745" t="s">
        <v>30</v>
      </c>
      <c r="E745" t="s">
        <v>69</v>
      </c>
      <c r="F745" t="s">
        <v>56</v>
      </c>
      <c r="G745" t="s">
        <v>30</v>
      </c>
      <c r="H745" t="s">
        <v>1561</v>
      </c>
      <c r="I745" t="s">
        <v>126</v>
      </c>
      <c r="J745" s="1">
        <v>437.4</v>
      </c>
      <c r="K745">
        <v>6</v>
      </c>
      <c r="L745" t="s">
        <v>35</v>
      </c>
      <c r="M745">
        <v>1</v>
      </c>
      <c r="N745">
        <v>4</v>
      </c>
      <c r="O745">
        <v>1</v>
      </c>
      <c r="P745" t="s">
        <v>44</v>
      </c>
      <c r="Q745" t="s">
        <v>37</v>
      </c>
      <c r="R745">
        <v>2</v>
      </c>
      <c r="S745">
        <v>5</v>
      </c>
      <c r="T745" t="s">
        <v>59</v>
      </c>
      <c r="U745" t="s">
        <v>38</v>
      </c>
      <c r="V745" t="s">
        <v>39</v>
      </c>
      <c r="W745" s="2">
        <v>45459</v>
      </c>
      <c r="X745" s="4">
        <f ca="1">TODAY()-DATASET[[#This Row],[Time_of_Purchase]]</f>
        <v>675</v>
      </c>
      <c r="Y745" t="b">
        <v>0</v>
      </c>
      <c r="Z745" t="b">
        <v>0</v>
      </c>
      <c r="AA745" t="s">
        <v>74</v>
      </c>
      <c r="AB745" t="s">
        <v>67</v>
      </c>
      <c r="AC745">
        <v>1</v>
      </c>
    </row>
    <row r="746" spans="1:29" x14ac:dyDescent="0.25">
      <c r="A746" t="s">
        <v>1562</v>
      </c>
      <c r="B746">
        <v>35</v>
      </c>
      <c r="C746" t="s">
        <v>43</v>
      </c>
      <c r="D746" t="s">
        <v>30</v>
      </c>
      <c r="E746" t="s">
        <v>76</v>
      </c>
      <c r="F746" t="s">
        <v>32</v>
      </c>
      <c r="G746" t="s">
        <v>30</v>
      </c>
      <c r="H746" t="s">
        <v>1563</v>
      </c>
      <c r="I746" t="s">
        <v>246</v>
      </c>
      <c r="J746" s="1">
        <v>207.11</v>
      </c>
      <c r="K746">
        <v>4</v>
      </c>
      <c r="L746" t="s">
        <v>35</v>
      </c>
      <c r="M746">
        <v>1</v>
      </c>
      <c r="N746">
        <v>4</v>
      </c>
      <c r="O746">
        <v>2</v>
      </c>
      <c r="P746" t="s">
        <v>44</v>
      </c>
      <c r="Q746" t="s">
        <v>50</v>
      </c>
      <c r="R746">
        <v>0</v>
      </c>
      <c r="S746">
        <v>1</v>
      </c>
      <c r="T746" t="s">
        <v>59</v>
      </c>
      <c r="U746" t="s">
        <v>38</v>
      </c>
      <c r="V746" t="s">
        <v>66</v>
      </c>
      <c r="W746" s="2">
        <v>45379</v>
      </c>
      <c r="X746" s="4">
        <f ca="1">TODAY()-DATASET[[#This Row],[Time_of_Purchase]]</f>
        <v>755</v>
      </c>
      <c r="Y746" t="b">
        <v>1</v>
      </c>
      <c r="Z746" t="b">
        <v>0</v>
      </c>
      <c r="AA746" t="s">
        <v>40</v>
      </c>
      <c r="AB746" t="s">
        <v>41</v>
      </c>
      <c r="AC746">
        <v>2</v>
      </c>
    </row>
    <row r="747" spans="1:29" x14ac:dyDescent="0.25">
      <c r="A747" t="s">
        <v>1564</v>
      </c>
      <c r="B747">
        <v>50</v>
      </c>
      <c r="C747" t="s">
        <v>29</v>
      </c>
      <c r="D747" t="s">
        <v>44</v>
      </c>
      <c r="E747" t="s">
        <v>69</v>
      </c>
      <c r="F747" t="s">
        <v>32</v>
      </c>
      <c r="G747" t="s">
        <v>30</v>
      </c>
      <c r="H747" t="s">
        <v>1565</v>
      </c>
      <c r="I747" t="s">
        <v>101</v>
      </c>
      <c r="J747" s="1">
        <v>378.87</v>
      </c>
      <c r="K747">
        <v>2</v>
      </c>
      <c r="L747" t="s">
        <v>78</v>
      </c>
      <c r="M747">
        <v>5</v>
      </c>
      <c r="N747">
        <v>2</v>
      </c>
      <c r="O747">
        <v>2</v>
      </c>
      <c r="P747" t="s">
        <v>36</v>
      </c>
      <c r="Q747" t="s">
        <v>85</v>
      </c>
      <c r="R747">
        <v>2</v>
      </c>
      <c r="S747">
        <v>2</v>
      </c>
      <c r="T747" t="s">
        <v>49</v>
      </c>
      <c r="U747" t="s">
        <v>79</v>
      </c>
      <c r="V747" t="s">
        <v>61</v>
      </c>
      <c r="W747" s="2">
        <v>45459</v>
      </c>
      <c r="X747" s="4">
        <f ca="1">TODAY()-DATASET[[#This Row],[Time_of_Purchase]]</f>
        <v>675</v>
      </c>
      <c r="Y747" t="b">
        <v>1</v>
      </c>
      <c r="Z747" t="b">
        <v>0</v>
      </c>
      <c r="AA747" t="s">
        <v>74</v>
      </c>
      <c r="AB747" t="s">
        <v>41</v>
      </c>
      <c r="AC747">
        <v>9</v>
      </c>
    </row>
    <row r="748" spans="1:29" x14ac:dyDescent="0.25">
      <c r="A748" t="s">
        <v>1566</v>
      </c>
      <c r="B748">
        <v>30</v>
      </c>
      <c r="C748" t="s">
        <v>29</v>
      </c>
      <c r="D748" t="s">
        <v>44</v>
      </c>
      <c r="E748" t="s">
        <v>76</v>
      </c>
      <c r="F748" t="s">
        <v>45</v>
      </c>
      <c r="G748" t="s">
        <v>44</v>
      </c>
      <c r="H748" t="s">
        <v>1567</v>
      </c>
      <c r="I748" t="s">
        <v>123</v>
      </c>
      <c r="J748" s="1">
        <v>349</v>
      </c>
      <c r="K748">
        <v>10</v>
      </c>
      <c r="L748" t="s">
        <v>35</v>
      </c>
      <c r="M748">
        <v>3</v>
      </c>
      <c r="N748">
        <v>5</v>
      </c>
      <c r="O748">
        <v>1</v>
      </c>
      <c r="P748" t="s">
        <v>59</v>
      </c>
      <c r="Q748" t="s">
        <v>50</v>
      </c>
      <c r="R748">
        <v>1</v>
      </c>
      <c r="S748">
        <v>5</v>
      </c>
      <c r="T748" t="s">
        <v>59</v>
      </c>
      <c r="U748" t="s">
        <v>79</v>
      </c>
      <c r="V748" t="s">
        <v>51</v>
      </c>
      <c r="W748" s="2">
        <v>45306</v>
      </c>
      <c r="X748" s="4">
        <f ca="1">TODAY()-DATASET[[#This Row],[Time_of_Purchase]]</f>
        <v>828</v>
      </c>
      <c r="Y748" t="b">
        <v>0</v>
      </c>
      <c r="Z748" t="b">
        <v>1</v>
      </c>
      <c r="AA748" t="s">
        <v>74</v>
      </c>
      <c r="AB748" t="s">
        <v>41</v>
      </c>
      <c r="AC748">
        <v>10</v>
      </c>
    </row>
    <row r="749" spans="1:29" x14ac:dyDescent="0.25">
      <c r="A749" t="s">
        <v>1568</v>
      </c>
      <c r="B749">
        <v>38</v>
      </c>
      <c r="C749" t="s">
        <v>43</v>
      </c>
      <c r="D749" t="s">
        <v>30</v>
      </c>
      <c r="E749" t="s">
        <v>31</v>
      </c>
      <c r="F749" t="s">
        <v>32</v>
      </c>
      <c r="G749" t="s">
        <v>30</v>
      </c>
      <c r="H749" t="s">
        <v>1569</v>
      </c>
      <c r="I749" t="s">
        <v>107</v>
      </c>
      <c r="J749" s="1">
        <v>330.27</v>
      </c>
      <c r="K749">
        <v>3</v>
      </c>
      <c r="L749" t="s">
        <v>48</v>
      </c>
      <c r="M749">
        <v>3</v>
      </c>
      <c r="N749">
        <v>2</v>
      </c>
      <c r="O749">
        <v>1</v>
      </c>
      <c r="P749" t="s">
        <v>44</v>
      </c>
      <c r="Q749" t="s">
        <v>50</v>
      </c>
      <c r="R749">
        <v>1</v>
      </c>
      <c r="S749">
        <v>9</v>
      </c>
      <c r="T749" t="s">
        <v>44</v>
      </c>
      <c r="U749" t="s">
        <v>60</v>
      </c>
      <c r="V749" t="s">
        <v>66</v>
      </c>
      <c r="W749" s="2">
        <v>45332</v>
      </c>
      <c r="X749" s="4">
        <f ca="1">TODAY()-DATASET[[#This Row],[Time_of_Purchase]]</f>
        <v>802</v>
      </c>
      <c r="Y749" t="b">
        <v>1</v>
      </c>
      <c r="Z749" t="b">
        <v>0</v>
      </c>
      <c r="AA749" t="s">
        <v>62</v>
      </c>
      <c r="AB749" t="s">
        <v>41</v>
      </c>
      <c r="AC749">
        <v>9</v>
      </c>
    </row>
    <row r="750" spans="1:29" x14ac:dyDescent="0.25">
      <c r="A750" t="s">
        <v>1570</v>
      </c>
      <c r="B750">
        <v>42</v>
      </c>
      <c r="C750" t="s">
        <v>43</v>
      </c>
      <c r="D750" t="s">
        <v>30</v>
      </c>
      <c r="E750" t="s">
        <v>31</v>
      </c>
      <c r="F750" t="s">
        <v>56</v>
      </c>
      <c r="G750" t="s">
        <v>30</v>
      </c>
      <c r="H750" t="s">
        <v>1571</v>
      </c>
      <c r="I750" t="s">
        <v>142</v>
      </c>
      <c r="J750" s="1">
        <v>410.29</v>
      </c>
      <c r="K750">
        <v>10</v>
      </c>
      <c r="L750" t="s">
        <v>78</v>
      </c>
      <c r="M750">
        <v>2</v>
      </c>
      <c r="N750">
        <v>4</v>
      </c>
      <c r="O750">
        <v>1</v>
      </c>
      <c r="P750" t="s">
        <v>59</v>
      </c>
      <c r="Q750" t="s">
        <v>50</v>
      </c>
      <c r="R750">
        <v>2</v>
      </c>
      <c r="S750">
        <v>4</v>
      </c>
      <c r="T750" t="s">
        <v>44</v>
      </c>
      <c r="U750" t="s">
        <v>60</v>
      </c>
      <c r="V750" t="s">
        <v>39</v>
      </c>
      <c r="W750" s="2">
        <v>45537</v>
      </c>
      <c r="X750" s="4">
        <f ca="1">TODAY()-DATASET[[#This Row],[Time_of_Purchase]]</f>
        <v>597</v>
      </c>
      <c r="Y750" t="b">
        <v>1</v>
      </c>
      <c r="Z750" t="b">
        <v>0</v>
      </c>
      <c r="AA750" t="s">
        <v>74</v>
      </c>
      <c r="AB750" t="s">
        <v>67</v>
      </c>
      <c r="AC750">
        <v>1</v>
      </c>
    </row>
    <row r="751" spans="1:29" x14ac:dyDescent="0.25">
      <c r="A751" t="s">
        <v>1572</v>
      </c>
      <c r="B751">
        <v>24</v>
      </c>
      <c r="C751" t="s">
        <v>29</v>
      </c>
      <c r="D751" t="s">
        <v>44</v>
      </c>
      <c r="E751" t="s">
        <v>76</v>
      </c>
      <c r="F751" t="s">
        <v>56</v>
      </c>
      <c r="G751" t="s">
        <v>30</v>
      </c>
      <c r="H751" t="s">
        <v>1573</v>
      </c>
      <c r="I751" t="s">
        <v>107</v>
      </c>
      <c r="J751" s="1">
        <v>400.86</v>
      </c>
      <c r="K751">
        <v>7</v>
      </c>
      <c r="L751" t="s">
        <v>78</v>
      </c>
      <c r="M751">
        <v>3</v>
      </c>
      <c r="N751">
        <v>3</v>
      </c>
      <c r="O751">
        <v>1</v>
      </c>
      <c r="P751" t="s">
        <v>44</v>
      </c>
      <c r="Q751" t="s">
        <v>85</v>
      </c>
      <c r="R751">
        <v>1</v>
      </c>
      <c r="S751">
        <v>7</v>
      </c>
      <c r="T751" t="s">
        <v>59</v>
      </c>
      <c r="U751" t="s">
        <v>60</v>
      </c>
      <c r="V751" t="s">
        <v>39</v>
      </c>
      <c r="W751" s="2">
        <v>45547</v>
      </c>
      <c r="X751" s="4">
        <f ca="1">TODAY()-DATASET[[#This Row],[Time_of_Purchase]]</f>
        <v>587</v>
      </c>
      <c r="Y751" t="b">
        <v>1</v>
      </c>
      <c r="Z751" t="b">
        <v>0</v>
      </c>
      <c r="AA751" t="s">
        <v>74</v>
      </c>
      <c r="AB751" t="s">
        <v>41</v>
      </c>
      <c r="AC751">
        <v>5</v>
      </c>
    </row>
    <row r="752" spans="1:29" x14ac:dyDescent="0.25">
      <c r="A752" t="s">
        <v>1574</v>
      </c>
      <c r="B752">
        <v>27</v>
      </c>
      <c r="C752" t="s">
        <v>29</v>
      </c>
      <c r="D752" t="s">
        <v>44</v>
      </c>
      <c r="E752" t="s">
        <v>31</v>
      </c>
      <c r="F752" t="s">
        <v>56</v>
      </c>
      <c r="G752" t="s">
        <v>30</v>
      </c>
      <c r="H752" t="s">
        <v>1575</v>
      </c>
      <c r="I752" t="s">
        <v>188</v>
      </c>
      <c r="J752" s="1">
        <v>225.12</v>
      </c>
      <c r="K752">
        <v>11</v>
      </c>
      <c r="L752" t="s">
        <v>48</v>
      </c>
      <c r="M752">
        <v>3</v>
      </c>
      <c r="N752">
        <v>2</v>
      </c>
      <c r="O752">
        <v>1</v>
      </c>
      <c r="P752" t="s">
        <v>49</v>
      </c>
      <c r="Q752" t="s">
        <v>37</v>
      </c>
      <c r="R752">
        <v>0</v>
      </c>
      <c r="S752">
        <v>1</v>
      </c>
      <c r="T752" t="s">
        <v>36</v>
      </c>
      <c r="U752" t="s">
        <v>79</v>
      </c>
      <c r="V752" t="s">
        <v>86</v>
      </c>
      <c r="W752" s="2">
        <v>45535</v>
      </c>
      <c r="X752" s="4">
        <f ca="1">TODAY()-DATASET[[#This Row],[Time_of_Purchase]]</f>
        <v>599</v>
      </c>
      <c r="Y752" t="b">
        <v>1</v>
      </c>
      <c r="Z752" t="b">
        <v>0</v>
      </c>
      <c r="AA752" t="s">
        <v>74</v>
      </c>
      <c r="AB752" t="s">
        <v>67</v>
      </c>
      <c r="AC752">
        <v>6</v>
      </c>
    </row>
    <row r="753" spans="1:29" x14ac:dyDescent="0.25">
      <c r="A753" t="s">
        <v>1576</v>
      </c>
      <c r="B753">
        <v>36</v>
      </c>
      <c r="C753" t="s">
        <v>29</v>
      </c>
      <c r="D753" t="s">
        <v>44</v>
      </c>
      <c r="E753" t="s">
        <v>69</v>
      </c>
      <c r="F753" t="s">
        <v>56</v>
      </c>
      <c r="G753" t="s">
        <v>44</v>
      </c>
      <c r="H753" t="s">
        <v>1577</v>
      </c>
      <c r="I753" t="s">
        <v>188</v>
      </c>
      <c r="J753" s="1">
        <v>273.48</v>
      </c>
      <c r="K753">
        <v>12</v>
      </c>
      <c r="L753" t="s">
        <v>78</v>
      </c>
      <c r="M753">
        <v>5</v>
      </c>
      <c r="N753">
        <v>3</v>
      </c>
      <c r="O753">
        <v>2</v>
      </c>
      <c r="P753" t="s">
        <v>59</v>
      </c>
      <c r="Q753" t="s">
        <v>85</v>
      </c>
      <c r="R753">
        <v>0</v>
      </c>
      <c r="S753">
        <v>5</v>
      </c>
      <c r="T753" t="s">
        <v>49</v>
      </c>
      <c r="U753" t="s">
        <v>60</v>
      </c>
      <c r="V753" t="s">
        <v>66</v>
      </c>
      <c r="W753" s="2">
        <v>45313</v>
      </c>
      <c r="X753" s="4">
        <f ca="1">TODAY()-DATASET[[#This Row],[Time_of_Purchase]]</f>
        <v>821</v>
      </c>
      <c r="Y753" t="b">
        <v>1</v>
      </c>
      <c r="Z753" t="b">
        <v>0</v>
      </c>
      <c r="AA753" t="s">
        <v>52</v>
      </c>
      <c r="AB753" t="s">
        <v>67</v>
      </c>
      <c r="AC753">
        <v>5</v>
      </c>
    </row>
    <row r="754" spans="1:29" x14ac:dyDescent="0.25">
      <c r="A754" t="s">
        <v>1578</v>
      </c>
      <c r="B754">
        <v>19</v>
      </c>
      <c r="C754" t="s">
        <v>88</v>
      </c>
      <c r="D754" t="s">
        <v>44</v>
      </c>
      <c r="E754" t="s">
        <v>55</v>
      </c>
      <c r="F754" t="s">
        <v>56</v>
      </c>
      <c r="G754" t="s">
        <v>30</v>
      </c>
      <c r="H754" t="s">
        <v>1579</v>
      </c>
      <c r="I754" t="s">
        <v>71</v>
      </c>
      <c r="J754" s="1">
        <v>363.84</v>
      </c>
      <c r="K754">
        <v>11</v>
      </c>
      <c r="L754" t="s">
        <v>78</v>
      </c>
      <c r="M754">
        <v>3</v>
      </c>
      <c r="N754">
        <v>2</v>
      </c>
      <c r="O754">
        <v>1</v>
      </c>
      <c r="P754" t="s">
        <v>59</v>
      </c>
      <c r="Q754" t="s">
        <v>50</v>
      </c>
      <c r="R754">
        <v>0</v>
      </c>
      <c r="S754">
        <v>3</v>
      </c>
      <c r="T754" t="s">
        <v>49</v>
      </c>
      <c r="U754" t="s">
        <v>79</v>
      </c>
      <c r="V754" t="s">
        <v>86</v>
      </c>
      <c r="W754" s="2">
        <v>45534</v>
      </c>
      <c r="X754" s="4">
        <f ca="1">TODAY()-DATASET[[#This Row],[Time_of_Purchase]]</f>
        <v>600</v>
      </c>
      <c r="Y754" t="b">
        <v>1</v>
      </c>
      <c r="Z754" t="b">
        <v>0</v>
      </c>
      <c r="AA754" t="s">
        <v>62</v>
      </c>
      <c r="AB754" t="s">
        <v>67</v>
      </c>
      <c r="AC754">
        <v>5</v>
      </c>
    </row>
    <row r="755" spans="1:29" x14ac:dyDescent="0.25">
      <c r="A755" t="s">
        <v>1580</v>
      </c>
      <c r="B755">
        <v>24</v>
      </c>
      <c r="C755" t="s">
        <v>29</v>
      </c>
      <c r="D755" t="s">
        <v>44</v>
      </c>
      <c r="E755" t="s">
        <v>55</v>
      </c>
      <c r="F755" t="s">
        <v>32</v>
      </c>
      <c r="G755" t="s">
        <v>30</v>
      </c>
      <c r="H755" t="s">
        <v>1581</v>
      </c>
      <c r="I755" t="s">
        <v>114</v>
      </c>
      <c r="J755" s="1">
        <v>302.60000000000002</v>
      </c>
      <c r="K755">
        <v>9</v>
      </c>
      <c r="L755" t="s">
        <v>78</v>
      </c>
      <c r="M755">
        <v>1</v>
      </c>
      <c r="N755">
        <v>4</v>
      </c>
      <c r="O755">
        <v>2</v>
      </c>
      <c r="P755" t="s">
        <v>49</v>
      </c>
      <c r="Q755" t="s">
        <v>85</v>
      </c>
      <c r="R755">
        <v>2</v>
      </c>
      <c r="S755">
        <v>10</v>
      </c>
      <c r="T755" t="s">
        <v>36</v>
      </c>
      <c r="U755" t="s">
        <v>79</v>
      </c>
      <c r="V755" t="s">
        <v>61</v>
      </c>
      <c r="W755" s="2">
        <v>45496</v>
      </c>
      <c r="X755" s="4">
        <f ca="1">TODAY()-DATASET[[#This Row],[Time_of_Purchase]]</f>
        <v>638</v>
      </c>
      <c r="Y755" t="b">
        <v>0</v>
      </c>
      <c r="Z755" t="b">
        <v>1</v>
      </c>
      <c r="AA755" t="s">
        <v>62</v>
      </c>
      <c r="AB755" t="s">
        <v>53</v>
      </c>
      <c r="AC755">
        <v>2</v>
      </c>
    </row>
    <row r="756" spans="1:29" x14ac:dyDescent="0.25">
      <c r="A756" t="s">
        <v>1582</v>
      </c>
      <c r="B756">
        <v>35</v>
      </c>
      <c r="C756" t="s">
        <v>43</v>
      </c>
      <c r="D756" t="s">
        <v>44</v>
      </c>
      <c r="E756" t="s">
        <v>76</v>
      </c>
      <c r="F756" t="s">
        <v>45</v>
      </c>
      <c r="G756" t="s">
        <v>44</v>
      </c>
      <c r="H756" t="s">
        <v>1583</v>
      </c>
      <c r="I756" t="s">
        <v>101</v>
      </c>
      <c r="J756" s="1">
        <v>317.08999999999997</v>
      </c>
      <c r="K756">
        <v>6</v>
      </c>
      <c r="L756" t="s">
        <v>78</v>
      </c>
      <c r="M756">
        <v>1</v>
      </c>
      <c r="N756">
        <v>1</v>
      </c>
      <c r="O756">
        <v>1</v>
      </c>
      <c r="P756" t="s">
        <v>44</v>
      </c>
      <c r="Q756" t="s">
        <v>50</v>
      </c>
      <c r="R756">
        <v>2</v>
      </c>
      <c r="S756">
        <v>2</v>
      </c>
      <c r="T756" t="s">
        <v>44</v>
      </c>
      <c r="U756" t="s">
        <v>79</v>
      </c>
      <c r="V756" t="s">
        <v>66</v>
      </c>
      <c r="W756" s="2">
        <v>45393</v>
      </c>
      <c r="X756" s="4">
        <f ca="1">TODAY()-DATASET[[#This Row],[Time_of_Purchase]]</f>
        <v>741</v>
      </c>
      <c r="Y756" t="b">
        <v>1</v>
      </c>
      <c r="Z756" t="b">
        <v>0</v>
      </c>
      <c r="AA756" t="s">
        <v>62</v>
      </c>
      <c r="AB756" t="s">
        <v>53</v>
      </c>
      <c r="AC756">
        <v>4</v>
      </c>
    </row>
    <row r="757" spans="1:29" x14ac:dyDescent="0.25">
      <c r="A757" t="s">
        <v>1584</v>
      </c>
      <c r="B757">
        <v>38</v>
      </c>
      <c r="C757" t="s">
        <v>29</v>
      </c>
      <c r="D757" t="s">
        <v>44</v>
      </c>
      <c r="E757" t="s">
        <v>31</v>
      </c>
      <c r="F757" t="s">
        <v>45</v>
      </c>
      <c r="G757" t="s">
        <v>44</v>
      </c>
      <c r="H757" t="s">
        <v>1585</v>
      </c>
      <c r="I757" t="s">
        <v>188</v>
      </c>
      <c r="J757" s="1">
        <v>193.32</v>
      </c>
      <c r="K757">
        <v>9</v>
      </c>
      <c r="L757" t="s">
        <v>35</v>
      </c>
      <c r="M757">
        <v>4</v>
      </c>
      <c r="N757">
        <v>3</v>
      </c>
      <c r="O757">
        <v>0</v>
      </c>
      <c r="P757" t="s">
        <v>36</v>
      </c>
      <c r="Q757" t="s">
        <v>85</v>
      </c>
      <c r="R757">
        <v>0</v>
      </c>
      <c r="S757">
        <v>8</v>
      </c>
      <c r="T757" t="s">
        <v>44</v>
      </c>
      <c r="U757" t="s">
        <v>38</v>
      </c>
      <c r="V757" t="s">
        <v>51</v>
      </c>
      <c r="W757" s="2">
        <v>45484</v>
      </c>
      <c r="X757" s="4">
        <f ca="1">TODAY()-DATASET[[#This Row],[Time_of_Purchase]]</f>
        <v>650</v>
      </c>
      <c r="Y757" t="b">
        <v>0</v>
      </c>
      <c r="Z757" t="b">
        <v>1</v>
      </c>
      <c r="AA757" t="s">
        <v>52</v>
      </c>
      <c r="AB757" t="s">
        <v>67</v>
      </c>
      <c r="AC757">
        <v>6</v>
      </c>
    </row>
    <row r="758" spans="1:29" x14ac:dyDescent="0.25">
      <c r="A758" t="s">
        <v>1586</v>
      </c>
      <c r="B758">
        <v>34</v>
      </c>
      <c r="C758" t="s">
        <v>43</v>
      </c>
      <c r="D758" t="s">
        <v>44</v>
      </c>
      <c r="E758" t="s">
        <v>69</v>
      </c>
      <c r="F758" t="s">
        <v>45</v>
      </c>
      <c r="G758" t="s">
        <v>44</v>
      </c>
      <c r="H758" t="s">
        <v>1587</v>
      </c>
      <c r="I758" t="s">
        <v>120</v>
      </c>
      <c r="J758" s="1">
        <v>282.24</v>
      </c>
      <c r="K758">
        <v>6</v>
      </c>
      <c r="L758" t="s">
        <v>78</v>
      </c>
      <c r="M758">
        <v>2</v>
      </c>
      <c r="N758">
        <v>3</v>
      </c>
      <c r="O758">
        <v>2</v>
      </c>
      <c r="P758" t="s">
        <v>36</v>
      </c>
      <c r="Q758" t="s">
        <v>50</v>
      </c>
      <c r="R758">
        <v>1</v>
      </c>
      <c r="S758">
        <v>7</v>
      </c>
      <c r="T758" t="s">
        <v>49</v>
      </c>
      <c r="U758" t="s">
        <v>79</v>
      </c>
      <c r="V758" t="s">
        <v>39</v>
      </c>
      <c r="W758" s="2">
        <v>45551</v>
      </c>
      <c r="X758" s="4">
        <f ca="1">TODAY()-DATASET[[#This Row],[Time_of_Purchase]]</f>
        <v>583</v>
      </c>
      <c r="Y758" t="b">
        <v>1</v>
      </c>
      <c r="Z758" t="b">
        <v>1</v>
      </c>
      <c r="AA758" t="s">
        <v>40</v>
      </c>
      <c r="AB758" t="s">
        <v>41</v>
      </c>
      <c r="AC758">
        <v>1</v>
      </c>
    </row>
    <row r="759" spans="1:29" x14ac:dyDescent="0.25">
      <c r="A759" t="s">
        <v>1588</v>
      </c>
      <c r="B759">
        <v>29</v>
      </c>
      <c r="C759" t="s">
        <v>29</v>
      </c>
      <c r="D759" t="s">
        <v>44</v>
      </c>
      <c r="E759" t="s">
        <v>76</v>
      </c>
      <c r="F759" t="s">
        <v>56</v>
      </c>
      <c r="G759" t="s">
        <v>30</v>
      </c>
      <c r="H759" t="s">
        <v>1589</v>
      </c>
      <c r="I759" t="s">
        <v>107</v>
      </c>
      <c r="J759" s="1">
        <v>154.19</v>
      </c>
      <c r="K759">
        <v>6</v>
      </c>
      <c r="L759" t="s">
        <v>78</v>
      </c>
      <c r="M759">
        <v>5</v>
      </c>
      <c r="N759">
        <v>4</v>
      </c>
      <c r="O759">
        <v>1</v>
      </c>
      <c r="P759" t="s">
        <v>49</v>
      </c>
      <c r="Q759" t="s">
        <v>85</v>
      </c>
      <c r="R759">
        <v>2</v>
      </c>
      <c r="S759">
        <v>1</v>
      </c>
      <c r="T759" t="s">
        <v>36</v>
      </c>
      <c r="U759" t="s">
        <v>38</v>
      </c>
      <c r="V759" t="s">
        <v>51</v>
      </c>
      <c r="W759" s="2">
        <v>45557</v>
      </c>
      <c r="X759" s="4">
        <f ca="1">TODAY()-DATASET[[#This Row],[Time_of_Purchase]]</f>
        <v>577</v>
      </c>
      <c r="Y759" t="b">
        <v>1</v>
      </c>
      <c r="Z759" t="b">
        <v>1</v>
      </c>
      <c r="AA759" t="s">
        <v>40</v>
      </c>
      <c r="AB759" t="s">
        <v>41</v>
      </c>
      <c r="AC759">
        <v>1</v>
      </c>
    </row>
    <row r="760" spans="1:29" x14ac:dyDescent="0.25">
      <c r="A760" t="s">
        <v>1590</v>
      </c>
      <c r="B760">
        <v>41</v>
      </c>
      <c r="C760" t="s">
        <v>29</v>
      </c>
      <c r="D760" t="s">
        <v>30</v>
      </c>
      <c r="E760" t="s">
        <v>69</v>
      </c>
      <c r="F760" t="s">
        <v>32</v>
      </c>
      <c r="G760" t="s">
        <v>30</v>
      </c>
      <c r="H760" t="s">
        <v>1591</v>
      </c>
      <c r="I760" t="s">
        <v>71</v>
      </c>
      <c r="J760" s="1">
        <v>84.15</v>
      </c>
      <c r="K760">
        <v>10</v>
      </c>
      <c r="L760" t="s">
        <v>48</v>
      </c>
      <c r="M760">
        <v>1</v>
      </c>
      <c r="N760">
        <v>3</v>
      </c>
      <c r="O760">
        <v>1</v>
      </c>
      <c r="P760" t="s">
        <v>44</v>
      </c>
      <c r="Q760" t="s">
        <v>50</v>
      </c>
      <c r="R760">
        <v>2</v>
      </c>
      <c r="S760">
        <v>1</v>
      </c>
      <c r="T760" t="s">
        <v>44</v>
      </c>
      <c r="U760" t="s">
        <v>79</v>
      </c>
      <c r="V760" t="s">
        <v>51</v>
      </c>
      <c r="W760" s="2">
        <v>45599</v>
      </c>
      <c r="X760" s="4">
        <f ca="1">TODAY()-DATASET[[#This Row],[Time_of_Purchase]]</f>
        <v>535</v>
      </c>
      <c r="Y760" t="b">
        <v>1</v>
      </c>
      <c r="Z760" t="b">
        <v>1</v>
      </c>
      <c r="AA760" t="s">
        <v>62</v>
      </c>
      <c r="AB760" t="s">
        <v>53</v>
      </c>
      <c r="AC760">
        <v>1</v>
      </c>
    </row>
    <row r="761" spans="1:29" x14ac:dyDescent="0.25">
      <c r="A761" t="s">
        <v>1592</v>
      </c>
      <c r="B761">
        <v>41</v>
      </c>
      <c r="C761" t="s">
        <v>43</v>
      </c>
      <c r="D761" t="s">
        <v>30</v>
      </c>
      <c r="E761" t="s">
        <v>76</v>
      </c>
      <c r="F761" t="s">
        <v>45</v>
      </c>
      <c r="G761" t="s">
        <v>44</v>
      </c>
      <c r="H761" t="s">
        <v>1593</v>
      </c>
      <c r="I761" t="s">
        <v>142</v>
      </c>
      <c r="J761" s="1">
        <v>214.69</v>
      </c>
      <c r="K761">
        <v>7</v>
      </c>
      <c r="L761" t="s">
        <v>48</v>
      </c>
      <c r="M761">
        <v>4</v>
      </c>
      <c r="N761">
        <v>4</v>
      </c>
      <c r="O761">
        <v>0</v>
      </c>
      <c r="P761" t="s">
        <v>49</v>
      </c>
      <c r="Q761" t="s">
        <v>50</v>
      </c>
      <c r="R761">
        <v>1</v>
      </c>
      <c r="S761">
        <v>7</v>
      </c>
      <c r="T761" t="s">
        <v>36</v>
      </c>
      <c r="U761" t="s">
        <v>38</v>
      </c>
      <c r="V761" t="s">
        <v>39</v>
      </c>
      <c r="W761" s="2">
        <v>45427</v>
      </c>
      <c r="X761" s="4">
        <f ca="1">TODAY()-DATASET[[#This Row],[Time_of_Purchase]]</f>
        <v>707</v>
      </c>
      <c r="Y761" t="b">
        <v>1</v>
      </c>
      <c r="Z761" t="b">
        <v>1</v>
      </c>
      <c r="AA761" t="s">
        <v>52</v>
      </c>
      <c r="AB761" t="s">
        <v>53</v>
      </c>
      <c r="AC761">
        <v>9</v>
      </c>
    </row>
    <row r="762" spans="1:29" x14ac:dyDescent="0.25">
      <c r="A762" t="s">
        <v>1594</v>
      </c>
      <c r="B762">
        <v>32</v>
      </c>
      <c r="C762" t="s">
        <v>43</v>
      </c>
      <c r="D762" t="s">
        <v>44</v>
      </c>
      <c r="E762" t="s">
        <v>31</v>
      </c>
      <c r="F762" t="s">
        <v>32</v>
      </c>
      <c r="G762" t="s">
        <v>44</v>
      </c>
      <c r="H762" t="s">
        <v>1595</v>
      </c>
      <c r="I762" t="s">
        <v>101</v>
      </c>
      <c r="J762" s="1">
        <v>61.21</v>
      </c>
      <c r="K762">
        <v>12</v>
      </c>
      <c r="L762" t="s">
        <v>35</v>
      </c>
      <c r="M762">
        <v>5</v>
      </c>
      <c r="N762">
        <v>5</v>
      </c>
      <c r="O762">
        <v>0</v>
      </c>
      <c r="P762" t="s">
        <v>36</v>
      </c>
      <c r="Q762" t="s">
        <v>50</v>
      </c>
      <c r="R762">
        <v>0</v>
      </c>
      <c r="S762">
        <v>5</v>
      </c>
      <c r="T762" t="s">
        <v>59</v>
      </c>
      <c r="U762" t="s">
        <v>60</v>
      </c>
      <c r="V762" t="s">
        <v>39</v>
      </c>
      <c r="W762" s="2">
        <v>45620</v>
      </c>
      <c r="X762" s="4">
        <f ca="1">TODAY()-DATASET[[#This Row],[Time_of_Purchase]]</f>
        <v>514</v>
      </c>
      <c r="Y762" t="b">
        <v>1</v>
      </c>
      <c r="Z762" t="b">
        <v>0</v>
      </c>
      <c r="AA762" t="s">
        <v>74</v>
      </c>
      <c r="AB762" t="s">
        <v>53</v>
      </c>
      <c r="AC762">
        <v>13</v>
      </c>
    </row>
    <row r="763" spans="1:29" x14ac:dyDescent="0.25">
      <c r="A763" t="s">
        <v>1596</v>
      </c>
      <c r="B763">
        <v>36</v>
      </c>
      <c r="C763" t="s">
        <v>29</v>
      </c>
      <c r="D763" t="s">
        <v>30</v>
      </c>
      <c r="E763" t="s">
        <v>55</v>
      </c>
      <c r="F763" t="s">
        <v>45</v>
      </c>
      <c r="G763" t="s">
        <v>44</v>
      </c>
      <c r="H763" t="s">
        <v>1597</v>
      </c>
      <c r="I763" t="s">
        <v>114</v>
      </c>
      <c r="J763" s="1">
        <v>462.48</v>
      </c>
      <c r="K763">
        <v>11</v>
      </c>
      <c r="L763" t="s">
        <v>78</v>
      </c>
      <c r="M763">
        <v>1</v>
      </c>
      <c r="N763">
        <v>3</v>
      </c>
      <c r="O763">
        <v>0</v>
      </c>
      <c r="P763" t="s">
        <v>49</v>
      </c>
      <c r="Q763" t="s">
        <v>85</v>
      </c>
      <c r="R763">
        <v>2</v>
      </c>
      <c r="S763">
        <v>2</v>
      </c>
      <c r="T763" t="s">
        <v>59</v>
      </c>
      <c r="U763" t="s">
        <v>60</v>
      </c>
      <c r="V763" t="s">
        <v>61</v>
      </c>
      <c r="W763" s="2">
        <v>45382</v>
      </c>
      <c r="X763" s="4">
        <f ca="1">TODAY()-DATASET[[#This Row],[Time_of_Purchase]]</f>
        <v>752</v>
      </c>
      <c r="Y763" t="b">
        <v>0</v>
      </c>
      <c r="Z763" t="b">
        <v>0</v>
      </c>
      <c r="AA763" t="s">
        <v>74</v>
      </c>
      <c r="AB763" t="s">
        <v>67</v>
      </c>
      <c r="AC763">
        <v>12</v>
      </c>
    </row>
    <row r="764" spans="1:29" x14ac:dyDescent="0.25">
      <c r="A764" t="s">
        <v>1598</v>
      </c>
      <c r="B764">
        <v>33</v>
      </c>
      <c r="C764" t="s">
        <v>43</v>
      </c>
      <c r="D764" t="s">
        <v>30</v>
      </c>
      <c r="E764" t="s">
        <v>31</v>
      </c>
      <c r="F764" t="s">
        <v>32</v>
      </c>
      <c r="G764" t="s">
        <v>44</v>
      </c>
      <c r="H764" t="s">
        <v>1599</v>
      </c>
      <c r="I764" t="s">
        <v>120</v>
      </c>
      <c r="J764" s="1">
        <v>449.18</v>
      </c>
      <c r="K764">
        <v>3</v>
      </c>
      <c r="L764" t="s">
        <v>35</v>
      </c>
      <c r="M764">
        <v>5</v>
      </c>
      <c r="N764">
        <v>3</v>
      </c>
      <c r="O764">
        <v>2</v>
      </c>
      <c r="P764" t="s">
        <v>49</v>
      </c>
      <c r="Q764" t="s">
        <v>37</v>
      </c>
      <c r="R764">
        <v>0</v>
      </c>
      <c r="S764">
        <v>8</v>
      </c>
      <c r="T764" t="s">
        <v>44</v>
      </c>
      <c r="U764" t="s">
        <v>38</v>
      </c>
      <c r="V764" t="s">
        <v>39</v>
      </c>
      <c r="W764" s="2">
        <v>45372</v>
      </c>
      <c r="X764" s="4">
        <f ca="1">TODAY()-DATASET[[#This Row],[Time_of_Purchase]]</f>
        <v>762</v>
      </c>
      <c r="Y764" t="b">
        <v>1</v>
      </c>
      <c r="Z764" t="b">
        <v>1</v>
      </c>
      <c r="AA764" t="s">
        <v>52</v>
      </c>
      <c r="AB764" t="s">
        <v>53</v>
      </c>
      <c r="AC764">
        <v>10</v>
      </c>
    </row>
    <row r="765" spans="1:29" x14ac:dyDescent="0.25">
      <c r="A765" t="s">
        <v>1600</v>
      </c>
      <c r="B765">
        <v>25</v>
      </c>
      <c r="C765" t="s">
        <v>29</v>
      </c>
      <c r="D765" t="s">
        <v>30</v>
      </c>
      <c r="E765" t="s">
        <v>31</v>
      </c>
      <c r="F765" t="s">
        <v>56</v>
      </c>
      <c r="G765" t="s">
        <v>30</v>
      </c>
      <c r="H765" t="s">
        <v>1601</v>
      </c>
      <c r="I765" t="s">
        <v>93</v>
      </c>
      <c r="J765" s="1">
        <v>314.36</v>
      </c>
      <c r="K765">
        <v>7</v>
      </c>
      <c r="L765" t="s">
        <v>48</v>
      </c>
      <c r="M765">
        <v>3</v>
      </c>
      <c r="N765">
        <v>5</v>
      </c>
      <c r="O765">
        <v>2</v>
      </c>
      <c r="P765" t="s">
        <v>49</v>
      </c>
      <c r="Q765" t="s">
        <v>85</v>
      </c>
      <c r="R765">
        <v>1</v>
      </c>
      <c r="S765">
        <v>4</v>
      </c>
      <c r="T765" t="s">
        <v>36</v>
      </c>
      <c r="U765" t="s">
        <v>79</v>
      </c>
      <c r="V765" t="s">
        <v>86</v>
      </c>
      <c r="W765" s="2">
        <v>45476</v>
      </c>
      <c r="X765" s="4">
        <f ca="1">TODAY()-DATASET[[#This Row],[Time_of_Purchase]]</f>
        <v>658</v>
      </c>
      <c r="Y765" t="b">
        <v>1</v>
      </c>
      <c r="Z765" t="b">
        <v>0</v>
      </c>
      <c r="AA765" t="s">
        <v>62</v>
      </c>
      <c r="AB765" t="s">
        <v>67</v>
      </c>
      <c r="AC765">
        <v>1</v>
      </c>
    </row>
    <row r="766" spans="1:29" x14ac:dyDescent="0.25">
      <c r="A766" t="s">
        <v>1602</v>
      </c>
      <c r="B766">
        <v>46</v>
      </c>
      <c r="C766" t="s">
        <v>29</v>
      </c>
      <c r="D766" t="s">
        <v>30</v>
      </c>
      <c r="E766" t="s">
        <v>31</v>
      </c>
      <c r="F766" t="s">
        <v>32</v>
      </c>
      <c r="G766" t="s">
        <v>30</v>
      </c>
      <c r="H766" t="s">
        <v>1603</v>
      </c>
      <c r="I766" t="s">
        <v>246</v>
      </c>
      <c r="J766" s="1">
        <v>367.7</v>
      </c>
      <c r="K766">
        <v>3</v>
      </c>
      <c r="L766" t="s">
        <v>35</v>
      </c>
      <c r="M766">
        <v>3</v>
      </c>
      <c r="N766">
        <v>5</v>
      </c>
      <c r="O766">
        <v>2</v>
      </c>
      <c r="P766" t="s">
        <v>36</v>
      </c>
      <c r="Q766" t="s">
        <v>37</v>
      </c>
      <c r="R766">
        <v>2</v>
      </c>
      <c r="S766">
        <v>3</v>
      </c>
      <c r="T766" t="s">
        <v>44</v>
      </c>
      <c r="U766" t="s">
        <v>79</v>
      </c>
      <c r="V766" t="s">
        <v>39</v>
      </c>
      <c r="W766" s="2">
        <v>45368</v>
      </c>
      <c r="X766" s="4">
        <f ca="1">TODAY()-DATASET[[#This Row],[Time_of_Purchase]]</f>
        <v>766</v>
      </c>
      <c r="Y766" t="b">
        <v>1</v>
      </c>
      <c r="Z766" t="b">
        <v>1</v>
      </c>
      <c r="AA766" t="s">
        <v>40</v>
      </c>
      <c r="AB766" t="s">
        <v>41</v>
      </c>
      <c r="AC766">
        <v>3</v>
      </c>
    </row>
    <row r="767" spans="1:29" x14ac:dyDescent="0.25">
      <c r="A767" t="s">
        <v>1604</v>
      </c>
      <c r="B767">
        <v>41</v>
      </c>
      <c r="C767" t="s">
        <v>29</v>
      </c>
      <c r="D767" t="s">
        <v>44</v>
      </c>
      <c r="E767" t="s">
        <v>55</v>
      </c>
      <c r="F767" t="s">
        <v>45</v>
      </c>
      <c r="G767" t="s">
        <v>30</v>
      </c>
      <c r="H767" t="s">
        <v>1605</v>
      </c>
      <c r="I767" t="s">
        <v>90</v>
      </c>
      <c r="J767" s="1">
        <v>229.97</v>
      </c>
      <c r="K767">
        <v>7</v>
      </c>
      <c r="L767" t="s">
        <v>35</v>
      </c>
      <c r="M767">
        <v>3</v>
      </c>
      <c r="N767">
        <v>4</v>
      </c>
      <c r="O767">
        <v>0</v>
      </c>
      <c r="P767" t="s">
        <v>36</v>
      </c>
      <c r="Q767" t="s">
        <v>85</v>
      </c>
      <c r="R767">
        <v>2</v>
      </c>
      <c r="S767">
        <v>9</v>
      </c>
      <c r="T767" t="s">
        <v>36</v>
      </c>
      <c r="U767" t="s">
        <v>79</v>
      </c>
      <c r="V767" t="s">
        <v>66</v>
      </c>
      <c r="W767" s="2">
        <v>45617</v>
      </c>
      <c r="X767" s="4">
        <f ca="1">TODAY()-DATASET[[#This Row],[Time_of_Purchase]]</f>
        <v>517</v>
      </c>
      <c r="Y767" t="b">
        <v>0</v>
      </c>
      <c r="Z767" t="b">
        <v>1</v>
      </c>
      <c r="AA767" t="s">
        <v>40</v>
      </c>
      <c r="AB767" t="s">
        <v>53</v>
      </c>
      <c r="AC767">
        <v>6</v>
      </c>
    </row>
    <row r="768" spans="1:29" x14ac:dyDescent="0.25">
      <c r="A768" t="s">
        <v>1606</v>
      </c>
      <c r="B768">
        <v>28</v>
      </c>
      <c r="C768" t="s">
        <v>29</v>
      </c>
      <c r="D768" t="s">
        <v>30</v>
      </c>
      <c r="E768" t="s">
        <v>69</v>
      </c>
      <c r="F768" t="s">
        <v>32</v>
      </c>
      <c r="G768" t="s">
        <v>30</v>
      </c>
      <c r="H768" t="s">
        <v>1607</v>
      </c>
      <c r="I768" t="s">
        <v>65</v>
      </c>
      <c r="J768" s="1">
        <v>226.53</v>
      </c>
      <c r="K768">
        <v>3</v>
      </c>
      <c r="L768" t="s">
        <v>78</v>
      </c>
      <c r="M768">
        <v>3</v>
      </c>
      <c r="N768">
        <v>1</v>
      </c>
      <c r="O768">
        <v>1</v>
      </c>
      <c r="P768" t="s">
        <v>44</v>
      </c>
      <c r="Q768" t="s">
        <v>50</v>
      </c>
      <c r="R768">
        <v>1</v>
      </c>
      <c r="S768">
        <v>10</v>
      </c>
      <c r="T768" t="s">
        <v>49</v>
      </c>
      <c r="U768" t="s">
        <v>79</v>
      </c>
      <c r="V768" t="s">
        <v>51</v>
      </c>
      <c r="W768" s="2">
        <v>45506</v>
      </c>
      <c r="X768" s="4">
        <f ca="1">TODAY()-DATASET[[#This Row],[Time_of_Purchase]]</f>
        <v>628</v>
      </c>
      <c r="Y768" t="b">
        <v>1</v>
      </c>
      <c r="Z768" t="b">
        <v>0</v>
      </c>
      <c r="AA768" t="s">
        <v>52</v>
      </c>
      <c r="AB768" t="s">
        <v>41</v>
      </c>
      <c r="AC768">
        <v>13</v>
      </c>
    </row>
    <row r="769" spans="1:29" x14ac:dyDescent="0.25">
      <c r="A769" t="s">
        <v>1608</v>
      </c>
      <c r="B769">
        <v>23</v>
      </c>
      <c r="C769" t="s">
        <v>43</v>
      </c>
      <c r="D769" t="s">
        <v>44</v>
      </c>
      <c r="E769" t="s">
        <v>76</v>
      </c>
      <c r="F769" t="s">
        <v>56</v>
      </c>
      <c r="G769" t="s">
        <v>30</v>
      </c>
      <c r="H769" t="s">
        <v>1609</v>
      </c>
      <c r="I769" t="s">
        <v>120</v>
      </c>
      <c r="J769" s="1">
        <v>218.32</v>
      </c>
      <c r="K769">
        <v>2</v>
      </c>
      <c r="L769" t="s">
        <v>35</v>
      </c>
      <c r="M769">
        <v>5</v>
      </c>
      <c r="N769">
        <v>3</v>
      </c>
      <c r="O769">
        <v>0</v>
      </c>
      <c r="P769" t="s">
        <v>44</v>
      </c>
      <c r="Q769" t="s">
        <v>50</v>
      </c>
      <c r="R769">
        <v>2</v>
      </c>
      <c r="S769">
        <v>7</v>
      </c>
      <c r="T769" t="s">
        <v>59</v>
      </c>
      <c r="U769" t="s">
        <v>79</v>
      </c>
      <c r="V769" t="s">
        <v>51</v>
      </c>
      <c r="W769" s="2">
        <v>45559</v>
      </c>
      <c r="X769" s="4">
        <f ca="1">TODAY()-DATASET[[#This Row],[Time_of_Purchase]]</f>
        <v>575</v>
      </c>
      <c r="Y769" t="b">
        <v>0</v>
      </c>
      <c r="Z769" t="b">
        <v>0</v>
      </c>
      <c r="AA769" t="s">
        <v>40</v>
      </c>
      <c r="AB769" t="s">
        <v>67</v>
      </c>
      <c r="AC769">
        <v>3</v>
      </c>
    </row>
    <row r="770" spans="1:29" x14ac:dyDescent="0.25">
      <c r="A770" t="s">
        <v>1610</v>
      </c>
      <c r="B770">
        <v>48</v>
      </c>
      <c r="C770" t="s">
        <v>29</v>
      </c>
      <c r="D770" t="s">
        <v>44</v>
      </c>
      <c r="E770" t="s">
        <v>69</v>
      </c>
      <c r="F770" t="s">
        <v>45</v>
      </c>
      <c r="G770" t="s">
        <v>44</v>
      </c>
      <c r="H770" t="s">
        <v>1611</v>
      </c>
      <c r="I770" t="s">
        <v>71</v>
      </c>
      <c r="J770" s="1">
        <v>132.66999999999999</v>
      </c>
      <c r="K770">
        <v>7</v>
      </c>
      <c r="L770" t="s">
        <v>48</v>
      </c>
      <c r="M770">
        <v>2</v>
      </c>
      <c r="N770">
        <v>5</v>
      </c>
      <c r="O770">
        <v>1</v>
      </c>
      <c r="P770" t="s">
        <v>59</v>
      </c>
      <c r="Q770" t="s">
        <v>85</v>
      </c>
      <c r="R770">
        <v>2</v>
      </c>
      <c r="S770">
        <v>3</v>
      </c>
      <c r="T770" t="s">
        <v>59</v>
      </c>
      <c r="U770" t="s">
        <v>60</v>
      </c>
      <c r="V770" t="s">
        <v>66</v>
      </c>
      <c r="W770" s="2">
        <v>45644</v>
      </c>
      <c r="X770" s="4">
        <f ca="1">TODAY()-DATASET[[#This Row],[Time_of_Purchase]]</f>
        <v>490</v>
      </c>
      <c r="Y770" t="b">
        <v>1</v>
      </c>
      <c r="Z770" t="b">
        <v>0</v>
      </c>
      <c r="AA770" t="s">
        <v>62</v>
      </c>
      <c r="AB770" t="s">
        <v>67</v>
      </c>
      <c r="AC770">
        <v>1</v>
      </c>
    </row>
    <row r="771" spans="1:29" x14ac:dyDescent="0.25">
      <c r="A771" t="s">
        <v>1612</v>
      </c>
      <c r="B771">
        <v>26</v>
      </c>
      <c r="C771" t="s">
        <v>43</v>
      </c>
      <c r="D771" t="s">
        <v>44</v>
      </c>
      <c r="E771" t="s">
        <v>55</v>
      </c>
      <c r="F771" t="s">
        <v>56</v>
      </c>
      <c r="G771" t="s">
        <v>44</v>
      </c>
      <c r="H771" t="s">
        <v>1613</v>
      </c>
      <c r="I771" t="s">
        <v>135</v>
      </c>
      <c r="J771" s="1">
        <v>416.96</v>
      </c>
      <c r="K771">
        <v>7</v>
      </c>
      <c r="L771" t="s">
        <v>48</v>
      </c>
      <c r="M771">
        <v>5</v>
      </c>
      <c r="N771">
        <v>1</v>
      </c>
      <c r="O771">
        <v>1</v>
      </c>
      <c r="P771" t="s">
        <v>44</v>
      </c>
      <c r="Q771" t="s">
        <v>50</v>
      </c>
      <c r="R771">
        <v>0</v>
      </c>
      <c r="S771">
        <v>1</v>
      </c>
      <c r="T771" t="s">
        <v>44</v>
      </c>
      <c r="U771" t="s">
        <v>38</v>
      </c>
      <c r="V771" t="s">
        <v>66</v>
      </c>
      <c r="W771" s="2">
        <v>45437</v>
      </c>
      <c r="X771" s="4">
        <f ca="1">TODAY()-DATASET[[#This Row],[Time_of_Purchase]]</f>
        <v>697</v>
      </c>
      <c r="Y771" t="b">
        <v>0</v>
      </c>
      <c r="Z771" t="b">
        <v>0</v>
      </c>
      <c r="AA771" t="s">
        <v>74</v>
      </c>
      <c r="AB771" t="s">
        <v>67</v>
      </c>
      <c r="AC771">
        <v>7</v>
      </c>
    </row>
    <row r="772" spans="1:29" x14ac:dyDescent="0.25">
      <c r="A772" t="s">
        <v>1614</v>
      </c>
      <c r="B772">
        <v>39</v>
      </c>
      <c r="C772" t="s">
        <v>29</v>
      </c>
      <c r="D772" t="s">
        <v>44</v>
      </c>
      <c r="E772" t="s">
        <v>31</v>
      </c>
      <c r="F772" t="s">
        <v>56</v>
      </c>
      <c r="G772" t="s">
        <v>30</v>
      </c>
      <c r="H772" t="s">
        <v>1615</v>
      </c>
      <c r="I772" t="s">
        <v>135</v>
      </c>
      <c r="J772" s="1">
        <v>459.51</v>
      </c>
      <c r="K772">
        <v>7</v>
      </c>
      <c r="L772" t="s">
        <v>48</v>
      </c>
      <c r="M772">
        <v>1</v>
      </c>
      <c r="N772">
        <v>2</v>
      </c>
      <c r="O772">
        <v>2</v>
      </c>
      <c r="P772" t="s">
        <v>44</v>
      </c>
      <c r="Q772" t="s">
        <v>50</v>
      </c>
      <c r="R772">
        <v>0</v>
      </c>
      <c r="S772">
        <v>5</v>
      </c>
      <c r="T772" t="s">
        <v>49</v>
      </c>
      <c r="U772" t="s">
        <v>38</v>
      </c>
      <c r="V772" t="s">
        <v>61</v>
      </c>
      <c r="W772" s="2">
        <v>45296</v>
      </c>
      <c r="X772" s="4">
        <f ca="1">TODAY()-DATASET[[#This Row],[Time_of_Purchase]]</f>
        <v>838</v>
      </c>
      <c r="Y772" t="b">
        <v>1</v>
      </c>
      <c r="Z772" t="b">
        <v>0</v>
      </c>
      <c r="AA772" t="s">
        <v>40</v>
      </c>
      <c r="AB772" t="s">
        <v>41</v>
      </c>
      <c r="AC772">
        <v>11</v>
      </c>
    </row>
    <row r="773" spans="1:29" x14ac:dyDescent="0.25">
      <c r="A773" t="s">
        <v>1616</v>
      </c>
      <c r="B773">
        <v>45</v>
      </c>
      <c r="C773" t="s">
        <v>43</v>
      </c>
      <c r="D773" t="s">
        <v>30</v>
      </c>
      <c r="E773" t="s">
        <v>31</v>
      </c>
      <c r="F773" t="s">
        <v>45</v>
      </c>
      <c r="G773" t="s">
        <v>44</v>
      </c>
      <c r="H773" t="s">
        <v>1617</v>
      </c>
      <c r="I773" t="s">
        <v>90</v>
      </c>
      <c r="J773" s="1">
        <v>487.96</v>
      </c>
      <c r="K773">
        <v>2</v>
      </c>
      <c r="L773" t="s">
        <v>35</v>
      </c>
      <c r="M773">
        <v>5</v>
      </c>
      <c r="N773">
        <v>3</v>
      </c>
      <c r="O773">
        <v>2</v>
      </c>
      <c r="P773" t="s">
        <v>59</v>
      </c>
      <c r="Q773" t="s">
        <v>85</v>
      </c>
      <c r="R773">
        <v>0</v>
      </c>
      <c r="S773">
        <v>2</v>
      </c>
      <c r="T773" t="s">
        <v>36</v>
      </c>
      <c r="U773" t="s">
        <v>79</v>
      </c>
      <c r="V773" t="s">
        <v>51</v>
      </c>
      <c r="W773" s="2">
        <v>45366</v>
      </c>
      <c r="X773" s="4">
        <f ca="1">TODAY()-DATASET[[#This Row],[Time_of_Purchase]]</f>
        <v>768</v>
      </c>
      <c r="Y773" t="b">
        <v>1</v>
      </c>
      <c r="Z773" t="b">
        <v>1</v>
      </c>
      <c r="AA773" t="s">
        <v>40</v>
      </c>
      <c r="AB773" t="s">
        <v>41</v>
      </c>
      <c r="AC773">
        <v>12</v>
      </c>
    </row>
    <row r="774" spans="1:29" x14ac:dyDescent="0.25">
      <c r="A774" t="s">
        <v>1618</v>
      </c>
      <c r="B774">
        <v>22</v>
      </c>
      <c r="C774" t="s">
        <v>43</v>
      </c>
      <c r="D774" t="s">
        <v>30</v>
      </c>
      <c r="E774" t="s">
        <v>76</v>
      </c>
      <c r="F774" t="s">
        <v>45</v>
      </c>
      <c r="G774" t="s">
        <v>44</v>
      </c>
      <c r="H774" t="s">
        <v>1619</v>
      </c>
      <c r="I774" t="s">
        <v>126</v>
      </c>
      <c r="J774" s="1">
        <v>150.11000000000001</v>
      </c>
      <c r="K774">
        <v>7</v>
      </c>
      <c r="L774" t="s">
        <v>35</v>
      </c>
      <c r="M774">
        <v>4</v>
      </c>
      <c r="N774">
        <v>4</v>
      </c>
      <c r="O774">
        <v>1.5</v>
      </c>
      <c r="P774" t="s">
        <v>59</v>
      </c>
      <c r="Q774" t="s">
        <v>85</v>
      </c>
      <c r="R774">
        <v>0</v>
      </c>
      <c r="S774">
        <v>3</v>
      </c>
      <c r="T774" t="s">
        <v>44</v>
      </c>
      <c r="U774" t="s">
        <v>60</v>
      </c>
      <c r="V774" t="s">
        <v>39</v>
      </c>
      <c r="W774" s="2">
        <v>45496</v>
      </c>
      <c r="X774" s="4">
        <f ca="1">TODAY()-DATASET[[#This Row],[Time_of_Purchase]]</f>
        <v>638</v>
      </c>
      <c r="Y774" t="b">
        <v>1</v>
      </c>
      <c r="Z774" t="b">
        <v>0</v>
      </c>
      <c r="AA774" t="s">
        <v>52</v>
      </c>
      <c r="AB774" t="s">
        <v>53</v>
      </c>
      <c r="AC774">
        <v>8</v>
      </c>
    </row>
    <row r="775" spans="1:29" x14ac:dyDescent="0.25">
      <c r="A775" t="s">
        <v>1620</v>
      </c>
      <c r="B775">
        <v>36</v>
      </c>
      <c r="C775" t="s">
        <v>43</v>
      </c>
      <c r="D775" t="s">
        <v>44</v>
      </c>
      <c r="E775" t="s">
        <v>31</v>
      </c>
      <c r="F775" t="s">
        <v>45</v>
      </c>
      <c r="G775" t="s">
        <v>30</v>
      </c>
      <c r="H775" t="s">
        <v>1621</v>
      </c>
      <c r="I775" t="s">
        <v>107</v>
      </c>
      <c r="J775" s="1">
        <v>218.87</v>
      </c>
      <c r="K775">
        <v>5</v>
      </c>
      <c r="L775" t="s">
        <v>35</v>
      </c>
      <c r="M775">
        <v>4</v>
      </c>
      <c r="N775">
        <v>3</v>
      </c>
      <c r="O775">
        <v>0</v>
      </c>
      <c r="P775" t="s">
        <v>49</v>
      </c>
      <c r="Q775" t="s">
        <v>85</v>
      </c>
      <c r="R775">
        <v>0</v>
      </c>
      <c r="S775">
        <v>4</v>
      </c>
      <c r="T775" t="s">
        <v>49</v>
      </c>
      <c r="U775" t="s">
        <v>60</v>
      </c>
      <c r="V775" t="s">
        <v>86</v>
      </c>
      <c r="W775" s="2">
        <v>45553</v>
      </c>
      <c r="X775" s="4">
        <f ca="1">TODAY()-DATASET[[#This Row],[Time_of_Purchase]]</f>
        <v>581</v>
      </c>
      <c r="Y775" t="b">
        <v>1</v>
      </c>
      <c r="Z775" t="b">
        <v>0</v>
      </c>
      <c r="AA775" t="s">
        <v>74</v>
      </c>
      <c r="AB775" t="s">
        <v>41</v>
      </c>
      <c r="AC775">
        <v>11</v>
      </c>
    </row>
    <row r="776" spans="1:29" x14ac:dyDescent="0.25">
      <c r="A776" t="s">
        <v>1622</v>
      </c>
      <c r="B776">
        <v>29</v>
      </c>
      <c r="C776" t="s">
        <v>29</v>
      </c>
      <c r="D776" t="s">
        <v>30</v>
      </c>
      <c r="E776" t="s">
        <v>31</v>
      </c>
      <c r="F776" t="s">
        <v>32</v>
      </c>
      <c r="G776" t="s">
        <v>44</v>
      </c>
      <c r="H776" t="s">
        <v>1623</v>
      </c>
      <c r="I776" t="s">
        <v>93</v>
      </c>
      <c r="J776" s="1">
        <v>437.06</v>
      </c>
      <c r="K776">
        <v>7</v>
      </c>
      <c r="L776" t="s">
        <v>48</v>
      </c>
      <c r="M776">
        <v>3</v>
      </c>
      <c r="N776">
        <v>5</v>
      </c>
      <c r="O776">
        <v>2</v>
      </c>
      <c r="P776" t="s">
        <v>59</v>
      </c>
      <c r="Q776" t="s">
        <v>85</v>
      </c>
      <c r="R776">
        <v>0</v>
      </c>
      <c r="S776">
        <v>6</v>
      </c>
      <c r="T776" t="s">
        <v>59</v>
      </c>
      <c r="U776" t="s">
        <v>60</v>
      </c>
      <c r="V776" t="s">
        <v>86</v>
      </c>
      <c r="W776" s="2">
        <v>45360</v>
      </c>
      <c r="X776" s="4">
        <f ca="1">TODAY()-DATASET[[#This Row],[Time_of_Purchase]]</f>
        <v>774</v>
      </c>
      <c r="Y776" t="b">
        <v>0</v>
      </c>
      <c r="Z776" t="b">
        <v>0</v>
      </c>
      <c r="AA776" t="s">
        <v>62</v>
      </c>
      <c r="AB776" t="s">
        <v>67</v>
      </c>
      <c r="AC776">
        <v>11</v>
      </c>
    </row>
    <row r="777" spans="1:29" x14ac:dyDescent="0.25">
      <c r="A777" t="s">
        <v>1624</v>
      </c>
      <c r="B777">
        <v>33</v>
      </c>
      <c r="C777" t="s">
        <v>43</v>
      </c>
      <c r="D777" t="s">
        <v>44</v>
      </c>
      <c r="E777" t="s">
        <v>31</v>
      </c>
      <c r="F777" t="s">
        <v>32</v>
      </c>
      <c r="G777" t="s">
        <v>44</v>
      </c>
      <c r="H777" t="s">
        <v>1625</v>
      </c>
      <c r="I777" t="s">
        <v>188</v>
      </c>
      <c r="J777" s="1">
        <v>122.58</v>
      </c>
      <c r="K777">
        <v>2</v>
      </c>
      <c r="L777" t="s">
        <v>48</v>
      </c>
      <c r="M777">
        <v>5</v>
      </c>
      <c r="N777">
        <v>4</v>
      </c>
      <c r="O777">
        <v>1.5</v>
      </c>
      <c r="P777" t="s">
        <v>59</v>
      </c>
      <c r="Q777" t="s">
        <v>50</v>
      </c>
      <c r="R777">
        <v>2</v>
      </c>
      <c r="S777">
        <v>5</v>
      </c>
      <c r="T777" t="s">
        <v>36</v>
      </c>
      <c r="U777" t="s">
        <v>38</v>
      </c>
      <c r="V777" t="s">
        <v>66</v>
      </c>
      <c r="W777" s="2">
        <v>45320</v>
      </c>
      <c r="X777" s="4">
        <f ca="1">TODAY()-DATASET[[#This Row],[Time_of_Purchase]]</f>
        <v>814</v>
      </c>
      <c r="Y777" t="b">
        <v>1</v>
      </c>
      <c r="Z777" t="b">
        <v>0</v>
      </c>
      <c r="AA777" t="s">
        <v>62</v>
      </c>
      <c r="AB777" t="s">
        <v>67</v>
      </c>
      <c r="AC777">
        <v>12</v>
      </c>
    </row>
    <row r="778" spans="1:29" x14ac:dyDescent="0.25">
      <c r="A778" t="s">
        <v>1626</v>
      </c>
      <c r="B778">
        <v>35</v>
      </c>
      <c r="C778" t="s">
        <v>43</v>
      </c>
      <c r="D778" t="s">
        <v>44</v>
      </c>
      <c r="E778" t="s">
        <v>31</v>
      </c>
      <c r="F778" t="s">
        <v>56</v>
      </c>
      <c r="G778" t="s">
        <v>30</v>
      </c>
      <c r="H778" t="s">
        <v>1627</v>
      </c>
      <c r="I778" t="s">
        <v>47</v>
      </c>
      <c r="J778" s="1">
        <v>195.07</v>
      </c>
      <c r="K778">
        <v>8</v>
      </c>
      <c r="L778" t="s">
        <v>78</v>
      </c>
      <c r="M778">
        <v>3</v>
      </c>
      <c r="N778">
        <v>1</v>
      </c>
      <c r="O778">
        <v>1</v>
      </c>
      <c r="P778" t="s">
        <v>44</v>
      </c>
      <c r="Q778" t="s">
        <v>37</v>
      </c>
      <c r="R778">
        <v>0</v>
      </c>
      <c r="S778">
        <v>6</v>
      </c>
      <c r="T778" t="s">
        <v>36</v>
      </c>
      <c r="U778" t="s">
        <v>60</v>
      </c>
      <c r="V778" t="s">
        <v>61</v>
      </c>
      <c r="W778" s="2">
        <v>45495</v>
      </c>
      <c r="X778" s="4">
        <f ca="1">TODAY()-DATASET[[#This Row],[Time_of_Purchase]]</f>
        <v>639</v>
      </c>
      <c r="Y778" t="b">
        <v>0</v>
      </c>
      <c r="Z778" t="b">
        <v>0</v>
      </c>
      <c r="AA778" t="s">
        <v>62</v>
      </c>
      <c r="AB778" t="s">
        <v>41</v>
      </c>
      <c r="AC778">
        <v>10</v>
      </c>
    </row>
    <row r="779" spans="1:29" x14ac:dyDescent="0.25">
      <c r="A779" t="s">
        <v>1628</v>
      </c>
      <c r="B779">
        <v>39</v>
      </c>
      <c r="C779" t="s">
        <v>29</v>
      </c>
      <c r="D779" t="s">
        <v>30</v>
      </c>
      <c r="E779" t="s">
        <v>55</v>
      </c>
      <c r="F779" t="s">
        <v>45</v>
      </c>
      <c r="G779" t="s">
        <v>44</v>
      </c>
      <c r="H779" t="s">
        <v>1629</v>
      </c>
      <c r="I779" t="s">
        <v>82</v>
      </c>
      <c r="J779" s="1">
        <v>190.06</v>
      </c>
      <c r="K779">
        <v>9</v>
      </c>
      <c r="L779" t="s">
        <v>48</v>
      </c>
      <c r="M779">
        <v>5</v>
      </c>
      <c r="N779">
        <v>1</v>
      </c>
      <c r="O779">
        <v>1</v>
      </c>
      <c r="P779" t="s">
        <v>36</v>
      </c>
      <c r="Q779" t="s">
        <v>37</v>
      </c>
      <c r="R779">
        <v>1</v>
      </c>
      <c r="S779">
        <v>2</v>
      </c>
      <c r="T779" t="s">
        <v>59</v>
      </c>
      <c r="U779" t="s">
        <v>60</v>
      </c>
      <c r="V779" t="s">
        <v>66</v>
      </c>
      <c r="W779" s="2">
        <v>45325</v>
      </c>
      <c r="X779" s="4">
        <f ca="1">TODAY()-DATASET[[#This Row],[Time_of_Purchase]]</f>
        <v>809</v>
      </c>
      <c r="Y779" t="b">
        <v>1</v>
      </c>
      <c r="Z779" t="b">
        <v>1</v>
      </c>
      <c r="AA779" t="s">
        <v>74</v>
      </c>
      <c r="AB779" t="s">
        <v>53</v>
      </c>
      <c r="AC779">
        <v>12</v>
      </c>
    </row>
    <row r="780" spans="1:29" x14ac:dyDescent="0.25">
      <c r="A780" t="s">
        <v>1630</v>
      </c>
      <c r="B780">
        <v>38</v>
      </c>
      <c r="C780" t="s">
        <v>29</v>
      </c>
      <c r="D780" t="s">
        <v>30</v>
      </c>
      <c r="E780" t="s">
        <v>55</v>
      </c>
      <c r="F780" t="s">
        <v>45</v>
      </c>
      <c r="G780" t="s">
        <v>30</v>
      </c>
      <c r="H780" t="s">
        <v>1631</v>
      </c>
      <c r="I780" t="s">
        <v>158</v>
      </c>
      <c r="J780" s="1">
        <v>485.76</v>
      </c>
      <c r="K780">
        <v>10</v>
      </c>
      <c r="L780" t="s">
        <v>48</v>
      </c>
      <c r="M780">
        <v>3</v>
      </c>
      <c r="N780">
        <v>4</v>
      </c>
      <c r="O780">
        <v>0</v>
      </c>
      <c r="P780" t="s">
        <v>49</v>
      </c>
      <c r="Q780" t="s">
        <v>37</v>
      </c>
      <c r="R780">
        <v>0</v>
      </c>
      <c r="S780">
        <v>4</v>
      </c>
      <c r="T780" t="s">
        <v>44</v>
      </c>
      <c r="U780" t="s">
        <v>79</v>
      </c>
      <c r="V780" t="s">
        <v>61</v>
      </c>
      <c r="W780" s="2">
        <v>45446</v>
      </c>
      <c r="X780" s="4">
        <f ca="1">TODAY()-DATASET[[#This Row],[Time_of_Purchase]]</f>
        <v>688</v>
      </c>
      <c r="Y780" t="b">
        <v>1</v>
      </c>
      <c r="Z780" t="b">
        <v>1</v>
      </c>
      <c r="AA780" t="s">
        <v>52</v>
      </c>
      <c r="AB780" t="s">
        <v>41</v>
      </c>
      <c r="AC780">
        <v>4</v>
      </c>
    </row>
    <row r="781" spans="1:29" x14ac:dyDescent="0.25">
      <c r="A781" t="s">
        <v>1632</v>
      </c>
      <c r="B781">
        <v>27</v>
      </c>
      <c r="C781" t="s">
        <v>29</v>
      </c>
      <c r="D781" t="s">
        <v>44</v>
      </c>
      <c r="E781" t="s">
        <v>55</v>
      </c>
      <c r="F781" t="s">
        <v>32</v>
      </c>
      <c r="G781" t="s">
        <v>44</v>
      </c>
      <c r="H781" t="s">
        <v>1633</v>
      </c>
      <c r="I781" t="s">
        <v>82</v>
      </c>
      <c r="J781" s="1">
        <v>242.57</v>
      </c>
      <c r="K781">
        <v>7</v>
      </c>
      <c r="L781" t="s">
        <v>48</v>
      </c>
      <c r="M781">
        <v>1</v>
      </c>
      <c r="N781">
        <v>1</v>
      </c>
      <c r="O781">
        <v>1</v>
      </c>
      <c r="P781" t="s">
        <v>59</v>
      </c>
      <c r="Q781" t="s">
        <v>50</v>
      </c>
      <c r="R781">
        <v>0</v>
      </c>
      <c r="S781">
        <v>10</v>
      </c>
      <c r="T781" t="s">
        <v>59</v>
      </c>
      <c r="U781" t="s">
        <v>60</v>
      </c>
      <c r="V781" t="s">
        <v>51</v>
      </c>
      <c r="W781" s="2">
        <v>45570</v>
      </c>
      <c r="X781" s="4">
        <f ca="1">TODAY()-DATASET[[#This Row],[Time_of_Purchase]]</f>
        <v>564</v>
      </c>
      <c r="Y781" t="b">
        <v>1</v>
      </c>
      <c r="Z781" t="b">
        <v>0</v>
      </c>
      <c r="AA781" t="s">
        <v>52</v>
      </c>
      <c r="AB781" t="s">
        <v>41</v>
      </c>
      <c r="AC781">
        <v>1</v>
      </c>
    </row>
    <row r="782" spans="1:29" x14ac:dyDescent="0.25">
      <c r="A782" t="s">
        <v>1634</v>
      </c>
      <c r="B782">
        <v>35</v>
      </c>
      <c r="C782" t="s">
        <v>43</v>
      </c>
      <c r="D782" t="s">
        <v>30</v>
      </c>
      <c r="E782" t="s">
        <v>69</v>
      </c>
      <c r="F782" t="s">
        <v>45</v>
      </c>
      <c r="G782" t="s">
        <v>44</v>
      </c>
      <c r="H782" t="s">
        <v>1635</v>
      </c>
      <c r="I782" t="s">
        <v>135</v>
      </c>
      <c r="J782" s="1">
        <v>303.13</v>
      </c>
      <c r="K782">
        <v>2</v>
      </c>
      <c r="L782" t="s">
        <v>78</v>
      </c>
      <c r="M782">
        <v>1</v>
      </c>
      <c r="N782">
        <v>1</v>
      </c>
      <c r="O782">
        <v>1</v>
      </c>
      <c r="P782" t="s">
        <v>44</v>
      </c>
      <c r="Q782" t="s">
        <v>50</v>
      </c>
      <c r="R782">
        <v>0</v>
      </c>
      <c r="S782">
        <v>7</v>
      </c>
      <c r="T782" t="s">
        <v>49</v>
      </c>
      <c r="U782" t="s">
        <v>79</v>
      </c>
      <c r="V782" t="s">
        <v>61</v>
      </c>
      <c r="W782" s="2">
        <v>45295</v>
      </c>
      <c r="X782" s="4">
        <f ca="1">TODAY()-DATASET[[#This Row],[Time_of_Purchase]]</f>
        <v>839</v>
      </c>
      <c r="Y782" t="b">
        <v>0</v>
      </c>
      <c r="Z782" t="b">
        <v>1</v>
      </c>
      <c r="AA782" t="s">
        <v>40</v>
      </c>
      <c r="AB782" t="s">
        <v>53</v>
      </c>
      <c r="AC782">
        <v>10</v>
      </c>
    </row>
    <row r="783" spans="1:29" x14ac:dyDescent="0.25">
      <c r="A783" t="s">
        <v>1636</v>
      </c>
      <c r="B783">
        <v>43</v>
      </c>
      <c r="C783" t="s">
        <v>29</v>
      </c>
      <c r="D783" t="s">
        <v>30</v>
      </c>
      <c r="E783" t="s">
        <v>69</v>
      </c>
      <c r="F783" t="s">
        <v>56</v>
      </c>
      <c r="G783" t="s">
        <v>30</v>
      </c>
      <c r="H783" t="s">
        <v>1637</v>
      </c>
      <c r="I783" t="s">
        <v>126</v>
      </c>
      <c r="J783" s="1">
        <v>136.1</v>
      </c>
      <c r="K783">
        <v>5</v>
      </c>
      <c r="L783" t="s">
        <v>48</v>
      </c>
      <c r="M783">
        <v>3</v>
      </c>
      <c r="N783">
        <v>5</v>
      </c>
      <c r="O783">
        <v>2</v>
      </c>
      <c r="P783" t="s">
        <v>59</v>
      </c>
      <c r="Q783" t="s">
        <v>85</v>
      </c>
      <c r="R783">
        <v>0</v>
      </c>
      <c r="S783">
        <v>2</v>
      </c>
      <c r="T783" t="s">
        <v>44</v>
      </c>
      <c r="U783" t="s">
        <v>38</v>
      </c>
      <c r="V783" t="s">
        <v>61</v>
      </c>
      <c r="W783" s="2">
        <v>45349</v>
      </c>
      <c r="X783" s="4">
        <f ca="1">TODAY()-DATASET[[#This Row],[Time_of_Purchase]]</f>
        <v>785</v>
      </c>
      <c r="Y783" t="b">
        <v>0</v>
      </c>
      <c r="Z783" t="b">
        <v>1</v>
      </c>
      <c r="AA783" t="s">
        <v>74</v>
      </c>
      <c r="AB783" t="s">
        <v>67</v>
      </c>
      <c r="AC783">
        <v>14</v>
      </c>
    </row>
    <row r="784" spans="1:29" x14ac:dyDescent="0.25">
      <c r="A784" t="s">
        <v>1638</v>
      </c>
      <c r="B784">
        <v>40</v>
      </c>
      <c r="C784" t="s">
        <v>88</v>
      </c>
      <c r="D784" t="s">
        <v>44</v>
      </c>
      <c r="E784" t="s">
        <v>55</v>
      </c>
      <c r="F784" t="s">
        <v>32</v>
      </c>
      <c r="G784" t="s">
        <v>30</v>
      </c>
      <c r="H784" t="s">
        <v>1639</v>
      </c>
      <c r="I784" t="s">
        <v>117</v>
      </c>
      <c r="J784" s="1">
        <v>249.02</v>
      </c>
      <c r="K784">
        <v>11</v>
      </c>
      <c r="L784" t="s">
        <v>35</v>
      </c>
      <c r="M784">
        <v>3</v>
      </c>
      <c r="N784">
        <v>2</v>
      </c>
      <c r="O784">
        <v>0.3</v>
      </c>
      <c r="P784" t="s">
        <v>49</v>
      </c>
      <c r="Q784" t="s">
        <v>50</v>
      </c>
      <c r="R784">
        <v>1</v>
      </c>
      <c r="S784">
        <v>1</v>
      </c>
      <c r="T784" t="s">
        <v>49</v>
      </c>
      <c r="U784" t="s">
        <v>60</v>
      </c>
      <c r="V784" t="s">
        <v>51</v>
      </c>
      <c r="W784" s="2">
        <v>45566</v>
      </c>
      <c r="X784" s="4">
        <f ca="1">TODAY()-DATASET[[#This Row],[Time_of_Purchase]]</f>
        <v>568</v>
      </c>
      <c r="Y784" t="b">
        <v>1</v>
      </c>
      <c r="Z784" t="b">
        <v>1</v>
      </c>
      <c r="AA784" t="s">
        <v>74</v>
      </c>
      <c r="AB784" t="s">
        <v>67</v>
      </c>
      <c r="AC784">
        <v>14</v>
      </c>
    </row>
    <row r="785" spans="1:29" x14ac:dyDescent="0.25">
      <c r="A785" t="s">
        <v>1640</v>
      </c>
      <c r="B785">
        <v>19</v>
      </c>
      <c r="C785" t="s">
        <v>43</v>
      </c>
      <c r="D785" t="s">
        <v>30</v>
      </c>
      <c r="E785" t="s">
        <v>76</v>
      </c>
      <c r="F785" t="s">
        <v>45</v>
      </c>
      <c r="G785" t="s">
        <v>30</v>
      </c>
      <c r="H785" t="s">
        <v>1641</v>
      </c>
      <c r="I785" t="s">
        <v>58</v>
      </c>
      <c r="J785" s="1">
        <v>466.74</v>
      </c>
      <c r="K785">
        <v>7</v>
      </c>
      <c r="L785" t="s">
        <v>48</v>
      </c>
      <c r="M785">
        <v>3</v>
      </c>
      <c r="N785">
        <v>4</v>
      </c>
      <c r="O785">
        <v>0.2</v>
      </c>
      <c r="P785" t="s">
        <v>49</v>
      </c>
      <c r="Q785" t="s">
        <v>50</v>
      </c>
      <c r="R785">
        <v>2</v>
      </c>
      <c r="S785">
        <v>3</v>
      </c>
      <c r="T785" t="s">
        <v>44</v>
      </c>
      <c r="U785" t="s">
        <v>38</v>
      </c>
      <c r="V785" t="s">
        <v>61</v>
      </c>
      <c r="W785" s="2">
        <v>45637</v>
      </c>
      <c r="X785" s="4">
        <f ca="1">TODAY()-DATASET[[#This Row],[Time_of_Purchase]]</f>
        <v>497</v>
      </c>
      <c r="Y785" t="b">
        <v>1</v>
      </c>
      <c r="Z785" t="b">
        <v>1</v>
      </c>
      <c r="AA785" t="s">
        <v>40</v>
      </c>
      <c r="AB785" t="s">
        <v>67</v>
      </c>
      <c r="AC785">
        <v>5</v>
      </c>
    </row>
    <row r="786" spans="1:29" x14ac:dyDescent="0.25">
      <c r="A786" t="s">
        <v>1642</v>
      </c>
      <c r="B786">
        <v>46</v>
      </c>
      <c r="C786" t="s">
        <v>274</v>
      </c>
      <c r="D786" t="s">
        <v>44</v>
      </c>
      <c r="E786" t="s">
        <v>31</v>
      </c>
      <c r="F786" t="s">
        <v>45</v>
      </c>
      <c r="G786" t="s">
        <v>44</v>
      </c>
      <c r="H786" t="s">
        <v>1643</v>
      </c>
      <c r="I786" t="s">
        <v>101</v>
      </c>
      <c r="J786" s="1">
        <v>229.3</v>
      </c>
      <c r="K786">
        <v>6</v>
      </c>
      <c r="L786" t="s">
        <v>48</v>
      </c>
      <c r="M786">
        <v>4</v>
      </c>
      <c r="N786">
        <v>5</v>
      </c>
      <c r="O786">
        <v>2</v>
      </c>
      <c r="P786" t="s">
        <v>36</v>
      </c>
      <c r="Q786" t="s">
        <v>37</v>
      </c>
      <c r="R786">
        <v>0</v>
      </c>
      <c r="S786">
        <v>6</v>
      </c>
      <c r="T786" t="s">
        <v>36</v>
      </c>
      <c r="U786" t="s">
        <v>60</v>
      </c>
      <c r="V786" t="s">
        <v>66</v>
      </c>
      <c r="W786" s="2">
        <v>45621</v>
      </c>
      <c r="X786" s="4">
        <f ca="1">TODAY()-DATASET[[#This Row],[Time_of_Purchase]]</f>
        <v>513</v>
      </c>
      <c r="Y786" t="b">
        <v>0</v>
      </c>
      <c r="Z786" t="b">
        <v>0</v>
      </c>
      <c r="AA786" t="s">
        <v>74</v>
      </c>
      <c r="AB786" t="s">
        <v>67</v>
      </c>
      <c r="AC786">
        <v>6</v>
      </c>
    </row>
    <row r="787" spans="1:29" x14ac:dyDescent="0.25">
      <c r="A787" t="s">
        <v>1644</v>
      </c>
      <c r="B787">
        <v>30</v>
      </c>
      <c r="C787" t="s">
        <v>29</v>
      </c>
      <c r="D787" t="s">
        <v>44</v>
      </c>
      <c r="E787" t="s">
        <v>55</v>
      </c>
      <c r="F787" t="s">
        <v>45</v>
      </c>
      <c r="G787" t="s">
        <v>44</v>
      </c>
      <c r="H787" t="s">
        <v>1645</v>
      </c>
      <c r="I787" t="s">
        <v>114</v>
      </c>
      <c r="J787" s="1">
        <v>450.52</v>
      </c>
      <c r="K787">
        <v>8</v>
      </c>
      <c r="L787" t="s">
        <v>78</v>
      </c>
      <c r="M787">
        <v>2</v>
      </c>
      <c r="N787">
        <v>2</v>
      </c>
      <c r="O787">
        <v>0.2</v>
      </c>
      <c r="P787" t="s">
        <v>44</v>
      </c>
      <c r="Q787" t="s">
        <v>37</v>
      </c>
      <c r="R787">
        <v>0</v>
      </c>
      <c r="S787">
        <v>6</v>
      </c>
      <c r="T787" t="s">
        <v>59</v>
      </c>
      <c r="U787" t="s">
        <v>79</v>
      </c>
      <c r="V787" t="s">
        <v>51</v>
      </c>
      <c r="W787" s="2">
        <v>45304</v>
      </c>
      <c r="X787" s="4">
        <f ca="1">TODAY()-DATASET[[#This Row],[Time_of_Purchase]]</f>
        <v>830</v>
      </c>
      <c r="Y787" t="b">
        <v>1</v>
      </c>
      <c r="Z787" t="b">
        <v>1</v>
      </c>
      <c r="AA787" t="s">
        <v>40</v>
      </c>
      <c r="AB787" t="s">
        <v>41</v>
      </c>
      <c r="AC787">
        <v>8</v>
      </c>
    </row>
    <row r="788" spans="1:29" x14ac:dyDescent="0.25">
      <c r="A788" t="s">
        <v>1646</v>
      </c>
      <c r="B788">
        <v>35</v>
      </c>
      <c r="C788" t="s">
        <v>43</v>
      </c>
      <c r="D788" t="s">
        <v>44</v>
      </c>
      <c r="E788" t="s">
        <v>76</v>
      </c>
      <c r="F788" t="s">
        <v>32</v>
      </c>
      <c r="G788" t="s">
        <v>30</v>
      </c>
      <c r="H788" t="s">
        <v>1647</v>
      </c>
      <c r="I788" t="s">
        <v>158</v>
      </c>
      <c r="J788" s="1">
        <v>246.44</v>
      </c>
      <c r="K788">
        <v>4</v>
      </c>
      <c r="L788" t="s">
        <v>35</v>
      </c>
      <c r="M788">
        <v>3</v>
      </c>
      <c r="N788">
        <v>1</v>
      </c>
      <c r="O788">
        <v>1</v>
      </c>
      <c r="P788" t="s">
        <v>49</v>
      </c>
      <c r="Q788" t="s">
        <v>37</v>
      </c>
      <c r="R788">
        <v>0</v>
      </c>
      <c r="S788">
        <v>3</v>
      </c>
      <c r="T788" t="s">
        <v>49</v>
      </c>
      <c r="U788" t="s">
        <v>60</v>
      </c>
      <c r="V788" t="s">
        <v>61</v>
      </c>
      <c r="W788" s="2">
        <v>45552</v>
      </c>
      <c r="X788" s="4">
        <f ca="1">TODAY()-DATASET[[#This Row],[Time_of_Purchase]]</f>
        <v>582</v>
      </c>
      <c r="Y788" t="b">
        <v>0</v>
      </c>
      <c r="Z788" t="b">
        <v>1</v>
      </c>
      <c r="AA788" t="s">
        <v>52</v>
      </c>
      <c r="AB788" t="s">
        <v>41</v>
      </c>
      <c r="AC788">
        <v>5</v>
      </c>
    </row>
    <row r="789" spans="1:29" x14ac:dyDescent="0.25">
      <c r="A789" t="s">
        <v>1648</v>
      </c>
      <c r="B789">
        <v>34</v>
      </c>
      <c r="C789" t="s">
        <v>43</v>
      </c>
      <c r="D789" t="s">
        <v>44</v>
      </c>
      <c r="E789" t="s">
        <v>69</v>
      </c>
      <c r="F789" t="s">
        <v>45</v>
      </c>
      <c r="G789" t="s">
        <v>30</v>
      </c>
      <c r="H789" t="s">
        <v>1649</v>
      </c>
      <c r="I789" t="s">
        <v>65</v>
      </c>
      <c r="J789" s="1">
        <v>93.52</v>
      </c>
      <c r="K789">
        <v>2</v>
      </c>
      <c r="L789" t="s">
        <v>78</v>
      </c>
      <c r="M789">
        <v>1</v>
      </c>
      <c r="N789">
        <v>5</v>
      </c>
      <c r="O789">
        <v>1</v>
      </c>
      <c r="P789" t="s">
        <v>36</v>
      </c>
      <c r="Q789" t="s">
        <v>37</v>
      </c>
      <c r="R789">
        <v>1</v>
      </c>
      <c r="S789">
        <v>2</v>
      </c>
      <c r="T789" t="s">
        <v>44</v>
      </c>
      <c r="U789" t="s">
        <v>79</v>
      </c>
      <c r="V789" t="s">
        <v>51</v>
      </c>
      <c r="W789" s="2">
        <v>45516</v>
      </c>
      <c r="X789" s="4">
        <f ca="1">TODAY()-DATASET[[#This Row],[Time_of_Purchase]]</f>
        <v>618</v>
      </c>
      <c r="Y789" t="b">
        <v>0</v>
      </c>
      <c r="Z789" t="b">
        <v>1</v>
      </c>
      <c r="AA789" t="s">
        <v>74</v>
      </c>
      <c r="AB789" t="s">
        <v>41</v>
      </c>
      <c r="AC789">
        <v>12</v>
      </c>
    </row>
    <row r="790" spans="1:29" x14ac:dyDescent="0.25">
      <c r="A790" t="s">
        <v>1650</v>
      </c>
      <c r="B790">
        <v>28</v>
      </c>
      <c r="C790" t="s">
        <v>29</v>
      </c>
      <c r="D790" t="s">
        <v>30</v>
      </c>
      <c r="E790" t="s">
        <v>31</v>
      </c>
      <c r="F790" t="s">
        <v>45</v>
      </c>
      <c r="G790" t="s">
        <v>44</v>
      </c>
      <c r="H790" t="s">
        <v>1651</v>
      </c>
      <c r="I790" t="s">
        <v>158</v>
      </c>
      <c r="J790" s="1">
        <v>137.75</v>
      </c>
      <c r="K790">
        <v>6</v>
      </c>
      <c r="L790" t="s">
        <v>78</v>
      </c>
      <c r="M790">
        <v>3</v>
      </c>
      <c r="N790">
        <v>3</v>
      </c>
      <c r="O790">
        <v>2</v>
      </c>
      <c r="P790" t="s">
        <v>44</v>
      </c>
      <c r="Q790" t="s">
        <v>85</v>
      </c>
      <c r="R790">
        <v>0</v>
      </c>
      <c r="S790">
        <v>1</v>
      </c>
      <c r="T790" t="s">
        <v>49</v>
      </c>
      <c r="U790" t="s">
        <v>60</v>
      </c>
      <c r="V790" t="s">
        <v>86</v>
      </c>
      <c r="W790" s="2">
        <v>45544</v>
      </c>
      <c r="X790" s="4">
        <f ca="1">TODAY()-DATASET[[#This Row],[Time_of_Purchase]]</f>
        <v>590</v>
      </c>
      <c r="Y790" t="b">
        <v>0</v>
      </c>
      <c r="Z790" t="b">
        <v>1</v>
      </c>
      <c r="AA790" t="s">
        <v>40</v>
      </c>
      <c r="AB790" t="s">
        <v>41</v>
      </c>
      <c r="AC790">
        <v>4</v>
      </c>
    </row>
    <row r="791" spans="1:29" x14ac:dyDescent="0.25">
      <c r="A791" t="s">
        <v>1652</v>
      </c>
      <c r="B791">
        <v>44</v>
      </c>
      <c r="C791" t="s">
        <v>29</v>
      </c>
      <c r="D791" t="s">
        <v>30</v>
      </c>
      <c r="E791" t="s">
        <v>31</v>
      </c>
      <c r="F791" t="s">
        <v>56</v>
      </c>
      <c r="G791" t="s">
        <v>30</v>
      </c>
      <c r="H791" t="s">
        <v>1653</v>
      </c>
      <c r="I791" t="s">
        <v>65</v>
      </c>
      <c r="J791" s="1">
        <v>78.64</v>
      </c>
      <c r="K791">
        <v>5</v>
      </c>
      <c r="L791" t="s">
        <v>35</v>
      </c>
      <c r="M791">
        <v>3</v>
      </c>
      <c r="N791">
        <v>4</v>
      </c>
      <c r="O791">
        <v>2</v>
      </c>
      <c r="P791" t="s">
        <v>44</v>
      </c>
      <c r="Q791" t="s">
        <v>37</v>
      </c>
      <c r="R791">
        <v>0</v>
      </c>
      <c r="S791">
        <v>3</v>
      </c>
      <c r="T791" t="s">
        <v>44</v>
      </c>
      <c r="U791" t="s">
        <v>38</v>
      </c>
      <c r="V791" t="s">
        <v>51</v>
      </c>
      <c r="W791" s="2">
        <v>45438</v>
      </c>
      <c r="X791" s="4">
        <f ca="1">TODAY()-DATASET[[#This Row],[Time_of_Purchase]]</f>
        <v>696</v>
      </c>
      <c r="Y791" t="b">
        <v>1</v>
      </c>
      <c r="Z791" t="b">
        <v>0</v>
      </c>
      <c r="AA791" t="s">
        <v>74</v>
      </c>
      <c r="AB791" t="s">
        <v>53</v>
      </c>
      <c r="AC791">
        <v>12</v>
      </c>
    </row>
    <row r="792" spans="1:29" x14ac:dyDescent="0.25">
      <c r="A792" t="s">
        <v>1654</v>
      </c>
      <c r="B792">
        <v>25</v>
      </c>
      <c r="C792" t="s">
        <v>43</v>
      </c>
      <c r="D792" t="s">
        <v>44</v>
      </c>
      <c r="E792" t="s">
        <v>76</v>
      </c>
      <c r="F792" t="s">
        <v>56</v>
      </c>
      <c r="G792" t="s">
        <v>30</v>
      </c>
      <c r="H792" t="s">
        <v>1655</v>
      </c>
      <c r="I792" t="s">
        <v>120</v>
      </c>
      <c r="J792" s="1">
        <v>214.82</v>
      </c>
      <c r="K792">
        <v>9</v>
      </c>
      <c r="L792" t="s">
        <v>35</v>
      </c>
      <c r="M792">
        <v>5</v>
      </c>
      <c r="N792">
        <v>4</v>
      </c>
      <c r="O792">
        <v>0.3</v>
      </c>
      <c r="P792" t="s">
        <v>36</v>
      </c>
      <c r="Q792" t="s">
        <v>85</v>
      </c>
      <c r="R792">
        <v>1</v>
      </c>
      <c r="S792">
        <v>9</v>
      </c>
      <c r="T792" t="s">
        <v>49</v>
      </c>
      <c r="U792" t="s">
        <v>38</v>
      </c>
      <c r="V792" t="s">
        <v>66</v>
      </c>
      <c r="W792" s="2">
        <v>45605</v>
      </c>
      <c r="X792" s="4">
        <f ca="1">TODAY()-DATASET[[#This Row],[Time_of_Purchase]]</f>
        <v>529</v>
      </c>
      <c r="Y792" t="b">
        <v>1</v>
      </c>
      <c r="Z792" t="b">
        <v>0</v>
      </c>
      <c r="AA792" t="s">
        <v>74</v>
      </c>
      <c r="AB792" t="s">
        <v>41</v>
      </c>
      <c r="AC792">
        <v>11</v>
      </c>
    </row>
    <row r="793" spans="1:29" x14ac:dyDescent="0.25">
      <c r="A793" t="s">
        <v>1656</v>
      </c>
      <c r="B793">
        <v>45</v>
      </c>
      <c r="C793" t="s">
        <v>43</v>
      </c>
      <c r="D793" t="s">
        <v>30</v>
      </c>
      <c r="E793" t="s">
        <v>31</v>
      </c>
      <c r="F793" t="s">
        <v>32</v>
      </c>
      <c r="G793" t="s">
        <v>44</v>
      </c>
      <c r="H793" t="s">
        <v>1657</v>
      </c>
      <c r="I793" t="s">
        <v>93</v>
      </c>
      <c r="J793" s="1">
        <v>57.39</v>
      </c>
      <c r="K793">
        <v>3</v>
      </c>
      <c r="L793" t="s">
        <v>35</v>
      </c>
      <c r="M793">
        <v>2</v>
      </c>
      <c r="N793">
        <v>5</v>
      </c>
      <c r="O793">
        <v>0.25</v>
      </c>
      <c r="P793" t="s">
        <v>36</v>
      </c>
      <c r="Q793" t="s">
        <v>37</v>
      </c>
      <c r="R793">
        <v>0</v>
      </c>
      <c r="S793">
        <v>10</v>
      </c>
      <c r="T793" t="s">
        <v>49</v>
      </c>
      <c r="U793" t="s">
        <v>79</v>
      </c>
      <c r="V793" t="s">
        <v>39</v>
      </c>
      <c r="W793" s="2">
        <v>45492</v>
      </c>
      <c r="X793" s="4">
        <f ca="1">TODAY()-DATASET[[#This Row],[Time_of_Purchase]]</f>
        <v>642</v>
      </c>
      <c r="Y793" t="b">
        <v>0</v>
      </c>
      <c r="Z793" t="b">
        <v>0</v>
      </c>
      <c r="AA793" t="s">
        <v>62</v>
      </c>
      <c r="AB793" t="s">
        <v>53</v>
      </c>
      <c r="AC793">
        <v>3</v>
      </c>
    </row>
    <row r="794" spans="1:29" x14ac:dyDescent="0.25">
      <c r="A794" t="s">
        <v>1658</v>
      </c>
      <c r="B794">
        <v>47</v>
      </c>
      <c r="C794" t="s">
        <v>29</v>
      </c>
      <c r="D794" t="s">
        <v>44</v>
      </c>
      <c r="E794" t="s">
        <v>55</v>
      </c>
      <c r="F794" t="s">
        <v>45</v>
      </c>
      <c r="G794" t="s">
        <v>30</v>
      </c>
      <c r="H794" t="s">
        <v>311</v>
      </c>
      <c r="I794" t="s">
        <v>188</v>
      </c>
      <c r="J794" s="1">
        <v>363.91</v>
      </c>
      <c r="K794">
        <v>10</v>
      </c>
      <c r="L794" t="s">
        <v>78</v>
      </c>
      <c r="M794">
        <v>1</v>
      </c>
      <c r="N794">
        <v>1</v>
      </c>
      <c r="O794">
        <v>0.3</v>
      </c>
      <c r="P794" t="s">
        <v>49</v>
      </c>
      <c r="Q794" t="s">
        <v>85</v>
      </c>
      <c r="R794">
        <v>0</v>
      </c>
      <c r="S794">
        <v>2</v>
      </c>
      <c r="T794" t="s">
        <v>59</v>
      </c>
      <c r="U794" t="s">
        <v>60</v>
      </c>
      <c r="V794" t="s">
        <v>86</v>
      </c>
      <c r="W794" s="2">
        <v>45298</v>
      </c>
      <c r="X794" s="4">
        <f ca="1">TODAY()-DATASET[[#This Row],[Time_of_Purchase]]</f>
        <v>836</v>
      </c>
      <c r="Y794" t="b">
        <v>1</v>
      </c>
      <c r="Z794" t="b">
        <v>1</v>
      </c>
      <c r="AA794" t="s">
        <v>74</v>
      </c>
      <c r="AB794" t="s">
        <v>53</v>
      </c>
      <c r="AC794">
        <v>9</v>
      </c>
    </row>
    <row r="795" spans="1:29" x14ac:dyDescent="0.25">
      <c r="A795" t="s">
        <v>1659</v>
      </c>
      <c r="B795">
        <v>39</v>
      </c>
      <c r="C795" t="s">
        <v>43</v>
      </c>
      <c r="D795" t="s">
        <v>30</v>
      </c>
      <c r="E795" t="s">
        <v>55</v>
      </c>
      <c r="F795" t="s">
        <v>45</v>
      </c>
      <c r="G795" t="s">
        <v>30</v>
      </c>
      <c r="H795" t="s">
        <v>1660</v>
      </c>
      <c r="I795" t="s">
        <v>194</v>
      </c>
      <c r="J795" s="1">
        <v>304.79000000000002</v>
      </c>
      <c r="K795">
        <v>12</v>
      </c>
      <c r="L795" t="s">
        <v>48</v>
      </c>
      <c r="M795">
        <v>2</v>
      </c>
      <c r="N795">
        <v>4</v>
      </c>
      <c r="O795">
        <v>2</v>
      </c>
      <c r="P795" t="s">
        <v>59</v>
      </c>
      <c r="Q795" t="s">
        <v>37</v>
      </c>
      <c r="R795">
        <v>1</v>
      </c>
      <c r="S795">
        <v>9</v>
      </c>
      <c r="T795" t="s">
        <v>44</v>
      </c>
      <c r="U795" t="s">
        <v>79</v>
      </c>
      <c r="V795" t="s">
        <v>66</v>
      </c>
      <c r="W795" s="2">
        <v>45298</v>
      </c>
      <c r="X795" s="4">
        <f ca="1">TODAY()-DATASET[[#This Row],[Time_of_Purchase]]</f>
        <v>836</v>
      </c>
      <c r="Y795" t="b">
        <v>1</v>
      </c>
      <c r="Z795" t="b">
        <v>1</v>
      </c>
      <c r="AA795" t="s">
        <v>52</v>
      </c>
      <c r="AB795" t="s">
        <v>53</v>
      </c>
      <c r="AC795">
        <v>10</v>
      </c>
    </row>
    <row r="796" spans="1:29" x14ac:dyDescent="0.25">
      <c r="A796" t="s">
        <v>1661</v>
      </c>
      <c r="B796">
        <v>32</v>
      </c>
      <c r="C796" t="s">
        <v>43</v>
      </c>
      <c r="D796" t="s">
        <v>44</v>
      </c>
      <c r="E796" t="s">
        <v>76</v>
      </c>
      <c r="F796" t="s">
        <v>45</v>
      </c>
      <c r="G796" t="s">
        <v>30</v>
      </c>
      <c r="H796" t="s">
        <v>1662</v>
      </c>
      <c r="I796" t="s">
        <v>246</v>
      </c>
      <c r="J796" s="1">
        <v>363.98</v>
      </c>
      <c r="K796">
        <v>4</v>
      </c>
      <c r="L796" t="s">
        <v>78</v>
      </c>
      <c r="M796">
        <v>4</v>
      </c>
      <c r="N796">
        <v>4</v>
      </c>
      <c r="O796">
        <v>1</v>
      </c>
      <c r="P796" t="s">
        <v>36</v>
      </c>
      <c r="Q796" t="s">
        <v>37</v>
      </c>
      <c r="R796">
        <v>2</v>
      </c>
      <c r="S796">
        <v>7</v>
      </c>
      <c r="T796" t="s">
        <v>36</v>
      </c>
      <c r="U796" t="s">
        <v>38</v>
      </c>
      <c r="V796" t="s">
        <v>51</v>
      </c>
      <c r="W796" s="2">
        <v>45439</v>
      </c>
      <c r="X796" s="4">
        <f ca="1">TODAY()-DATASET[[#This Row],[Time_of_Purchase]]</f>
        <v>695</v>
      </c>
      <c r="Y796" t="b">
        <v>1</v>
      </c>
      <c r="Z796" t="b">
        <v>1</v>
      </c>
      <c r="AA796" t="s">
        <v>74</v>
      </c>
      <c r="AB796" t="s">
        <v>67</v>
      </c>
      <c r="AC796">
        <v>1</v>
      </c>
    </row>
    <row r="797" spans="1:29" x14ac:dyDescent="0.25">
      <c r="A797" t="s">
        <v>1663</v>
      </c>
      <c r="B797">
        <v>47</v>
      </c>
      <c r="C797" t="s">
        <v>43</v>
      </c>
      <c r="D797" t="s">
        <v>30</v>
      </c>
      <c r="E797" t="s">
        <v>69</v>
      </c>
      <c r="F797" t="s">
        <v>32</v>
      </c>
      <c r="G797" t="s">
        <v>44</v>
      </c>
      <c r="H797" t="s">
        <v>1664</v>
      </c>
      <c r="I797" t="s">
        <v>82</v>
      </c>
      <c r="J797" s="1">
        <v>249.6</v>
      </c>
      <c r="K797">
        <v>7</v>
      </c>
      <c r="L797" t="s">
        <v>35</v>
      </c>
      <c r="M797">
        <v>4</v>
      </c>
      <c r="N797">
        <v>1</v>
      </c>
      <c r="O797">
        <v>1</v>
      </c>
      <c r="P797" t="s">
        <v>59</v>
      </c>
      <c r="Q797" t="s">
        <v>37</v>
      </c>
      <c r="R797">
        <v>2</v>
      </c>
      <c r="S797">
        <v>7</v>
      </c>
      <c r="T797" t="s">
        <v>44</v>
      </c>
      <c r="U797" t="s">
        <v>60</v>
      </c>
      <c r="V797" t="s">
        <v>61</v>
      </c>
      <c r="W797" s="2">
        <v>45423</v>
      </c>
      <c r="X797" s="4">
        <f ca="1">TODAY()-DATASET[[#This Row],[Time_of_Purchase]]</f>
        <v>711</v>
      </c>
      <c r="Y797" t="b">
        <v>1</v>
      </c>
      <c r="Z797" t="b">
        <v>0</v>
      </c>
      <c r="AA797" t="s">
        <v>52</v>
      </c>
      <c r="AB797" t="s">
        <v>53</v>
      </c>
      <c r="AC797">
        <v>11</v>
      </c>
    </row>
    <row r="798" spans="1:29" x14ac:dyDescent="0.25">
      <c r="A798" t="s">
        <v>1665</v>
      </c>
      <c r="B798">
        <v>19</v>
      </c>
      <c r="C798" t="s">
        <v>43</v>
      </c>
      <c r="D798" t="s">
        <v>44</v>
      </c>
      <c r="E798" t="s">
        <v>31</v>
      </c>
      <c r="F798" t="s">
        <v>32</v>
      </c>
      <c r="G798" t="s">
        <v>30</v>
      </c>
      <c r="H798" t="s">
        <v>1666</v>
      </c>
      <c r="I798" t="s">
        <v>117</v>
      </c>
      <c r="J798" s="1">
        <v>345.04</v>
      </c>
      <c r="K798">
        <v>12</v>
      </c>
      <c r="L798" t="s">
        <v>48</v>
      </c>
      <c r="M798">
        <v>1</v>
      </c>
      <c r="N798">
        <v>5</v>
      </c>
      <c r="O798">
        <v>1</v>
      </c>
      <c r="P798" t="s">
        <v>59</v>
      </c>
      <c r="Q798" t="s">
        <v>37</v>
      </c>
      <c r="R798">
        <v>0</v>
      </c>
      <c r="S798">
        <v>8</v>
      </c>
      <c r="T798" t="s">
        <v>49</v>
      </c>
      <c r="U798" t="s">
        <v>38</v>
      </c>
      <c r="V798" t="s">
        <v>39</v>
      </c>
      <c r="W798" s="2">
        <v>45581</v>
      </c>
      <c r="X798" s="4">
        <f ca="1">TODAY()-DATASET[[#This Row],[Time_of_Purchase]]</f>
        <v>553</v>
      </c>
      <c r="Y798" t="b">
        <v>1</v>
      </c>
      <c r="Z798" t="b">
        <v>1</v>
      </c>
      <c r="AA798" t="s">
        <v>74</v>
      </c>
      <c r="AB798" t="s">
        <v>67</v>
      </c>
      <c r="AC798">
        <v>13</v>
      </c>
    </row>
    <row r="799" spans="1:29" x14ac:dyDescent="0.25">
      <c r="A799" t="s">
        <v>1667</v>
      </c>
      <c r="B799">
        <v>48</v>
      </c>
      <c r="C799" t="s">
        <v>29</v>
      </c>
      <c r="D799" t="s">
        <v>30</v>
      </c>
      <c r="E799" t="s">
        <v>55</v>
      </c>
      <c r="F799" t="s">
        <v>45</v>
      </c>
      <c r="G799" t="s">
        <v>44</v>
      </c>
      <c r="H799" t="s">
        <v>1668</v>
      </c>
      <c r="I799" t="s">
        <v>135</v>
      </c>
      <c r="J799" s="1">
        <v>59.15</v>
      </c>
      <c r="K799">
        <v>3</v>
      </c>
      <c r="L799" t="s">
        <v>48</v>
      </c>
      <c r="M799">
        <v>4</v>
      </c>
      <c r="N799">
        <v>2</v>
      </c>
      <c r="O799">
        <v>1</v>
      </c>
      <c r="P799" t="s">
        <v>36</v>
      </c>
      <c r="Q799" t="s">
        <v>50</v>
      </c>
      <c r="R799">
        <v>0</v>
      </c>
      <c r="S799">
        <v>1</v>
      </c>
      <c r="T799" t="s">
        <v>44</v>
      </c>
      <c r="U799" t="s">
        <v>79</v>
      </c>
      <c r="V799" t="s">
        <v>61</v>
      </c>
      <c r="W799" s="2">
        <v>45401</v>
      </c>
      <c r="X799" s="4">
        <f ca="1">TODAY()-DATASET[[#This Row],[Time_of_Purchase]]</f>
        <v>733</v>
      </c>
      <c r="Y799" t="b">
        <v>0</v>
      </c>
      <c r="Z799" t="b">
        <v>0</v>
      </c>
      <c r="AA799" t="s">
        <v>40</v>
      </c>
      <c r="AB799" t="s">
        <v>53</v>
      </c>
      <c r="AC799">
        <v>8</v>
      </c>
    </row>
    <row r="800" spans="1:29" x14ac:dyDescent="0.25">
      <c r="A800" t="s">
        <v>1669</v>
      </c>
      <c r="B800">
        <v>27</v>
      </c>
      <c r="C800" t="s">
        <v>43</v>
      </c>
      <c r="D800" t="s">
        <v>44</v>
      </c>
      <c r="E800" t="s">
        <v>55</v>
      </c>
      <c r="F800" t="s">
        <v>56</v>
      </c>
      <c r="G800" t="s">
        <v>44</v>
      </c>
      <c r="H800" t="s">
        <v>1670</v>
      </c>
      <c r="I800" t="s">
        <v>65</v>
      </c>
      <c r="J800" s="1">
        <v>461.81</v>
      </c>
      <c r="K800">
        <v>12</v>
      </c>
      <c r="L800" t="s">
        <v>35</v>
      </c>
      <c r="M800">
        <v>4</v>
      </c>
      <c r="N800">
        <v>3</v>
      </c>
      <c r="O800">
        <v>0</v>
      </c>
      <c r="P800" t="s">
        <v>49</v>
      </c>
      <c r="Q800" t="s">
        <v>85</v>
      </c>
      <c r="R800">
        <v>0</v>
      </c>
      <c r="S800">
        <v>8</v>
      </c>
      <c r="T800" t="s">
        <v>59</v>
      </c>
      <c r="U800" t="s">
        <v>79</v>
      </c>
      <c r="V800" t="s">
        <v>66</v>
      </c>
      <c r="W800" s="2">
        <v>45450</v>
      </c>
      <c r="X800" s="4">
        <f ca="1">TODAY()-DATASET[[#This Row],[Time_of_Purchase]]</f>
        <v>684</v>
      </c>
      <c r="Y800" t="b">
        <v>1</v>
      </c>
      <c r="Z800" t="b">
        <v>0</v>
      </c>
      <c r="AA800" t="s">
        <v>52</v>
      </c>
      <c r="AB800" t="s">
        <v>41</v>
      </c>
      <c r="AC800">
        <v>8</v>
      </c>
    </row>
    <row r="801" spans="1:29" x14ac:dyDescent="0.25">
      <c r="A801" t="s">
        <v>1671</v>
      </c>
      <c r="B801">
        <v>31</v>
      </c>
      <c r="C801" t="s">
        <v>29</v>
      </c>
      <c r="D801" t="s">
        <v>44</v>
      </c>
      <c r="E801" t="s">
        <v>76</v>
      </c>
      <c r="F801" t="s">
        <v>32</v>
      </c>
      <c r="G801" t="s">
        <v>44</v>
      </c>
      <c r="H801" t="s">
        <v>1672</v>
      </c>
      <c r="I801" t="s">
        <v>104</v>
      </c>
      <c r="J801" s="1">
        <v>280.88</v>
      </c>
      <c r="K801">
        <v>4</v>
      </c>
      <c r="L801" t="s">
        <v>35</v>
      </c>
      <c r="M801">
        <v>3</v>
      </c>
      <c r="N801">
        <v>4</v>
      </c>
      <c r="O801">
        <v>1</v>
      </c>
      <c r="P801" t="s">
        <v>44</v>
      </c>
      <c r="Q801" t="s">
        <v>50</v>
      </c>
      <c r="R801">
        <v>0</v>
      </c>
      <c r="S801">
        <v>2</v>
      </c>
      <c r="T801" t="s">
        <v>44</v>
      </c>
      <c r="U801" t="s">
        <v>60</v>
      </c>
      <c r="V801" t="s">
        <v>39</v>
      </c>
      <c r="W801" s="2">
        <v>45417</v>
      </c>
      <c r="X801" s="4">
        <f ca="1">TODAY()-DATASET[[#This Row],[Time_of_Purchase]]</f>
        <v>717</v>
      </c>
      <c r="Y801" t="b">
        <v>1</v>
      </c>
      <c r="Z801" t="b">
        <v>1</v>
      </c>
      <c r="AA801" t="s">
        <v>74</v>
      </c>
      <c r="AB801" t="s">
        <v>41</v>
      </c>
      <c r="AC801">
        <v>2</v>
      </c>
    </row>
    <row r="802" spans="1:29" x14ac:dyDescent="0.25">
      <c r="A802" t="s">
        <v>1673</v>
      </c>
      <c r="B802">
        <v>44</v>
      </c>
      <c r="C802" t="s">
        <v>43</v>
      </c>
      <c r="D802" t="s">
        <v>30</v>
      </c>
      <c r="E802" t="s">
        <v>31</v>
      </c>
      <c r="F802" t="s">
        <v>56</v>
      </c>
      <c r="G802" t="s">
        <v>30</v>
      </c>
      <c r="H802" t="s">
        <v>1674</v>
      </c>
      <c r="I802" t="s">
        <v>98</v>
      </c>
      <c r="J802" s="1">
        <v>283.7</v>
      </c>
      <c r="K802">
        <v>8</v>
      </c>
      <c r="L802" t="s">
        <v>35</v>
      </c>
      <c r="M802">
        <v>2</v>
      </c>
      <c r="N802">
        <v>5</v>
      </c>
      <c r="O802">
        <v>1</v>
      </c>
      <c r="P802" t="s">
        <v>49</v>
      </c>
      <c r="Q802" t="s">
        <v>50</v>
      </c>
      <c r="R802">
        <v>1</v>
      </c>
      <c r="S802">
        <v>3</v>
      </c>
      <c r="T802" t="s">
        <v>59</v>
      </c>
      <c r="U802" t="s">
        <v>60</v>
      </c>
      <c r="V802" t="s">
        <v>86</v>
      </c>
      <c r="W802" s="2">
        <v>45351</v>
      </c>
      <c r="X802" s="4">
        <f ca="1">TODAY()-DATASET[[#This Row],[Time_of_Purchase]]</f>
        <v>783</v>
      </c>
      <c r="Y802" t="b">
        <v>0</v>
      </c>
      <c r="Z802" t="b">
        <v>0</v>
      </c>
      <c r="AA802" t="s">
        <v>62</v>
      </c>
      <c r="AB802" t="s">
        <v>67</v>
      </c>
      <c r="AC802">
        <v>8</v>
      </c>
    </row>
    <row r="803" spans="1:29" x14ac:dyDescent="0.25">
      <c r="A803" t="s">
        <v>1675</v>
      </c>
      <c r="B803">
        <v>24</v>
      </c>
      <c r="C803" t="s">
        <v>29</v>
      </c>
      <c r="D803" t="s">
        <v>44</v>
      </c>
      <c r="E803" t="s">
        <v>69</v>
      </c>
      <c r="F803" t="s">
        <v>45</v>
      </c>
      <c r="G803" t="s">
        <v>30</v>
      </c>
      <c r="H803" t="s">
        <v>1676</v>
      </c>
      <c r="I803" t="s">
        <v>98</v>
      </c>
      <c r="J803" s="1">
        <v>411.95</v>
      </c>
      <c r="K803">
        <v>10</v>
      </c>
      <c r="L803" t="s">
        <v>48</v>
      </c>
      <c r="M803">
        <v>5</v>
      </c>
      <c r="N803">
        <v>3</v>
      </c>
      <c r="O803">
        <v>1</v>
      </c>
      <c r="P803" t="s">
        <v>36</v>
      </c>
      <c r="Q803" t="s">
        <v>50</v>
      </c>
      <c r="R803">
        <v>0</v>
      </c>
      <c r="S803">
        <v>4</v>
      </c>
      <c r="T803" t="s">
        <v>36</v>
      </c>
      <c r="U803" t="s">
        <v>60</v>
      </c>
      <c r="V803" t="s">
        <v>51</v>
      </c>
      <c r="W803" s="2">
        <v>45644</v>
      </c>
      <c r="X803" s="4">
        <f ca="1">TODAY()-DATASET[[#This Row],[Time_of_Purchase]]</f>
        <v>490</v>
      </c>
      <c r="Y803" t="b">
        <v>1</v>
      </c>
      <c r="Z803" t="b">
        <v>1</v>
      </c>
      <c r="AA803" t="s">
        <v>62</v>
      </c>
      <c r="AB803" t="s">
        <v>53</v>
      </c>
      <c r="AC803">
        <v>5</v>
      </c>
    </row>
    <row r="804" spans="1:29" x14ac:dyDescent="0.25">
      <c r="A804" t="s">
        <v>1677</v>
      </c>
      <c r="B804">
        <v>32</v>
      </c>
      <c r="C804" t="s">
        <v>29</v>
      </c>
      <c r="D804" t="s">
        <v>30</v>
      </c>
      <c r="E804" t="s">
        <v>69</v>
      </c>
      <c r="F804" t="s">
        <v>56</v>
      </c>
      <c r="G804" t="s">
        <v>30</v>
      </c>
      <c r="H804" t="s">
        <v>1678</v>
      </c>
      <c r="I804" t="s">
        <v>34</v>
      </c>
      <c r="J804" s="1">
        <v>476.11</v>
      </c>
      <c r="K804">
        <v>5</v>
      </c>
      <c r="L804" t="s">
        <v>48</v>
      </c>
      <c r="M804">
        <v>1</v>
      </c>
      <c r="N804">
        <v>4</v>
      </c>
      <c r="O804">
        <v>1</v>
      </c>
      <c r="P804" t="s">
        <v>36</v>
      </c>
      <c r="Q804" t="s">
        <v>85</v>
      </c>
      <c r="R804">
        <v>2</v>
      </c>
      <c r="S804">
        <v>10</v>
      </c>
      <c r="T804" t="s">
        <v>44</v>
      </c>
      <c r="U804" t="s">
        <v>79</v>
      </c>
      <c r="V804" t="s">
        <v>61</v>
      </c>
      <c r="W804" s="2">
        <v>45594</v>
      </c>
      <c r="X804" s="4">
        <f ca="1">TODAY()-DATASET[[#This Row],[Time_of_Purchase]]</f>
        <v>540</v>
      </c>
      <c r="Y804" t="b">
        <v>1</v>
      </c>
      <c r="Z804" t="b">
        <v>0</v>
      </c>
      <c r="AA804" t="s">
        <v>52</v>
      </c>
      <c r="AB804" t="s">
        <v>53</v>
      </c>
      <c r="AC804">
        <v>1</v>
      </c>
    </row>
    <row r="805" spans="1:29" x14ac:dyDescent="0.25">
      <c r="A805" t="s">
        <v>1679</v>
      </c>
      <c r="B805">
        <v>28</v>
      </c>
      <c r="C805" t="s">
        <v>29</v>
      </c>
      <c r="D805" t="s">
        <v>30</v>
      </c>
      <c r="E805" t="s">
        <v>31</v>
      </c>
      <c r="F805" t="s">
        <v>56</v>
      </c>
      <c r="G805" t="s">
        <v>44</v>
      </c>
      <c r="H805" t="s">
        <v>1680</v>
      </c>
      <c r="I805" t="s">
        <v>34</v>
      </c>
      <c r="J805" s="1">
        <v>399.24</v>
      </c>
      <c r="K805">
        <v>7</v>
      </c>
      <c r="L805" t="s">
        <v>48</v>
      </c>
      <c r="M805">
        <v>4</v>
      </c>
      <c r="N805">
        <v>2</v>
      </c>
      <c r="O805">
        <v>1</v>
      </c>
      <c r="P805" t="s">
        <v>49</v>
      </c>
      <c r="Q805" t="s">
        <v>85</v>
      </c>
      <c r="R805">
        <v>1</v>
      </c>
      <c r="S805">
        <v>2</v>
      </c>
      <c r="T805" t="s">
        <v>49</v>
      </c>
      <c r="U805" t="s">
        <v>60</v>
      </c>
      <c r="V805" t="s">
        <v>61</v>
      </c>
      <c r="W805" s="2">
        <v>45464</v>
      </c>
      <c r="X805" s="4">
        <f ca="1">TODAY()-DATASET[[#This Row],[Time_of_Purchase]]</f>
        <v>670</v>
      </c>
      <c r="Y805" t="b">
        <v>0</v>
      </c>
      <c r="Z805" t="b">
        <v>0</v>
      </c>
      <c r="AA805" t="s">
        <v>40</v>
      </c>
      <c r="AB805" t="s">
        <v>53</v>
      </c>
      <c r="AC805">
        <v>10</v>
      </c>
    </row>
    <row r="806" spans="1:29" x14ac:dyDescent="0.25">
      <c r="A806" t="s">
        <v>1681</v>
      </c>
      <c r="B806">
        <v>26</v>
      </c>
      <c r="C806" t="s">
        <v>43</v>
      </c>
      <c r="D806" t="s">
        <v>30</v>
      </c>
      <c r="E806" t="s">
        <v>76</v>
      </c>
      <c r="F806" t="s">
        <v>56</v>
      </c>
      <c r="G806" t="s">
        <v>30</v>
      </c>
      <c r="H806" t="s">
        <v>1682</v>
      </c>
      <c r="I806" t="s">
        <v>246</v>
      </c>
      <c r="J806" s="1">
        <v>90.79</v>
      </c>
      <c r="K806">
        <v>12</v>
      </c>
      <c r="L806" t="s">
        <v>48</v>
      </c>
      <c r="M806">
        <v>4</v>
      </c>
      <c r="N806">
        <v>1</v>
      </c>
      <c r="O806">
        <v>2</v>
      </c>
      <c r="P806" t="s">
        <v>49</v>
      </c>
      <c r="Q806" t="s">
        <v>37</v>
      </c>
      <c r="R806">
        <v>0</v>
      </c>
      <c r="S806">
        <v>2</v>
      </c>
      <c r="T806" t="s">
        <v>49</v>
      </c>
      <c r="U806" t="s">
        <v>38</v>
      </c>
      <c r="V806" t="s">
        <v>66</v>
      </c>
      <c r="W806" s="2">
        <v>45551</v>
      </c>
      <c r="X806" s="4">
        <f ca="1">TODAY()-DATASET[[#This Row],[Time_of_Purchase]]</f>
        <v>583</v>
      </c>
      <c r="Y806" t="b">
        <v>0</v>
      </c>
      <c r="Z806" t="b">
        <v>0</v>
      </c>
      <c r="AA806" t="s">
        <v>74</v>
      </c>
      <c r="AB806" t="s">
        <v>41</v>
      </c>
      <c r="AC806">
        <v>6</v>
      </c>
    </row>
    <row r="807" spans="1:29" x14ac:dyDescent="0.25">
      <c r="A807" t="s">
        <v>1683</v>
      </c>
      <c r="B807">
        <v>38</v>
      </c>
      <c r="C807" t="s">
        <v>29</v>
      </c>
      <c r="D807" t="s">
        <v>30</v>
      </c>
      <c r="E807" t="s">
        <v>31</v>
      </c>
      <c r="F807" t="s">
        <v>56</v>
      </c>
      <c r="G807" t="s">
        <v>30</v>
      </c>
      <c r="H807" t="s">
        <v>1684</v>
      </c>
      <c r="I807" t="s">
        <v>101</v>
      </c>
      <c r="J807" s="1">
        <v>229.56</v>
      </c>
      <c r="K807">
        <v>9</v>
      </c>
      <c r="L807" t="s">
        <v>78</v>
      </c>
      <c r="M807">
        <v>1</v>
      </c>
      <c r="N807">
        <v>2</v>
      </c>
      <c r="O807">
        <v>1</v>
      </c>
      <c r="P807" t="s">
        <v>36</v>
      </c>
      <c r="Q807" t="s">
        <v>37</v>
      </c>
      <c r="R807">
        <v>0</v>
      </c>
      <c r="S807">
        <v>9</v>
      </c>
      <c r="T807" t="s">
        <v>59</v>
      </c>
      <c r="U807" t="s">
        <v>38</v>
      </c>
      <c r="V807" t="s">
        <v>51</v>
      </c>
      <c r="W807" s="2">
        <v>45305</v>
      </c>
      <c r="X807" s="4">
        <f ca="1">TODAY()-DATASET[[#This Row],[Time_of_Purchase]]</f>
        <v>829</v>
      </c>
      <c r="Y807" t="b">
        <v>1</v>
      </c>
      <c r="Z807" t="b">
        <v>1</v>
      </c>
      <c r="AA807" t="s">
        <v>40</v>
      </c>
      <c r="AB807" t="s">
        <v>41</v>
      </c>
      <c r="AC807">
        <v>11</v>
      </c>
    </row>
    <row r="808" spans="1:29" x14ac:dyDescent="0.25">
      <c r="A808" t="s">
        <v>1685</v>
      </c>
      <c r="B808">
        <v>28</v>
      </c>
      <c r="C808" t="s">
        <v>29</v>
      </c>
      <c r="D808" t="s">
        <v>30</v>
      </c>
      <c r="E808" t="s">
        <v>76</v>
      </c>
      <c r="F808" t="s">
        <v>45</v>
      </c>
      <c r="G808" t="s">
        <v>30</v>
      </c>
      <c r="H808" t="s">
        <v>1686</v>
      </c>
      <c r="I808" t="s">
        <v>90</v>
      </c>
      <c r="J808" s="1">
        <v>160.47</v>
      </c>
      <c r="K808">
        <v>7</v>
      </c>
      <c r="L808" t="s">
        <v>35</v>
      </c>
      <c r="M808">
        <v>1</v>
      </c>
      <c r="N808">
        <v>5</v>
      </c>
      <c r="O808">
        <v>0</v>
      </c>
      <c r="P808" t="s">
        <v>36</v>
      </c>
      <c r="Q808" t="s">
        <v>50</v>
      </c>
      <c r="R808">
        <v>0</v>
      </c>
      <c r="S808">
        <v>3</v>
      </c>
      <c r="T808" t="s">
        <v>36</v>
      </c>
      <c r="U808" t="s">
        <v>60</v>
      </c>
      <c r="V808" t="s">
        <v>61</v>
      </c>
      <c r="W808" s="2">
        <v>45368</v>
      </c>
      <c r="X808" s="4">
        <f ca="1">TODAY()-DATASET[[#This Row],[Time_of_Purchase]]</f>
        <v>766</v>
      </c>
      <c r="Y808" t="b">
        <v>1</v>
      </c>
      <c r="Z808" t="b">
        <v>0</v>
      </c>
      <c r="AA808" t="s">
        <v>52</v>
      </c>
      <c r="AB808" t="s">
        <v>41</v>
      </c>
      <c r="AC808">
        <v>6</v>
      </c>
    </row>
    <row r="809" spans="1:29" x14ac:dyDescent="0.25">
      <c r="A809" t="s">
        <v>1687</v>
      </c>
      <c r="B809">
        <v>30</v>
      </c>
      <c r="C809" t="s">
        <v>352</v>
      </c>
      <c r="D809" t="s">
        <v>44</v>
      </c>
      <c r="E809" t="s">
        <v>31</v>
      </c>
      <c r="F809" t="s">
        <v>45</v>
      </c>
      <c r="G809" t="s">
        <v>44</v>
      </c>
      <c r="H809" t="s">
        <v>1688</v>
      </c>
      <c r="I809" t="s">
        <v>120</v>
      </c>
      <c r="J809" s="1">
        <v>104.74</v>
      </c>
      <c r="K809">
        <v>6</v>
      </c>
      <c r="L809" t="s">
        <v>78</v>
      </c>
      <c r="M809">
        <v>2</v>
      </c>
      <c r="N809">
        <v>4</v>
      </c>
      <c r="O809">
        <v>2</v>
      </c>
      <c r="P809" t="s">
        <v>36</v>
      </c>
      <c r="Q809" t="s">
        <v>85</v>
      </c>
      <c r="R809">
        <v>0</v>
      </c>
      <c r="S809">
        <v>4</v>
      </c>
      <c r="T809" t="s">
        <v>59</v>
      </c>
      <c r="U809" t="s">
        <v>60</v>
      </c>
      <c r="V809" t="s">
        <v>51</v>
      </c>
      <c r="W809" s="2">
        <v>45557</v>
      </c>
      <c r="X809" s="4">
        <f ca="1">TODAY()-DATASET[[#This Row],[Time_of_Purchase]]</f>
        <v>577</v>
      </c>
      <c r="Y809" t="b">
        <v>0</v>
      </c>
      <c r="Z809" t="b">
        <v>0</v>
      </c>
      <c r="AA809" t="s">
        <v>62</v>
      </c>
      <c r="AB809" t="s">
        <v>41</v>
      </c>
      <c r="AC809">
        <v>1</v>
      </c>
    </row>
    <row r="810" spans="1:29" x14ac:dyDescent="0.25">
      <c r="A810" t="s">
        <v>1689</v>
      </c>
      <c r="B810">
        <v>37</v>
      </c>
      <c r="C810" t="s">
        <v>29</v>
      </c>
      <c r="D810" t="s">
        <v>44</v>
      </c>
      <c r="E810" t="s">
        <v>69</v>
      </c>
      <c r="F810" t="s">
        <v>56</v>
      </c>
      <c r="G810" t="s">
        <v>30</v>
      </c>
      <c r="H810" t="s">
        <v>1690</v>
      </c>
      <c r="I810" t="s">
        <v>47</v>
      </c>
      <c r="J810" s="1">
        <v>399.95</v>
      </c>
      <c r="K810">
        <v>10</v>
      </c>
      <c r="L810" t="s">
        <v>48</v>
      </c>
      <c r="M810">
        <v>2</v>
      </c>
      <c r="N810">
        <v>1</v>
      </c>
      <c r="O810">
        <v>0</v>
      </c>
      <c r="P810" t="s">
        <v>59</v>
      </c>
      <c r="Q810" t="s">
        <v>50</v>
      </c>
      <c r="R810">
        <v>1</v>
      </c>
      <c r="S810">
        <v>2</v>
      </c>
      <c r="T810" t="s">
        <v>44</v>
      </c>
      <c r="U810" t="s">
        <v>60</v>
      </c>
      <c r="V810" t="s">
        <v>86</v>
      </c>
      <c r="W810" s="2">
        <v>45358</v>
      </c>
      <c r="X810" s="4">
        <f ca="1">TODAY()-DATASET[[#This Row],[Time_of_Purchase]]</f>
        <v>776</v>
      </c>
      <c r="Y810" t="b">
        <v>1</v>
      </c>
      <c r="Z810" t="b">
        <v>0</v>
      </c>
      <c r="AA810" t="s">
        <v>40</v>
      </c>
      <c r="AB810" t="s">
        <v>67</v>
      </c>
      <c r="AC810">
        <v>10</v>
      </c>
    </row>
    <row r="811" spans="1:29" x14ac:dyDescent="0.25">
      <c r="A811" t="s">
        <v>1691</v>
      </c>
      <c r="B811">
        <v>47</v>
      </c>
      <c r="C811" t="s">
        <v>29</v>
      </c>
      <c r="D811" t="s">
        <v>44</v>
      </c>
      <c r="E811" t="s">
        <v>76</v>
      </c>
      <c r="F811" t="s">
        <v>32</v>
      </c>
      <c r="G811" t="s">
        <v>30</v>
      </c>
      <c r="H811" t="s">
        <v>1692</v>
      </c>
      <c r="I811" t="s">
        <v>123</v>
      </c>
      <c r="J811" s="1">
        <v>337.33</v>
      </c>
      <c r="K811">
        <v>8</v>
      </c>
      <c r="L811" t="s">
        <v>48</v>
      </c>
      <c r="M811">
        <v>1</v>
      </c>
      <c r="N811">
        <v>4</v>
      </c>
      <c r="O811">
        <v>1</v>
      </c>
      <c r="P811" t="s">
        <v>36</v>
      </c>
      <c r="Q811" t="s">
        <v>37</v>
      </c>
      <c r="R811">
        <v>0</v>
      </c>
      <c r="S811">
        <v>5</v>
      </c>
      <c r="T811" t="s">
        <v>49</v>
      </c>
      <c r="U811" t="s">
        <v>79</v>
      </c>
      <c r="V811" t="s">
        <v>61</v>
      </c>
      <c r="W811" s="2">
        <v>45621</v>
      </c>
      <c r="X811" s="4">
        <f ca="1">TODAY()-DATASET[[#This Row],[Time_of_Purchase]]</f>
        <v>513</v>
      </c>
      <c r="Y811" t="b">
        <v>0</v>
      </c>
      <c r="Z811" t="b">
        <v>0</v>
      </c>
      <c r="AA811" t="s">
        <v>74</v>
      </c>
      <c r="AB811" t="s">
        <v>67</v>
      </c>
      <c r="AC811">
        <v>10</v>
      </c>
    </row>
    <row r="812" spans="1:29" x14ac:dyDescent="0.25">
      <c r="A812" t="s">
        <v>1693</v>
      </c>
      <c r="B812">
        <v>41</v>
      </c>
      <c r="C812" t="s">
        <v>29</v>
      </c>
      <c r="D812" t="s">
        <v>44</v>
      </c>
      <c r="E812" t="s">
        <v>69</v>
      </c>
      <c r="F812" t="s">
        <v>56</v>
      </c>
      <c r="G812" t="s">
        <v>30</v>
      </c>
      <c r="H812" t="s">
        <v>1694</v>
      </c>
      <c r="I812" t="s">
        <v>246</v>
      </c>
      <c r="J812" s="1">
        <v>204.83</v>
      </c>
      <c r="K812">
        <v>6</v>
      </c>
      <c r="L812" t="s">
        <v>48</v>
      </c>
      <c r="M812">
        <v>5</v>
      </c>
      <c r="N812">
        <v>1</v>
      </c>
      <c r="O812">
        <v>0</v>
      </c>
      <c r="P812" t="s">
        <v>44</v>
      </c>
      <c r="Q812" t="s">
        <v>85</v>
      </c>
      <c r="R812">
        <v>1</v>
      </c>
      <c r="S812">
        <v>5</v>
      </c>
      <c r="T812" t="s">
        <v>49</v>
      </c>
      <c r="U812" t="s">
        <v>60</v>
      </c>
      <c r="V812" t="s">
        <v>61</v>
      </c>
      <c r="W812" s="2">
        <v>45404</v>
      </c>
      <c r="X812" s="4">
        <f ca="1">TODAY()-DATASET[[#This Row],[Time_of_Purchase]]</f>
        <v>730</v>
      </c>
      <c r="Y812" t="b">
        <v>1</v>
      </c>
      <c r="Z812" t="b">
        <v>0</v>
      </c>
      <c r="AA812" t="s">
        <v>52</v>
      </c>
      <c r="AB812" t="s">
        <v>53</v>
      </c>
      <c r="AC812">
        <v>5</v>
      </c>
    </row>
    <row r="813" spans="1:29" x14ac:dyDescent="0.25">
      <c r="A813" t="s">
        <v>1695</v>
      </c>
      <c r="B813">
        <v>22</v>
      </c>
      <c r="C813" t="s">
        <v>29</v>
      </c>
      <c r="D813" t="s">
        <v>30</v>
      </c>
      <c r="E813" t="s">
        <v>69</v>
      </c>
      <c r="F813" t="s">
        <v>56</v>
      </c>
      <c r="G813" t="s">
        <v>44</v>
      </c>
      <c r="H813" t="s">
        <v>1696</v>
      </c>
      <c r="I813" t="s">
        <v>114</v>
      </c>
      <c r="J813" s="1">
        <v>193.94</v>
      </c>
      <c r="K813">
        <v>11</v>
      </c>
      <c r="L813" t="s">
        <v>35</v>
      </c>
      <c r="M813">
        <v>4</v>
      </c>
      <c r="N813">
        <v>1</v>
      </c>
      <c r="O813">
        <v>0</v>
      </c>
      <c r="P813" t="s">
        <v>36</v>
      </c>
      <c r="Q813" t="s">
        <v>50</v>
      </c>
      <c r="R813">
        <v>0</v>
      </c>
      <c r="S813">
        <v>3</v>
      </c>
      <c r="T813" t="s">
        <v>44</v>
      </c>
      <c r="U813" t="s">
        <v>79</v>
      </c>
      <c r="V813" t="s">
        <v>66</v>
      </c>
      <c r="W813" s="2">
        <v>45513</v>
      </c>
      <c r="X813" s="4">
        <f ca="1">TODAY()-DATASET[[#This Row],[Time_of_Purchase]]</f>
        <v>621</v>
      </c>
      <c r="Y813" t="b">
        <v>0</v>
      </c>
      <c r="Z813" t="b">
        <v>0</v>
      </c>
      <c r="AA813" t="s">
        <v>52</v>
      </c>
      <c r="AB813" t="s">
        <v>53</v>
      </c>
      <c r="AC813">
        <v>9</v>
      </c>
    </row>
    <row r="814" spans="1:29" x14ac:dyDescent="0.25">
      <c r="A814" t="s">
        <v>1697</v>
      </c>
      <c r="B814">
        <v>46</v>
      </c>
      <c r="C814" t="s">
        <v>43</v>
      </c>
      <c r="D814" t="s">
        <v>44</v>
      </c>
      <c r="E814" t="s">
        <v>31</v>
      </c>
      <c r="F814" t="s">
        <v>56</v>
      </c>
      <c r="G814" t="s">
        <v>30</v>
      </c>
      <c r="H814" t="s">
        <v>1698</v>
      </c>
      <c r="I814" t="s">
        <v>93</v>
      </c>
      <c r="J814" s="1">
        <v>460.37</v>
      </c>
      <c r="K814">
        <v>10</v>
      </c>
      <c r="L814" t="s">
        <v>78</v>
      </c>
      <c r="M814">
        <v>5</v>
      </c>
      <c r="N814">
        <v>4</v>
      </c>
      <c r="O814">
        <v>2</v>
      </c>
      <c r="P814" t="s">
        <v>59</v>
      </c>
      <c r="Q814" t="s">
        <v>85</v>
      </c>
      <c r="R814">
        <v>2</v>
      </c>
      <c r="S814">
        <v>7</v>
      </c>
      <c r="T814" t="s">
        <v>44</v>
      </c>
      <c r="U814" t="s">
        <v>79</v>
      </c>
      <c r="V814" t="s">
        <v>39</v>
      </c>
      <c r="W814" s="2">
        <v>45486</v>
      </c>
      <c r="X814" s="4">
        <f ca="1">TODAY()-DATASET[[#This Row],[Time_of_Purchase]]</f>
        <v>648</v>
      </c>
      <c r="Y814" t="b">
        <v>1</v>
      </c>
      <c r="Z814" t="b">
        <v>1</v>
      </c>
      <c r="AA814" t="s">
        <v>52</v>
      </c>
      <c r="AB814" t="s">
        <v>67</v>
      </c>
      <c r="AC814">
        <v>12</v>
      </c>
    </row>
    <row r="815" spans="1:29" x14ac:dyDescent="0.25">
      <c r="A815" t="s">
        <v>1699</v>
      </c>
      <c r="B815">
        <v>34</v>
      </c>
      <c r="C815" t="s">
        <v>190</v>
      </c>
      <c r="D815" t="s">
        <v>30</v>
      </c>
      <c r="E815" t="s">
        <v>55</v>
      </c>
      <c r="F815" t="s">
        <v>32</v>
      </c>
      <c r="G815" t="s">
        <v>30</v>
      </c>
      <c r="H815" t="s">
        <v>637</v>
      </c>
      <c r="I815" t="s">
        <v>135</v>
      </c>
      <c r="J815" s="1">
        <v>297.29000000000002</v>
      </c>
      <c r="K815">
        <v>9</v>
      </c>
      <c r="L815" t="s">
        <v>78</v>
      </c>
      <c r="M815">
        <v>5</v>
      </c>
      <c r="N815">
        <v>4</v>
      </c>
      <c r="O815">
        <v>2</v>
      </c>
      <c r="P815" t="s">
        <v>36</v>
      </c>
      <c r="Q815" t="s">
        <v>50</v>
      </c>
      <c r="R815">
        <v>0</v>
      </c>
      <c r="S815">
        <v>9</v>
      </c>
      <c r="T815" t="s">
        <v>59</v>
      </c>
      <c r="U815" t="s">
        <v>60</v>
      </c>
      <c r="V815" t="s">
        <v>86</v>
      </c>
      <c r="W815" s="2">
        <v>45292</v>
      </c>
      <c r="X815" s="4">
        <f ca="1">TODAY()-DATASET[[#This Row],[Time_of_Purchase]]</f>
        <v>842</v>
      </c>
      <c r="Y815" t="b">
        <v>1</v>
      </c>
      <c r="Z815" t="b">
        <v>1</v>
      </c>
      <c r="AA815" t="s">
        <v>40</v>
      </c>
      <c r="AB815" t="s">
        <v>53</v>
      </c>
      <c r="AC815">
        <v>3</v>
      </c>
    </row>
    <row r="816" spans="1:29" x14ac:dyDescent="0.25">
      <c r="A816" t="s">
        <v>1700</v>
      </c>
      <c r="B816">
        <v>31</v>
      </c>
      <c r="C816" t="s">
        <v>43</v>
      </c>
      <c r="D816" t="s">
        <v>30</v>
      </c>
      <c r="E816" t="s">
        <v>55</v>
      </c>
      <c r="F816" t="s">
        <v>32</v>
      </c>
      <c r="G816" t="s">
        <v>30</v>
      </c>
      <c r="H816" t="s">
        <v>1701</v>
      </c>
      <c r="I816" t="s">
        <v>82</v>
      </c>
      <c r="J816" s="1">
        <v>389.47</v>
      </c>
      <c r="K816">
        <v>4</v>
      </c>
      <c r="L816" t="s">
        <v>48</v>
      </c>
      <c r="M816">
        <v>5</v>
      </c>
      <c r="N816">
        <v>3</v>
      </c>
      <c r="O816">
        <v>2</v>
      </c>
      <c r="P816" t="s">
        <v>59</v>
      </c>
      <c r="Q816" t="s">
        <v>50</v>
      </c>
      <c r="R816">
        <v>1</v>
      </c>
      <c r="S816">
        <v>9</v>
      </c>
      <c r="T816" t="s">
        <v>44</v>
      </c>
      <c r="U816" t="s">
        <v>79</v>
      </c>
      <c r="V816" t="s">
        <v>39</v>
      </c>
      <c r="W816" s="2">
        <v>45333</v>
      </c>
      <c r="X816" s="4">
        <f ca="1">TODAY()-DATASET[[#This Row],[Time_of_Purchase]]</f>
        <v>801</v>
      </c>
      <c r="Y816" t="b">
        <v>1</v>
      </c>
      <c r="Z816" t="b">
        <v>1</v>
      </c>
      <c r="AA816" t="s">
        <v>52</v>
      </c>
      <c r="AB816" t="s">
        <v>53</v>
      </c>
      <c r="AC816">
        <v>6</v>
      </c>
    </row>
    <row r="817" spans="1:29" x14ac:dyDescent="0.25">
      <c r="A817" t="s">
        <v>1702</v>
      </c>
      <c r="B817">
        <v>38</v>
      </c>
      <c r="C817" t="s">
        <v>43</v>
      </c>
      <c r="D817" t="s">
        <v>44</v>
      </c>
      <c r="E817" t="s">
        <v>55</v>
      </c>
      <c r="F817" t="s">
        <v>56</v>
      </c>
      <c r="G817" t="s">
        <v>44</v>
      </c>
      <c r="H817" t="s">
        <v>1703</v>
      </c>
      <c r="I817" t="s">
        <v>65</v>
      </c>
      <c r="J817" s="1">
        <v>370.05</v>
      </c>
      <c r="K817">
        <v>11</v>
      </c>
      <c r="L817" t="s">
        <v>35</v>
      </c>
      <c r="M817">
        <v>5</v>
      </c>
      <c r="N817">
        <v>3</v>
      </c>
      <c r="O817">
        <v>0</v>
      </c>
      <c r="P817" t="s">
        <v>49</v>
      </c>
      <c r="Q817" t="s">
        <v>85</v>
      </c>
      <c r="R817">
        <v>1</v>
      </c>
      <c r="S817">
        <v>10</v>
      </c>
      <c r="T817" t="s">
        <v>44</v>
      </c>
      <c r="U817" t="s">
        <v>60</v>
      </c>
      <c r="V817" t="s">
        <v>86</v>
      </c>
      <c r="W817" s="2">
        <v>45595</v>
      </c>
      <c r="X817" s="4">
        <f ca="1">TODAY()-DATASET[[#This Row],[Time_of_Purchase]]</f>
        <v>539</v>
      </c>
      <c r="Y817" t="b">
        <v>1</v>
      </c>
      <c r="Z817" t="b">
        <v>1</v>
      </c>
      <c r="AA817" t="s">
        <v>62</v>
      </c>
      <c r="AB817" t="s">
        <v>41</v>
      </c>
      <c r="AC817">
        <v>10</v>
      </c>
    </row>
    <row r="818" spans="1:29" x14ac:dyDescent="0.25">
      <c r="A818" t="s">
        <v>1704</v>
      </c>
      <c r="B818">
        <v>45</v>
      </c>
      <c r="C818" t="s">
        <v>43</v>
      </c>
      <c r="D818" t="s">
        <v>44</v>
      </c>
      <c r="E818" t="s">
        <v>55</v>
      </c>
      <c r="F818" t="s">
        <v>56</v>
      </c>
      <c r="G818" t="s">
        <v>30</v>
      </c>
      <c r="H818" t="s">
        <v>1705</v>
      </c>
      <c r="I818" t="s">
        <v>246</v>
      </c>
      <c r="J818" s="1">
        <v>462.24</v>
      </c>
      <c r="K818">
        <v>2</v>
      </c>
      <c r="L818" t="s">
        <v>35</v>
      </c>
      <c r="M818">
        <v>4</v>
      </c>
      <c r="N818">
        <v>5</v>
      </c>
      <c r="O818">
        <v>0</v>
      </c>
      <c r="P818" t="s">
        <v>59</v>
      </c>
      <c r="Q818" t="s">
        <v>50</v>
      </c>
      <c r="R818">
        <v>2</v>
      </c>
      <c r="S818">
        <v>1</v>
      </c>
      <c r="T818" t="s">
        <v>36</v>
      </c>
      <c r="U818" t="s">
        <v>60</v>
      </c>
      <c r="V818" t="s">
        <v>66</v>
      </c>
      <c r="W818" s="2">
        <v>45370</v>
      </c>
      <c r="X818" s="4">
        <f ca="1">TODAY()-DATASET[[#This Row],[Time_of_Purchase]]</f>
        <v>764</v>
      </c>
      <c r="Y818" t="b">
        <v>1</v>
      </c>
      <c r="Z818" t="b">
        <v>1</v>
      </c>
      <c r="AA818" t="s">
        <v>52</v>
      </c>
      <c r="AB818" t="s">
        <v>67</v>
      </c>
      <c r="AC818">
        <v>13</v>
      </c>
    </row>
    <row r="819" spans="1:29" x14ac:dyDescent="0.25">
      <c r="A819" t="s">
        <v>1706</v>
      </c>
      <c r="B819">
        <v>30</v>
      </c>
      <c r="C819" t="s">
        <v>29</v>
      </c>
      <c r="D819" t="s">
        <v>44</v>
      </c>
      <c r="E819" t="s">
        <v>31</v>
      </c>
      <c r="F819" t="s">
        <v>45</v>
      </c>
      <c r="G819" t="s">
        <v>44</v>
      </c>
      <c r="H819" t="s">
        <v>1707</v>
      </c>
      <c r="I819" t="s">
        <v>47</v>
      </c>
      <c r="J819" s="1">
        <v>472.53</v>
      </c>
      <c r="K819">
        <v>11</v>
      </c>
      <c r="L819" t="s">
        <v>78</v>
      </c>
      <c r="M819">
        <v>4</v>
      </c>
      <c r="N819">
        <v>1</v>
      </c>
      <c r="O819">
        <v>1</v>
      </c>
      <c r="P819" t="s">
        <v>49</v>
      </c>
      <c r="Q819" t="s">
        <v>37</v>
      </c>
      <c r="R819">
        <v>2</v>
      </c>
      <c r="S819">
        <v>7</v>
      </c>
      <c r="T819" t="s">
        <v>49</v>
      </c>
      <c r="U819" t="s">
        <v>60</v>
      </c>
      <c r="V819" t="s">
        <v>61</v>
      </c>
      <c r="W819" s="2">
        <v>45412</v>
      </c>
      <c r="X819" s="4">
        <f ca="1">TODAY()-DATASET[[#This Row],[Time_of_Purchase]]</f>
        <v>722</v>
      </c>
      <c r="Y819" t="b">
        <v>0</v>
      </c>
      <c r="Z819" t="b">
        <v>0</v>
      </c>
      <c r="AA819" t="s">
        <v>52</v>
      </c>
      <c r="AB819" t="s">
        <v>67</v>
      </c>
      <c r="AC819">
        <v>4</v>
      </c>
    </row>
    <row r="820" spans="1:29" x14ac:dyDescent="0.25">
      <c r="A820" t="s">
        <v>1708</v>
      </c>
      <c r="B820">
        <v>45</v>
      </c>
      <c r="C820" t="s">
        <v>29</v>
      </c>
      <c r="D820" t="s">
        <v>30</v>
      </c>
      <c r="E820" t="s">
        <v>31</v>
      </c>
      <c r="F820" t="s">
        <v>45</v>
      </c>
      <c r="G820" t="s">
        <v>30</v>
      </c>
      <c r="H820" t="s">
        <v>1709</v>
      </c>
      <c r="I820" t="s">
        <v>65</v>
      </c>
      <c r="J820" s="1">
        <v>407.29</v>
      </c>
      <c r="K820">
        <v>3</v>
      </c>
      <c r="L820" t="s">
        <v>48</v>
      </c>
      <c r="M820">
        <v>5</v>
      </c>
      <c r="N820">
        <v>5</v>
      </c>
      <c r="O820">
        <v>0</v>
      </c>
      <c r="P820" t="s">
        <v>59</v>
      </c>
      <c r="Q820" t="s">
        <v>50</v>
      </c>
      <c r="R820">
        <v>0</v>
      </c>
      <c r="S820">
        <v>5</v>
      </c>
      <c r="T820" t="s">
        <v>59</v>
      </c>
      <c r="U820" t="s">
        <v>38</v>
      </c>
      <c r="V820" t="s">
        <v>66</v>
      </c>
      <c r="W820" s="2">
        <v>45621</v>
      </c>
      <c r="X820" s="4">
        <f ca="1">TODAY()-DATASET[[#This Row],[Time_of_Purchase]]</f>
        <v>513</v>
      </c>
      <c r="Y820" t="b">
        <v>0</v>
      </c>
      <c r="Z820" t="b">
        <v>0</v>
      </c>
      <c r="AA820" t="s">
        <v>74</v>
      </c>
      <c r="AB820" t="s">
        <v>67</v>
      </c>
      <c r="AC820">
        <v>3</v>
      </c>
    </row>
    <row r="821" spans="1:29" x14ac:dyDescent="0.25">
      <c r="A821" t="s">
        <v>1710</v>
      </c>
      <c r="B821">
        <v>18</v>
      </c>
      <c r="C821" t="s">
        <v>43</v>
      </c>
      <c r="D821" t="s">
        <v>44</v>
      </c>
      <c r="E821" t="s">
        <v>31</v>
      </c>
      <c r="F821" t="s">
        <v>32</v>
      </c>
      <c r="G821" t="s">
        <v>44</v>
      </c>
      <c r="H821" t="s">
        <v>1711</v>
      </c>
      <c r="I821" t="s">
        <v>93</v>
      </c>
      <c r="J821" s="1">
        <v>135.65</v>
      </c>
      <c r="K821">
        <v>8</v>
      </c>
      <c r="L821" t="s">
        <v>78</v>
      </c>
      <c r="M821">
        <v>4</v>
      </c>
      <c r="N821">
        <v>1</v>
      </c>
      <c r="O821">
        <v>1</v>
      </c>
      <c r="P821" t="s">
        <v>59</v>
      </c>
      <c r="Q821" t="s">
        <v>85</v>
      </c>
      <c r="R821">
        <v>0</v>
      </c>
      <c r="S821">
        <v>9</v>
      </c>
      <c r="T821" t="s">
        <v>36</v>
      </c>
      <c r="U821" t="s">
        <v>79</v>
      </c>
      <c r="V821" t="s">
        <v>66</v>
      </c>
      <c r="W821" s="2">
        <v>45338</v>
      </c>
      <c r="X821" s="4">
        <f ca="1">TODAY()-DATASET[[#This Row],[Time_of_Purchase]]</f>
        <v>796</v>
      </c>
      <c r="Y821" t="b">
        <v>0</v>
      </c>
      <c r="Z821" t="b">
        <v>0</v>
      </c>
      <c r="AA821" t="s">
        <v>62</v>
      </c>
      <c r="AB821" t="s">
        <v>53</v>
      </c>
      <c r="AC821">
        <v>14</v>
      </c>
    </row>
    <row r="822" spans="1:29" x14ac:dyDescent="0.25">
      <c r="A822" t="s">
        <v>1712</v>
      </c>
      <c r="B822">
        <v>36</v>
      </c>
      <c r="C822" t="s">
        <v>43</v>
      </c>
      <c r="D822" t="s">
        <v>44</v>
      </c>
      <c r="E822" t="s">
        <v>55</v>
      </c>
      <c r="F822" t="s">
        <v>32</v>
      </c>
      <c r="G822" t="s">
        <v>30</v>
      </c>
      <c r="H822" t="s">
        <v>1713</v>
      </c>
      <c r="I822" t="s">
        <v>101</v>
      </c>
      <c r="J822" s="1">
        <v>352.35</v>
      </c>
      <c r="K822">
        <v>4</v>
      </c>
      <c r="L822" t="s">
        <v>78</v>
      </c>
      <c r="M822">
        <v>2</v>
      </c>
      <c r="N822">
        <v>2</v>
      </c>
      <c r="O822">
        <v>0</v>
      </c>
      <c r="P822" t="s">
        <v>59</v>
      </c>
      <c r="Q822" t="s">
        <v>85</v>
      </c>
      <c r="R822">
        <v>1</v>
      </c>
      <c r="S822">
        <v>1</v>
      </c>
      <c r="T822" t="s">
        <v>59</v>
      </c>
      <c r="U822" t="s">
        <v>60</v>
      </c>
      <c r="V822" t="s">
        <v>39</v>
      </c>
      <c r="W822" s="2">
        <v>45463</v>
      </c>
      <c r="X822" s="4">
        <f ca="1">TODAY()-DATASET[[#This Row],[Time_of_Purchase]]</f>
        <v>671</v>
      </c>
      <c r="Y822" t="b">
        <v>0</v>
      </c>
      <c r="Z822" t="b">
        <v>0</v>
      </c>
      <c r="AA822" t="s">
        <v>74</v>
      </c>
      <c r="AB822" t="s">
        <v>67</v>
      </c>
      <c r="AC822">
        <v>14</v>
      </c>
    </row>
    <row r="823" spans="1:29" x14ac:dyDescent="0.25">
      <c r="A823" t="s">
        <v>1714</v>
      </c>
      <c r="B823">
        <v>25</v>
      </c>
      <c r="C823" t="s">
        <v>29</v>
      </c>
      <c r="D823" t="s">
        <v>44</v>
      </c>
      <c r="E823" t="s">
        <v>55</v>
      </c>
      <c r="F823" t="s">
        <v>45</v>
      </c>
      <c r="G823" t="s">
        <v>44</v>
      </c>
      <c r="H823" t="s">
        <v>520</v>
      </c>
      <c r="I823" t="s">
        <v>82</v>
      </c>
      <c r="J823" s="1">
        <v>441.73</v>
      </c>
      <c r="K823">
        <v>12</v>
      </c>
      <c r="L823" t="s">
        <v>78</v>
      </c>
      <c r="M823">
        <v>1</v>
      </c>
      <c r="N823">
        <v>4</v>
      </c>
      <c r="O823">
        <v>2</v>
      </c>
      <c r="P823" t="s">
        <v>59</v>
      </c>
      <c r="Q823" t="s">
        <v>37</v>
      </c>
      <c r="R823">
        <v>0</v>
      </c>
      <c r="S823">
        <v>8</v>
      </c>
      <c r="T823" t="s">
        <v>49</v>
      </c>
      <c r="U823" t="s">
        <v>60</v>
      </c>
      <c r="V823" t="s">
        <v>39</v>
      </c>
      <c r="W823" s="2">
        <v>45326</v>
      </c>
      <c r="X823" s="4">
        <f ca="1">TODAY()-DATASET[[#This Row],[Time_of_Purchase]]</f>
        <v>808</v>
      </c>
      <c r="Y823" t="b">
        <v>1</v>
      </c>
      <c r="Z823" t="b">
        <v>0</v>
      </c>
      <c r="AA823" t="s">
        <v>74</v>
      </c>
      <c r="AB823" t="s">
        <v>53</v>
      </c>
      <c r="AC823">
        <v>8</v>
      </c>
    </row>
    <row r="824" spans="1:29" x14ac:dyDescent="0.25">
      <c r="A824" t="s">
        <v>1715</v>
      </c>
      <c r="B824">
        <v>21</v>
      </c>
      <c r="C824" t="s">
        <v>29</v>
      </c>
      <c r="D824" t="s">
        <v>44</v>
      </c>
      <c r="E824" t="s">
        <v>76</v>
      </c>
      <c r="F824" t="s">
        <v>45</v>
      </c>
      <c r="G824" t="s">
        <v>30</v>
      </c>
      <c r="H824" t="s">
        <v>1716</v>
      </c>
      <c r="I824" t="s">
        <v>98</v>
      </c>
      <c r="J824" s="1">
        <v>105.95</v>
      </c>
      <c r="K824">
        <v>12</v>
      </c>
      <c r="L824" t="s">
        <v>35</v>
      </c>
      <c r="M824">
        <v>1</v>
      </c>
      <c r="N824">
        <v>4</v>
      </c>
      <c r="O824">
        <v>2</v>
      </c>
      <c r="P824" t="s">
        <v>59</v>
      </c>
      <c r="Q824" t="s">
        <v>85</v>
      </c>
      <c r="R824">
        <v>1</v>
      </c>
      <c r="S824">
        <v>7</v>
      </c>
      <c r="T824" t="s">
        <v>49</v>
      </c>
      <c r="U824" t="s">
        <v>79</v>
      </c>
      <c r="V824" t="s">
        <v>86</v>
      </c>
      <c r="W824" s="2">
        <v>45508</v>
      </c>
      <c r="X824" s="4">
        <f ca="1">TODAY()-DATASET[[#This Row],[Time_of_Purchase]]</f>
        <v>626</v>
      </c>
      <c r="Y824" t="b">
        <v>0</v>
      </c>
      <c r="Z824" t="b">
        <v>0</v>
      </c>
      <c r="AA824" t="s">
        <v>62</v>
      </c>
      <c r="AB824" t="s">
        <v>53</v>
      </c>
      <c r="AC824">
        <v>11</v>
      </c>
    </row>
    <row r="825" spans="1:29" x14ac:dyDescent="0.25">
      <c r="A825" t="s">
        <v>1717</v>
      </c>
      <c r="B825">
        <v>26</v>
      </c>
      <c r="C825" t="s">
        <v>43</v>
      </c>
      <c r="D825" t="s">
        <v>44</v>
      </c>
      <c r="E825" t="s">
        <v>55</v>
      </c>
      <c r="F825" t="s">
        <v>56</v>
      </c>
      <c r="G825" t="s">
        <v>44</v>
      </c>
      <c r="H825" t="s">
        <v>1718</v>
      </c>
      <c r="I825" t="s">
        <v>158</v>
      </c>
      <c r="J825" s="1">
        <v>351.54</v>
      </c>
      <c r="K825">
        <v>11</v>
      </c>
      <c r="L825" t="s">
        <v>35</v>
      </c>
      <c r="M825">
        <v>1</v>
      </c>
      <c r="N825">
        <v>3</v>
      </c>
      <c r="O825">
        <v>2</v>
      </c>
      <c r="P825" t="s">
        <v>36</v>
      </c>
      <c r="Q825" t="s">
        <v>37</v>
      </c>
      <c r="R825">
        <v>0</v>
      </c>
      <c r="S825">
        <v>8</v>
      </c>
      <c r="T825" t="s">
        <v>36</v>
      </c>
      <c r="U825" t="s">
        <v>38</v>
      </c>
      <c r="V825" t="s">
        <v>51</v>
      </c>
      <c r="W825" s="2">
        <v>45372</v>
      </c>
      <c r="X825" s="4">
        <f ca="1">TODAY()-DATASET[[#This Row],[Time_of_Purchase]]</f>
        <v>762</v>
      </c>
      <c r="Y825" t="b">
        <v>1</v>
      </c>
      <c r="Z825" t="b">
        <v>0</v>
      </c>
      <c r="AA825" t="s">
        <v>74</v>
      </c>
      <c r="AB825" t="s">
        <v>67</v>
      </c>
      <c r="AC825">
        <v>12</v>
      </c>
    </row>
    <row r="826" spans="1:29" x14ac:dyDescent="0.25">
      <c r="A826" t="s">
        <v>1719</v>
      </c>
      <c r="B826">
        <v>40</v>
      </c>
      <c r="C826" t="s">
        <v>43</v>
      </c>
      <c r="D826" t="s">
        <v>44</v>
      </c>
      <c r="E826" t="s">
        <v>76</v>
      </c>
      <c r="F826" t="s">
        <v>32</v>
      </c>
      <c r="G826" t="s">
        <v>44</v>
      </c>
      <c r="H826" t="s">
        <v>1720</v>
      </c>
      <c r="I826" t="s">
        <v>65</v>
      </c>
      <c r="J826" s="1">
        <v>321.26</v>
      </c>
      <c r="K826">
        <v>12</v>
      </c>
      <c r="L826" t="s">
        <v>78</v>
      </c>
      <c r="M826">
        <v>4</v>
      </c>
      <c r="N826">
        <v>1</v>
      </c>
      <c r="O826">
        <v>0</v>
      </c>
      <c r="P826" t="s">
        <v>36</v>
      </c>
      <c r="Q826" t="s">
        <v>85</v>
      </c>
      <c r="R826">
        <v>0</v>
      </c>
      <c r="S826">
        <v>6</v>
      </c>
      <c r="T826" t="s">
        <v>36</v>
      </c>
      <c r="U826" t="s">
        <v>79</v>
      </c>
      <c r="V826" t="s">
        <v>61</v>
      </c>
      <c r="W826" s="2">
        <v>45456</v>
      </c>
      <c r="X826" s="4">
        <f ca="1">TODAY()-DATASET[[#This Row],[Time_of_Purchase]]</f>
        <v>678</v>
      </c>
      <c r="Y826" t="b">
        <v>0</v>
      </c>
      <c r="Z826" t="b">
        <v>0</v>
      </c>
      <c r="AA826" t="s">
        <v>40</v>
      </c>
      <c r="AB826" t="s">
        <v>53</v>
      </c>
      <c r="AC826">
        <v>14</v>
      </c>
    </row>
    <row r="827" spans="1:29" x14ac:dyDescent="0.25">
      <c r="A827" t="s">
        <v>1721</v>
      </c>
      <c r="B827">
        <v>47</v>
      </c>
      <c r="C827" t="s">
        <v>29</v>
      </c>
      <c r="D827" t="s">
        <v>44</v>
      </c>
      <c r="E827" t="s">
        <v>76</v>
      </c>
      <c r="F827" t="s">
        <v>45</v>
      </c>
      <c r="G827" t="s">
        <v>30</v>
      </c>
      <c r="H827" t="s">
        <v>1722</v>
      </c>
      <c r="I827" t="s">
        <v>101</v>
      </c>
      <c r="J827" s="1">
        <v>421.5</v>
      </c>
      <c r="K827">
        <v>11</v>
      </c>
      <c r="L827" t="s">
        <v>78</v>
      </c>
      <c r="M827">
        <v>5</v>
      </c>
      <c r="N827">
        <v>1</v>
      </c>
      <c r="O827">
        <v>2</v>
      </c>
      <c r="P827" t="s">
        <v>59</v>
      </c>
      <c r="Q827" t="s">
        <v>37</v>
      </c>
      <c r="R827">
        <v>0</v>
      </c>
      <c r="S827">
        <v>8</v>
      </c>
      <c r="T827" t="s">
        <v>36</v>
      </c>
      <c r="U827" t="s">
        <v>79</v>
      </c>
      <c r="V827" t="s">
        <v>51</v>
      </c>
      <c r="W827" s="2">
        <v>45386</v>
      </c>
      <c r="X827" s="4">
        <f ca="1">TODAY()-DATASET[[#This Row],[Time_of_Purchase]]</f>
        <v>748</v>
      </c>
      <c r="Y827" t="b">
        <v>1</v>
      </c>
      <c r="Z827" t="b">
        <v>1</v>
      </c>
      <c r="AA827" t="s">
        <v>40</v>
      </c>
      <c r="AB827" t="s">
        <v>67</v>
      </c>
      <c r="AC827">
        <v>3</v>
      </c>
    </row>
    <row r="828" spans="1:29" x14ac:dyDescent="0.25">
      <c r="A828" t="s">
        <v>1723</v>
      </c>
      <c r="B828">
        <v>27</v>
      </c>
      <c r="C828" t="s">
        <v>88</v>
      </c>
      <c r="D828" t="s">
        <v>44</v>
      </c>
      <c r="E828" t="s">
        <v>69</v>
      </c>
      <c r="F828" t="s">
        <v>45</v>
      </c>
      <c r="G828" t="s">
        <v>30</v>
      </c>
      <c r="H828" t="s">
        <v>1724</v>
      </c>
      <c r="I828" t="s">
        <v>47</v>
      </c>
      <c r="J828" s="1">
        <v>253.29</v>
      </c>
      <c r="K828">
        <v>6</v>
      </c>
      <c r="L828" t="s">
        <v>35</v>
      </c>
      <c r="M828">
        <v>3</v>
      </c>
      <c r="N828">
        <v>2</v>
      </c>
      <c r="O828">
        <v>2</v>
      </c>
      <c r="P828" t="s">
        <v>36</v>
      </c>
      <c r="Q828" t="s">
        <v>37</v>
      </c>
      <c r="R828">
        <v>1</v>
      </c>
      <c r="S828">
        <v>4</v>
      </c>
      <c r="T828" t="s">
        <v>36</v>
      </c>
      <c r="U828" t="s">
        <v>79</v>
      </c>
      <c r="V828" t="s">
        <v>51</v>
      </c>
      <c r="W828" s="2">
        <v>45414</v>
      </c>
      <c r="X828" s="4">
        <f ca="1">TODAY()-DATASET[[#This Row],[Time_of_Purchase]]</f>
        <v>720</v>
      </c>
      <c r="Y828" t="b">
        <v>1</v>
      </c>
      <c r="Z828" t="b">
        <v>0</v>
      </c>
      <c r="AA828" t="s">
        <v>74</v>
      </c>
      <c r="AB828" t="s">
        <v>53</v>
      </c>
      <c r="AC828">
        <v>8</v>
      </c>
    </row>
    <row r="829" spans="1:29" x14ac:dyDescent="0.25">
      <c r="A829" t="s">
        <v>1725</v>
      </c>
      <c r="B829">
        <v>29</v>
      </c>
      <c r="C829" t="s">
        <v>29</v>
      </c>
      <c r="D829" t="s">
        <v>30</v>
      </c>
      <c r="E829" t="s">
        <v>76</v>
      </c>
      <c r="F829" t="s">
        <v>45</v>
      </c>
      <c r="G829" t="s">
        <v>44</v>
      </c>
      <c r="H829" t="s">
        <v>1726</v>
      </c>
      <c r="I829" t="s">
        <v>246</v>
      </c>
      <c r="J829" s="1">
        <v>217.62</v>
      </c>
      <c r="K829">
        <v>3</v>
      </c>
      <c r="L829" t="s">
        <v>78</v>
      </c>
      <c r="M829">
        <v>5</v>
      </c>
      <c r="N829">
        <v>2</v>
      </c>
      <c r="O829">
        <v>1</v>
      </c>
      <c r="P829" t="s">
        <v>44</v>
      </c>
      <c r="Q829" t="s">
        <v>85</v>
      </c>
      <c r="R829">
        <v>2</v>
      </c>
      <c r="S829">
        <v>3</v>
      </c>
      <c r="T829" t="s">
        <v>59</v>
      </c>
      <c r="U829" t="s">
        <v>60</v>
      </c>
      <c r="V829" t="s">
        <v>51</v>
      </c>
      <c r="W829" s="2">
        <v>45336</v>
      </c>
      <c r="X829" s="4">
        <f ca="1">TODAY()-DATASET[[#This Row],[Time_of_Purchase]]</f>
        <v>798</v>
      </c>
      <c r="Y829" t="b">
        <v>0</v>
      </c>
      <c r="Z829" t="b">
        <v>1</v>
      </c>
      <c r="AA829" t="s">
        <v>62</v>
      </c>
      <c r="AB829" t="s">
        <v>41</v>
      </c>
      <c r="AC829">
        <v>5</v>
      </c>
    </row>
    <row r="830" spans="1:29" x14ac:dyDescent="0.25">
      <c r="A830" t="s">
        <v>1727</v>
      </c>
      <c r="B830">
        <v>21</v>
      </c>
      <c r="C830" t="s">
        <v>43</v>
      </c>
      <c r="D830" t="s">
        <v>30</v>
      </c>
      <c r="E830" t="s">
        <v>55</v>
      </c>
      <c r="F830" t="s">
        <v>32</v>
      </c>
      <c r="G830" t="s">
        <v>44</v>
      </c>
      <c r="H830" t="s">
        <v>1728</v>
      </c>
      <c r="I830" t="s">
        <v>82</v>
      </c>
      <c r="J830" s="1">
        <v>226.04</v>
      </c>
      <c r="K830">
        <v>11</v>
      </c>
      <c r="L830" t="s">
        <v>78</v>
      </c>
      <c r="M830">
        <v>4</v>
      </c>
      <c r="N830">
        <v>1</v>
      </c>
      <c r="O830">
        <v>1</v>
      </c>
      <c r="P830" t="s">
        <v>36</v>
      </c>
      <c r="Q830" t="s">
        <v>85</v>
      </c>
      <c r="R830">
        <v>0</v>
      </c>
      <c r="S830">
        <v>9</v>
      </c>
      <c r="T830" t="s">
        <v>49</v>
      </c>
      <c r="U830" t="s">
        <v>79</v>
      </c>
      <c r="V830" t="s">
        <v>51</v>
      </c>
      <c r="W830" s="2">
        <v>45426</v>
      </c>
      <c r="X830" s="4">
        <f ca="1">TODAY()-DATASET[[#This Row],[Time_of_Purchase]]</f>
        <v>708</v>
      </c>
      <c r="Y830" t="b">
        <v>1</v>
      </c>
      <c r="Z830" t="b">
        <v>0</v>
      </c>
      <c r="AA830" t="s">
        <v>52</v>
      </c>
      <c r="AB830" t="s">
        <v>67</v>
      </c>
      <c r="AC830">
        <v>12</v>
      </c>
    </row>
    <row r="831" spans="1:29" x14ac:dyDescent="0.25">
      <c r="A831" t="s">
        <v>1729</v>
      </c>
      <c r="B831">
        <v>41</v>
      </c>
      <c r="C831" t="s">
        <v>148</v>
      </c>
      <c r="D831" t="s">
        <v>44</v>
      </c>
      <c r="E831" t="s">
        <v>55</v>
      </c>
      <c r="F831" t="s">
        <v>32</v>
      </c>
      <c r="G831" t="s">
        <v>44</v>
      </c>
      <c r="H831" t="s">
        <v>1730</v>
      </c>
      <c r="I831" t="s">
        <v>114</v>
      </c>
      <c r="J831" s="1">
        <v>52.79</v>
      </c>
      <c r="K831">
        <v>4</v>
      </c>
      <c r="L831" t="s">
        <v>78</v>
      </c>
      <c r="M831">
        <v>2</v>
      </c>
      <c r="N831">
        <v>2</v>
      </c>
      <c r="O831">
        <v>0</v>
      </c>
      <c r="P831" t="s">
        <v>59</v>
      </c>
      <c r="Q831" t="s">
        <v>50</v>
      </c>
      <c r="R831">
        <v>1</v>
      </c>
      <c r="S831">
        <v>7</v>
      </c>
      <c r="T831" t="s">
        <v>36</v>
      </c>
      <c r="U831" t="s">
        <v>38</v>
      </c>
      <c r="V831" t="s">
        <v>61</v>
      </c>
      <c r="W831" s="2">
        <v>45328</v>
      </c>
      <c r="X831" s="4">
        <f ca="1">TODAY()-DATASET[[#This Row],[Time_of_Purchase]]</f>
        <v>806</v>
      </c>
      <c r="Y831" t="b">
        <v>1</v>
      </c>
      <c r="Z831" t="b">
        <v>1</v>
      </c>
      <c r="AA831" t="s">
        <v>62</v>
      </c>
      <c r="AB831" t="s">
        <v>67</v>
      </c>
      <c r="AC831">
        <v>4</v>
      </c>
    </row>
    <row r="832" spans="1:29" x14ac:dyDescent="0.25">
      <c r="A832" t="s">
        <v>1731</v>
      </c>
      <c r="B832">
        <v>43</v>
      </c>
      <c r="C832" t="s">
        <v>43</v>
      </c>
      <c r="D832" t="s">
        <v>30</v>
      </c>
      <c r="E832" t="s">
        <v>69</v>
      </c>
      <c r="F832" t="s">
        <v>45</v>
      </c>
      <c r="G832" t="s">
        <v>44</v>
      </c>
      <c r="H832" t="s">
        <v>1732</v>
      </c>
      <c r="I832" t="s">
        <v>246</v>
      </c>
      <c r="J832" s="1">
        <v>385.08</v>
      </c>
      <c r="K832">
        <v>7</v>
      </c>
      <c r="L832" t="s">
        <v>48</v>
      </c>
      <c r="M832">
        <v>2</v>
      </c>
      <c r="N832">
        <v>4</v>
      </c>
      <c r="O832">
        <v>1</v>
      </c>
      <c r="P832" t="s">
        <v>44</v>
      </c>
      <c r="Q832" t="s">
        <v>37</v>
      </c>
      <c r="R832">
        <v>1</v>
      </c>
      <c r="S832">
        <v>1</v>
      </c>
      <c r="T832" t="s">
        <v>59</v>
      </c>
      <c r="U832" t="s">
        <v>38</v>
      </c>
      <c r="V832" t="s">
        <v>61</v>
      </c>
      <c r="W832" s="2">
        <v>45608</v>
      </c>
      <c r="X832" s="4">
        <f ca="1">TODAY()-DATASET[[#This Row],[Time_of_Purchase]]</f>
        <v>526</v>
      </c>
      <c r="Y832" t="b">
        <v>0</v>
      </c>
      <c r="Z832" t="b">
        <v>1</v>
      </c>
      <c r="AA832" t="s">
        <v>62</v>
      </c>
      <c r="AB832" t="s">
        <v>41</v>
      </c>
      <c r="AC832">
        <v>1</v>
      </c>
    </row>
    <row r="833" spans="1:29" x14ac:dyDescent="0.25">
      <c r="A833" t="s">
        <v>1733</v>
      </c>
      <c r="B833">
        <v>33</v>
      </c>
      <c r="C833" t="s">
        <v>43</v>
      </c>
      <c r="D833" t="s">
        <v>44</v>
      </c>
      <c r="E833" t="s">
        <v>69</v>
      </c>
      <c r="F833" t="s">
        <v>56</v>
      </c>
      <c r="G833" t="s">
        <v>30</v>
      </c>
      <c r="H833" t="s">
        <v>918</v>
      </c>
      <c r="I833" t="s">
        <v>107</v>
      </c>
      <c r="J833" s="1">
        <v>181.1</v>
      </c>
      <c r="K833">
        <v>2</v>
      </c>
      <c r="L833" t="s">
        <v>78</v>
      </c>
      <c r="M833">
        <v>2</v>
      </c>
      <c r="N833">
        <v>5</v>
      </c>
      <c r="O833">
        <v>2</v>
      </c>
      <c r="P833" t="s">
        <v>59</v>
      </c>
      <c r="Q833" t="s">
        <v>50</v>
      </c>
      <c r="R833">
        <v>2</v>
      </c>
      <c r="S833">
        <v>7</v>
      </c>
      <c r="T833" t="s">
        <v>59</v>
      </c>
      <c r="U833" t="s">
        <v>38</v>
      </c>
      <c r="V833" t="s">
        <v>39</v>
      </c>
      <c r="W833" s="2">
        <v>45652</v>
      </c>
      <c r="X833" s="4">
        <f ca="1">TODAY()-DATASET[[#This Row],[Time_of_Purchase]]</f>
        <v>482</v>
      </c>
      <c r="Y833" t="b">
        <v>0</v>
      </c>
      <c r="Z833" t="b">
        <v>0</v>
      </c>
      <c r="AA833" t="s">
        <v>62</v>
      </c>
      <c r="AB833" t="s">
        <v>41</v>
      </c>
      <c r="AC833">
        <v>5</v>
      </c>
    </row>
    <row r="834" spans="1:29" x14ac:dyDescent="0.25">
      <c r="A834" t="s">
        <v>1734</v>
      </c>
      <c r="B834">
        <v>23</v>
      </c>
      <c r="C834" t="s">
        <v>29</v>
      </c>
      <c r="D834" t="s">
        <v>30</v>
      </c>
      <c r="E834" t="s">
        <v>55</v>
      </c>
      <c r="F834" t="s">
        <v>56</v>
      </c>
      <c r="G834" t="s">
        <v>30</v>
      </c>
      <c r="H834" t="s">
        <v>1735</v>
      </c>
      <c r="I834" t="s">
        <v>58</v>
      </c>
      <c r="J834" s="1">
        <v>246.41</v>
      </c>
      <c r="K834">
        <v>7</v>
      </c>
      <c r="L834" t="s">
        <v>48</v>
      </c>
      <c r="M834">
        <v>2</v>
      </c>
      <c r="N834">
        <v>4</v>
      </c>
      <c r="O834">
        <v>0</v>
      </c>
      <c r="P834" t="s">
        <v>36</v>
      </c>
      <c r="Q834" t="s">
        <v>37</v>
      </c>
      <c r="R834">
        <v>2</v>
      </c>
      <c r="S834">
        <v>8</v>
      </c>
      <c r="T834" t="s">
        <v>59</v>
      </c>
      <c r="U834" t="s">
        <v>60</v>
      </c>
      <c r="V834" t="s">
        <v>86</v>
      </c>
      <c r="W834" s="2">
        <v>45566</v>
      </c>
      <c r="X834" s="4">
        <f ca="1">TODAY()-DATASET[[#This Row],[Time_of_Purchase]]</f>
        <v>568</v>
      </c>
      <c r="Y834" t="b">
        <v>1</v>
      </c>
      <c r="Z834" t="b">
        <v>0</v>
      </c>
      <c r="AA834" t="s">
        <v>40</v>
      </c>
      <c r="AB834" t="s">
        <v>53</v>
      </c>
      <c r="AC834">
        <v>11</v>
      </c>
    </row>
    <row r="835" spans="1:29" x14ac:dyDescent="0.25">
      <c r="A835" t="s">
        <v>1736</v>
      </c>
      <c r="B835">
        <v>37</v>
      </c>
      <c r="C835" t="s">
        <v>29</v>
      </c>
      <c r="D835" t="s">
        <v>30</v>
      </c>
      <c r="E835" t="s">
        <v>76</v>
      </c>
      <c r="F835" t="s">
        <v>32</v>
      </c>
      <c r="G835" t="s">
        <v>44</v>
      </c>
      <c r="H835" t="s">
        <v>1737</v>
      </c>
      <c r="I835" t="s">
        <v>123</v>
      </c>
      <c r="J835" s="1">
        <v>140.87</v>
      </c>
      <c r="K835">
        <v>8</v>
      </c>
      <c r="L835" t="s">
        <v>48</v>
      </c>
      <c r="M835">
        <v>3</v>
      </c>
      <c r="N835">
        <v>3</v>
      </c>
      <c r="O835">
        <v>2</v>
      </c>
      <c r="P835" t="s">
        <v>59</v>
      </c>
      <c r="Q835" t="s">
        <v>50</v>
      </c>
      <c r="R835">
        <v>2</v>
      </c>
      <c r="S835">
        <v>7</v>
      </c>
      <c r="T835" t="s">
        <v>49</v>
      </c>
      <c r="U835" t="s">
        <v>38</v>
      </c>
      <c r="V835" t="s">
        <v>66</v>
      </c>
      <c r="W835" s="2">
        <v>45354</v>
      </c>
      <c r="X835" s="4">
        <f ca="1">TODAY()-DATASET[[#This Row],[Time_of_Purchase]]</f>
        <v>780</v>
      </c>
      <c r="Y835" t="b">
        <v>1</v>
      </c>
      <c r="Z835" t="b">
        <v>0</v>
      </c>
      <c r="AA835" t="s">
        <v>62</v>
      </c>
      <c r="AB835" t="s">
        <v>41</v>
      </c>
      <c r="AC835">
        <v>9</v>
      </c>
    </row>
    <row r="836" spans="1:29" x14ac:dyDescent="0.25">
      <c r="A836" t="s">
        <v>1738</v>
      </c>
      <c r="B836">
        <v>34</v>
      </c>
      <c r="C836" t="s">
        <v>29</v>
      </c>
      <c r="D836" t="s">
        <v>44</v>
      </c>
      <c r="E836" t="s">
        <v>55</v>
      </c>
      <c r="F836" t="s">
        <v>56</v>
      </c>
      <c r="G836" t="s">
        <v>44</v>
      </c>
      <c r="H836" t="s">
        <v>1739</v>
      </c>
      <c r="I836" t="s">
        <v>120</v>
      </c>
      <c r="J836" s="1">
        <v>151.25</v>
      </c>
      <c r="K836">
        <v>2</v>
      </c>
      <c r="L836" t="s">
        <v>48</v>
      </c>
      <c r="M836">
        <v>2</v>
      </c>
      <c r="N836">
        <v>5</v>
      </c>
      <c r="O836">
        <v>0</v>
      </c>
      <c r="P836" t="s">
        <v>49</v>
      </c>
      <c r="Q836" t="s">
        <v>37</v>
      </c>
      <c r="R836">
        <v>1</v>
      </c>
      <c r="S836">
        <v>8</v>
      </c>
      <c r="T836" t="s">
        <v>49</v>
      </c>
      <c r="U836" t="s">
        <v>38</v>
      </c>
      <c r="V836" t="s">
        <v>61</v>
      </c>
      <c r="W836" s="2">
        <v>45402</v>
      </c>
      <c r="X836" s="4">
        <f ca="1">TODAY()-DATASET[[#This Row],[Time_of_Purchase]]</f>
        <v>732</v>
      </c>
      <c r="Y836" t="b">
        <v>1</v>
      </c>
      <c r="Z836" t="b">
        <v>0</v>
      </c>
      <c r="AA836" t="s">
        <v>74</v>
      </c>
      <c r="AB836" t="s">
        <v>41</v>
      </c>
      <c r="AC836">
        <v>10</v>
      </c>
    </row>
    <row r="837" spans="1:29" x14ac:dyDescent="0.25">
      <c r="A837" t="s">
        <v>1740</v>
      </c>
      <c r="B837">
        <v>27</v>
      </c>
      <c r="C837" t="s">
        <v>43</v>
      </c>
      <c r="D837" t="s">
        <v>44</v>
      </c>
      <c r="E837" t="s">
        <v>76</v>
      </c>
      <c r="F837" t="s">
        <v>56</v>
      </c>
      <c r="G837" t="s">
        <v>30</v>
      </c>
      <c r="H837" t="s">
        <v>1741</v>
      </c>
      <c r="I837" t="s">
        <v>107</v>
      </c>
      <c r="J837" s="1">
        <v>171.52</v>
      </c>
      <c r="K837">
        <v>3</v>
      </c>
      <c r="L837" t="s">
        <v>35</v>
      </c>
      <c r="M837">
        <v>5</v>
      </c>
      <c r="N837">
        <v>5</v>
      </c>
      <c r="O837">
        <v>2</v>
      </c>
      <c r="P837" t="s">
        <v>49</v>
      </c>
      <c r="Q837" t="s">
        <v>85</v>
      </c>
      <c r="R837">
        <v>1</v>
      </c>
      <c r="S837">
        <v>9</v>
      </c>
      <c r="T837" t="s">
        <v>49</v>
      </c>
      <c r="U837" t="s">
        <v>60</v>
      </c>
      <c r="V837" t="s">
        <v>86</v>
      </c>
      <c r="W837" s="2">
        <v>45525</v>
      </c>
      <c r="X837" s="4">
        <f ca="1">TODAY()-DATASET[[#This Row],[Time_of_Purchase]]</f>
        <v>609</v>
      </c>
      <c r="Y837" t="b">
        <v>1</v>
      </c>
      <c r="Z837" t="b">
        <v>1</v>
      </c>
      <c r="AA837" t="s">
        <v>74</v>
      </c>
      <c r="AB837" t="s">
        <v>53</v>
      </c>
      <c r="AC837">
        <v>12</v>
      </c>
    </row>
    <row r="838" spans="1:29" x14ac:dyDescent="0.25">
      <c r="A838" t="s">
        <v>1742</v>
      </c>
      <c r="B838">
        <v>40</v>
      </c>
      <c r="C838" t="s">
        <v>43</v>
      </c>
      <c r="D838" t="s">
        <v>30</v>
      </c>
      <c r="E838" t="s">
        <v>69</v>
      </c>
      <c r="F838" t="s">
        <v>56</v>
      </c>
      <c r="G838" t="s">
        <v>44</v>
      </c>
      <c r="H838" t="s">
        <v>1743</v>
      </c>
      <c r="I838" t="s">
        <v>90</v>
      </c>
      <c r="J838" s="1">
        <v>399.56</v>
      </c>
      <c r="K838">
        <v>10</v>
      </c>
      <c r="L838" t="s">
        <v>78</v>
      </c>
      <c r="M838">
        <v>4</v>
      </c>
      <c r="N838">
        <v>2</v>
      </c>
      <c r="O838">
        <v>1</v>
      </c>
      <c r="P838" t="s">
        <v>59</v>
      </c>
      <c r="Q838" t="s">
        <v>50</v>
      </c>
      <c r="R838">
        <v>0</v>
      </c>
      <c r="S838">
        <v>4</v>
      </c>
      <c r="T838" t="s">
        <v>49</v>
      </c>
      <c r="U838" t="s">
        <v>79</v>
      </c>
      <c r="V838" t="s">
        <v>86</v>
      </c>
      <c r="W838" s="2">
        <v>45586</v>
      </c>
      <c r="X838" s="4">
        <f ca="1">TODAY()-DATASET[[#This Row],[Time_of_Purchase]]</f>
        <v>548</v>
      </c>
      <c r="Y838" t="b">
        <v>1</v>
      </c>
      <c r="Z838" t="b">
        <v>1</v>
      </c>
      <c r="AA838" t="s">
        <v>40</v>
      </c>
      <c r="AB838" t="s">
        <v>41</v>
      </c>
      <c r="AC838">
        <v>1</v>
      </c>
    </row>
    <row r="839" spans="1:29" x14ac:dyDescent="0.25">
      <c r="A839" t="s">
        <v>1744</v>
      </c>
      <c r="B839">
        <v>40</v>
      </c>
      <c r="C839" t="s">
        <v>29</v>
      </c>
      <c r="D839" t="s">
        <v>30</v>
      </c>
      <c r="E839" t="s">
        <v>69</v>
      </c>
      <c r="F839" t="s">
        <v>56</v>
      </c>
      <c r="G839" t="s">
        <v>30</v>
      </c>
      <c r="H839" t="s">
        <v>1745</v>
      </c>
      <c r="I839" t="s">
        <v>90</v>
      </c>
      <c r="J839" s="1">
        <v>173.46</v>
      </c>
      <c r="K839">
        <v>4</v>
      </c>
      <c r="L839" t="s">
        <v>35</v>
      </c>
      <c r="M839">
        <v>5</v>
      </c>
      <c r="N839">
        <v>3</v>
      </c>
      <c r="O839">
        <v>1</v>
      </c>
      <c r="P839" t="s">
        <v>36</v>
      </c>
      <c r="Q839" t="s">
        <v>50</v>
      </c>
      <c r="R839">
        <v>0</v>
      </c>
      <c r="S839">
        <v>9</v>
      </c>
      <c r="T839" t="s">
        <v>49</v>
      </c>
      <c r="U839" t="s">
        <v>60</v>
      </c>
      <c r="V839" t="s">
        <v>51</v>
      </c>
      <c r="W839" s="2">
        <v>45393</v>
      </c>
      <c r="X839" s="4">
        <f ca="1">TODAY()-DATASET[[#This Row],[Time_of_Purchase]]</f>
        <v>741</v>
      </c>
      <c r="Y839" t="b">
        <v>0</v>
      </c>
      <c r="Z839" t="b">
        <v>1</v>
      </c>
      <c r="AA839" t="s">
        <v>52</v>
      </c>
      <c r="AB839" t="s">
        <v>41</v>
      </c>
      <c r="AC839">
        <v>2</v>
      </c>
    </row>
    <row r="840" spans="1:29" x14ac:dyDescent="0.25">
      <c r="A840" t="s">
        <v>1746</v>
      </c>
      <c r="B840">
        <v>43</v>
      </c>
      <c r="C840" t="s">
        <v>43</v>
      </c>
      <c r="D840" t="s">
        <v>44</v>
      </c>
      <c r="E840" t="s">
        <v>69</v>
      </c>
      <c r="F840" t="s">
        <v>32</v>
      </c>
      <c r="G840" t="s">
        <v>44</v>
      </c>
      <c r="H840" t="s">
        <v>1747</v>
      </c>
      <c r="I840" t="s">
        <v>126</v>
      </c>
      <c r="J840" s="1">
        <v>332.14</v>
      </c>
      <c r="K840">
        <v>10</v>
      </c>
      <c r="L840" t="s">
        <v>78</v>
      </c>
      <c r="M840">
        <v>4</v>
      </c>
      <c r="N840">
        <v>4</v>
      </c>
      <c r="O840">
        <v>0</v>
      </c>
      <c r="P840" t="s">
        <v>59</v>
      </c>
      <c r="Q840" t="s">
        <v>37</v>
      </c>
      <c r="R840">
        <v>1</v>
      </c>
      <c r="S840">
        <v>2</v>
      </c>
      <c r="T840" t="s">
        <v>36</v>
      </c>
      <c r="U840" t="s">
        <v>79</v>
      </c>
      <c r="V840" t="s">
        <v>51</v>
      </c>
      <c r="W840" s="2">
        <v>45331</v>
      </c>
      <c r="X840" s="4">
        <f ca="1">TODAY()-DATASET[[#This Row],[Time_of_Purchase]]</f>
        <v>803</v>
      </c>
      <c r="Y840" t="b">
        <v>1</v>
      </c>
      <c r="Z840" t="b">
        <v>1</v>
      </c>
      <c r="AA840" t="s">
        <v>74</v>
      </c>
      <c r="AB840" t="s">
        <v>41</v>
      </c>
      <c r="AC840">
        <v>13</v>
      </c>
    </row>
    <row r="841" spans="1:29" x14ac:dyDescent="0.25">
      <c r="A841" t="s">
        <v>1748</v>
      </c>
      <c r="B841">
        <v>37</v>
      </c>
      <c r="C841" t="s">
        <v>190</v>
      </c>
      <c r="D841" t="s">
        <v>30</v>
      </c>
      <c r="E841" t="s">
        <v>55</v>
      </c>
      <c r="F841" t="s">
        <v>32</v>
      </c>
      <c r="G841" t="s">
        <v>30</v>
      </c>
      <c r="H841" t="s">
        <v>1749</v>
      </c>
      <c r="I841" t="s">
        <v>47</v>
      </c>
      <c r="J841" s="1">
        <v>247.05</v>
      </c>
      <c r="K841">
        <v>8</v>
      </c>
      <c r="L841" t="s">
        <v>48</v>
      </c>
      <c r="M841">
        <v>3</v>
      </c>
      <c r="N841">
        <v>2</v>
      </c>
      <c r="O841">
        <v>1</v>
      </c>
      <c r="P841" t="s">
        <v>59</v>
      </c>
      <c r="Q841" t="s">
        <v>37</v>
      </c>
      <c r="R841">
        <v>1</v>
      </c>
      <c r="S841">
        <v>8</v>
      </c>
      <c r="T841" t="s">
        <v>44</v>
      </c>
      <c r="U841" t="s">
        <v>79</v>
      </c>
      <c r="V841" t="s">
        <v>86</v>
      </c>
      <c r="W841" s="2">
        <v>45437</v>
      </c>
      <c r="X841" s="4">
        <f ca="1">TODAY()-DATASET[[#This Row],[Time_of_Purchase]]</f>
        <v>697</v>
      </c>
      <c r="Y841" t="b">
        <v>0</v>
      </c>
      <c r="Z841" t="b">
        <v>0</v>
      </c>
      <c r="AA841" t="s">
        <v>52</v>
      </c>
      <c r="AB841" t="s">
        <v>53</v>
      </c>
      <c r="AC841">
        <v>2</v>
      </c>
    </row>
    <row r="842" spans="1:29" x14ac:dyDescent="0.25">
      <c r="A842" t="s">
        <v>1750</v>
      </c>
      <c r="B842">
        <v>49</v>
      </c>
      <c r="C842" t="s">
        <v>43</v>
      </c>
      <c r="D842" t="s">
        <v>44</v>
      </c>
      <c r="E842" t="s">
        <v>55</v>
      </c>
      <c r="F842" t="s">
        <v>32</v>
      </c>
      <c r="G842" t="s">
        <v>44</v>
      </c>
      <c r="H842" t="s">
        <v>1751</v>
      </c>
      <c r="I842" t="s">
        <v>58</v>
      </c>
      <c r="J842" s="1">
        <v>365.88</v>
      </c>
      <c r="K842">
        <v>10</v>
      </c>
      <c r="L842" t="s">
        <v>35</v>
      </c>
      <c r="M842">
        <v>4</v>
      </c>
      <c r="N842">
        <v>5</v>
      </c>
      <c r="O842">
        <v>1</v>
      </c>
      <c r="P842" t="s">
        <v>36</v>
      </c>
      <c r="Q842" t="s">
        <v>37</v>
      </c>
      <c r="R842">
        <v>1</v>
      </c>
      <c r="S842">
        <v>1</v>
      </c>
      <c r="T842" t="s">
        <v>49</v>
      </c>
      <c r="U842" t="s">
        <v>38</v>
      </c>
      <c r="V842" t="s">
        <v>51</v>
      </c>
      <c r="W842" s="2">
        <v>45398</v>
      </c>
      <c r="X842" s="4">
        <f ca="1">TODAY()-DATASET[[#This Row],[Time_of_Purchase]]</f>
        <v>736</v>
      </c>
      <c r="Y842" t="b">
        <v>0</v>
      </c>
      <c r="Z842" t="b">
        <v>0</v>
      </c>
      <c r="AA842" t="s">
        <v>52</v>
      </c>
      <c r="AB842" t="s">
        <v>67</v>
      </c>
      <c r="AC842">
        <v>9</v>
      </c>
    </row>
    <row r="843" spans="1:29" x14ac:dyDescent="0.25">
      <c r="A843" t="s">
        <v>1752</v>
      </c>
      <c r="B843">
        <v>27</v>
      </c>
      <c r="C843" t="s">
        <v>29</v>
      </c>
      <c r="D843" t="s">
        <v>30</v>
      </c>
      <c r="E843" t="s">
        <v>31</v>
      </c>
      <c r="F843" t="s">
        <v>32</v>
      </c>
      <c r="G843" t="s">
        <v>30</v>
      </c>
      <c r="H843" t="s">
        <v>1753</v>
      </c>
      <c r="I843" t="s">
        <v>126</v>
      </c>
      <c r="J843" s="1">
        <v>354.92</v>
      </c>
      <c r="K843">
        <v>8</v>
      </c>
      <c r="L843" t="s">
        <v>35</v>
      </c>
      <c r="M843">
        <v>5</v>
      </c>
      <c r="N843">
        <v>4</v>
      </c>
      <c r="O843">
        <v>0</v>
      </c>
      <c r="P843" t="s">
        <v>36</v>
      </c>
      <c r="Q843" t="s">
        <v>37</v>
      </c>
      <c r="R843">
        <v>0</v>
      </c>
      <c r="S843">
        <v>1</v>
      </c>
      <c r="T843" t="s">
        <v>36</v>
      </c>
      <c r="U843" t="s">
        <v>38</v>
      </c>
      <c r="V843" t="s">
        <v>61</v>
      </c>
      <c r="W843" s="2">
        <v>45339</v>
      </c>
      <c r="X843" s="4">
        <f ca="1">TODAY()-DATASET[[#This Row],[Time_of_Purchase]]</f>
        <v>795</v>
      </c>
      <c r="Y843" t="b">
        <v>1</v>
      </c>
      <c r="Z843" t="b">
        <v>1</v>
      </c>
      <c r="AA843" t="s">
        <v>52</v>
      </c>
      <c r="AB843" t="s">
        <v>67</v>
      </c>
      <c r="AC843">
        <v>13</v>
      </c>
    </row>
    <row r="844" spans="1:29" x14ac:dyDescent="0.25">
      <c r="A844" t="s">
        <v>1754</v>
      </c>
      <c r="B844">
        <v>19</v>
      </c>
      <c r="C844" t="s">
        <v>29</v>
      </c>
      <c r="D844" t="s">
        <v>44</v>
      </c>
      <c r="E844" t="s">
        <v>55</v>
      </c>
      <c r="F844" t="s">
        <v>45</v>
      </c>
      <c r="G844" t="s">
        <v>44</v>
      </c>
      <c r="H844" t="s">
        <v>1755</v>
      </c>
      <c r="I844" t="s">
        <v>246</v>
      </c>
      <c r="J844" s="1">
        <v>195.46</v>
      </c>
      <c r="K844">
        <v>10</v>
      </c>
      <c r="L844" t="s">
        <v>35</v>
      </c>
      <c r="M844">
        <v>5</v>
      </c>
      <c r="N844">
        <v>3</v>
      </c>
      <c r="O844">
        <v>2</v>
      </c>
      <c r="P844" t="s">
        <v>36</v>
      </c>
      <c r="Q844" t="s">
        <v>50</v>
      </c>
      <c r="R844">
        <v>0</v>
      </c>
      <c r="S844">
        <v>10</v>
      </c>
      <c r="T844" t="s">
        <v>59</v>
      </c>
      <c r="U844" t="s">
        <v>38</v>
      </c>
      <c r="V844" t="s">
        <v>66</v>
      </c>
      <c r="W844" s="2">
        <v>45480</v>
      </c>
      <c r="X844" s="4">
        <f ca="1">TODAY()-DATASET[[#This Row],[Time_of_Purchase]]</f>
        <v>654</v>
      </c>
      <c r="Y844" t="b">
        <v>1</v>
      </c>
      <c r="Z844" t="b">
        <v>0</v>
      </c>
      <c r="AA844" t="s">
        <v>62</v>
      </c>
      <c r="AB844" t="s">
        <v>53</v>
      </c>
      <c r="AC844">
        <v>9</v>
      </c>
    </row>
    <row r="845" spans="1:29" x14ac:dyDescent="0.25">
      <c r="A845" t="s">
        <v>1756</v>
      </c>
      <c r="B845">
        <v>40</v>
      </c>
      <c r="C845" t="s">
        <v>29</v>
      </c>
      <c r="D845" t="s">
        <v>44</v>
      </c>
      <c r="E845" t="s">
        <v>31</v>
      </c>
      <c r="F845" t="s">
        <v>56</v>
      </c>
      <c r="G845" t="s">
        <v>30</v>
      </c>
      <c r="H845" t="s">
        <v>1757</v>
      </c>
      <c r="I845" t="s">
        <v>82</v>
      </c>
      <c r="J845" s="1">
        <v>474.03</v>
      </c>
      <c r="K845">
        <v>7</v>
      </c>
      <c r="L845" t="s">
        <v>48</v>
      </c>
      <c r="M845">
        <v>3</v>
      </c>
      <c r="N845">
        <v>1</v>
      </c>
      <c r="O845">
        <v>1</v>
      </c>
      <c r="P845" t="s">
        <v>49</v>
      </c>
      <c r="Q845" t="s">
        <v>37</v>
      </c>
      <c r="R845">
        <v>0</v>
      </c>
      <c r="S845">
        <v>6</v>
      </c>
      <c r="T845" t="s">
        <v>44</v>
      </c>
      <c r="U845" t="s">
        <v>79</v>
      </c>
      <c r="V845" t="s">
        <v>66</v>
      </c>
      <c r="W845" s="2">
        <v>45507</v>
      </c>
      <c r="X845" s="4">
        <f ca="1">TODAY()-DATASET[[#This Row],[Time_of_Purchase]]</f>
        <v>627</v>
      </c>
      <c r="Y845" t="b">
        <v>1</v>
      </c>
      <c r="Z845" t="b">
        <v>1</v>
      </c>
      <c r="AA845" t="s">
        <v>40</v>
      </c>
      <c r="AB845" t="s">
        <v>53</v>
      </c>
      <c r="AC845">
        <v>13</v>
      </c>
    </row>
    <row r="846" spans="1:29" x14ac:dyDescent="0.25">
      <c r="A846" t="s">
        <v>1758</v>
      </c>
      <c r="B846">
        <v>27</v>
      </c>
      <c r="C846" t="s">
        <v>43</v>
      </c>
      <c r="D846" t="s">
        <v>30</v>
      </c>
      <c r="E846" t="s">
        <v>31</v>
      </c>
      <c r="F846" t="s">
        <v>32</v>
      </c>
      <c r="G846" t="s">
        <v>44</v>
      </c>
      <c r="H846" t="s">
        <v>1759</v>
      </c>
      <c r="I846" t="s">
        <v>101</v>
      </c>
      <c r="J846" s="1">
        <v>106.96</v>
      </c>
      <c r="K846">
        <v>6</v>
      </c>
      <c r="L846" t="s">
        <v>48</v>
      </c>
      <c r="M846">
        <v>3</v>
      </c>
      <c r="N846">
        <v>1</v>
      </c>
      <c r="O846">
        <v>2</v>
      </c>
      <c r="P846" t="s">
        <v>59</v>
      </c>
      <c r="Q846" t="s">
        <v>50</v>
      </c>
      <c r="R846">
        <v>0</v>
      </c>
      <c r="S846">
        <v>7</v>
      </c>
      <c r="T846" t="s">
        <v>49</v>
      </c>
      <c r="U846" t="s">
        <v>38</v>
      </c>
      <c r="V846" t="s">
        <v>61</v>
      </c>
      <c r="W846" s="2">
        <v>45360</v>
      </c>
      <c r="X846" s="4">
        <f ca="1">TODAY()-DATASET[[#This Row],[Time_of_Purchase]]</f>
        <v>774</v>
      </c>
      <c r="Y846" t="b">
        <v>1</v>
      </c>
      <c r="Z846" t="b">
        <v>1</v>
      </c>
      <c r="AA846" t="s">
        <v>62</v>
      </c>
      <c r="AB846" t="s">
        <v>53</v>
      </c>
      <c r="AC846">
        <v>3</v>
      </c>
    </row>
    <row r="847" spans="1:29" x14ac:dyDescent="0.25">
      <c r="A847" t="s">
        <v>1760</v>
      </c>
      <c r="B847">
        <v>29</v>
      </c>
      <c r="C847" t="s">
        <v>29</v>
      </c>
      <c r="D847" t="s">
        <v>30</v>
      </c>
      <c r="E847" t="s">
        <v>31</v>
      </c>
      <c r="F847" t="s">
        <v>56</v>
      </c>
      <c r="G847" t="s">
        <v>44</v>
      </c>
      <c r="H847" t="s">
        <v>1761</v>
      </c>
      <c r="I847" t="s">
        <v>117</v>
      </c>
      <c r="J847" s="1">
        <v>371.84</v>
      </c>
      <c r="K847">
        <v>9</v>
      </c>
      <c r="L847" t="s">
        <v>48</v>
      </c>
      <c r="M847">
        <v>5</v>
      </c>
      <c r="N847">
        <v>4</v>
      </c>
      <c r="O847">
        <v>0</v>
      </c>
      <c r="P847" t="s">
        <v>36</v>
      </c>
      <c r="Q847" t="s">
        <v>50</v>
      </c>
      <c r="R847">
        <v>2</v>
      </c>
      <c r="S847">
        <v>6</v>
      </c>
      <c r="T847" t="s">
        <v>36</v>
      </c>
      <c r="U847" t="s">
        <v>38</v>
      </c>
      <c r="V847" t="s">
        <v>66</v>
      </c>
      <c r="W847" s="2">
        <v>45501</v>
      </c>
      <c r="X847" s="4">
        <f ca="1">TODAY()-DATASET[[#This Row],[Time_of_Purchase]]</f>
        <v>633</v>
      </c>
      <c r="Y847" t="b">
        <v>0</v>
      </c>
      <c r="Z847" t="b">
        <v>1</v>
      </c>
      <c r="AA847" t="s">
        <v>62</v>
      </c>
      <c r="AB847" t="s">
        <v>53</v>
      </c>
      <c r="AC847">
        <v>2</v>
      </c>
    </row>
    <row r="848" spans="1:29" x14ac:dyDescent="0.25">
      <c r="A848" t="s">
        <v>1762</v>
      </c>
      <c r="B848">
        <v>45</v>
      </c>
      <c r="C848" t="s">
        <v>212</v>
      </c>
      <c r="D848" t="s">
        <v>44</v>
      </c>
      <c r="E848" t="s">
        <v>55</v>
      </c>
      <c r="F848" t="s">
        <v>32</v>
      </c>
      <c r="G848" t="s">
        <v>44</v>
      </c>
      <c r="H848" t="s">
        <v>1763</v>
      </c>
      <c r="I848" t="s">
        <v>142</v>
      </c>
      <c r="J848" s="1">
        <v>461.16</v>
      </c>
      <c r="K848">
        <v>8</v>
      </c>
      <c r="L848" t="s">
        <v>35</v>
      </c>
      <c r="M848">
        <v>1</v>
      </c>
      <c r="N848">
        <v>4</v>
      </c>
      <c r="O848">
        <v>1</v>
      </c>
      <c r="P848" t="s">
        <v>44</v>
      </c>
      <c r="Q848" t="s">
        <v>50</v>
      </c>
      <c r="R848">
        <v>0</v>
      </c>
      <c r="S848">
        <v>3</v>
      </c>
      <c r="T848" t="s">
        <v>49</v>
      </c>
      <c r="U848" t="s">
        <v>60</v>
      </c>
      <c r="V848" t="s">
        <v>66</v>
      </c>
      <c r="W848" s="2">
        <v>45351</v>
      </c>
      <c r="X848" s="4">
        <f ca="1">TODAY()-DATASET[[#This Row],[Time_of_Purchase]]</f>
        <v>783</v>
      </c>
      <c r="Y848" t="b">
        <v>1</v>
      </c>
      <c r="Z848" t="b">
        <v>1</v>
      </c>
      <c r="AA848" t="s">
        <v>74</v>
      </c>
      <c r="AB848" t="s">
        <v>67</v>
      </c>
      <c r="AC848">
        <v>14</v>
      </c>
    </row>
    <row r="849" spans="1:29" x14ac:dyDescent="0.25">
      <c r="A849" t="s">
        <v>1764</v>
      </c>
      <c r="B849">
        <v>24</v>
      </c>
      <c r="C849" t="s">
        <v>29</v>
      </c>
      <c r="D849" t="s">
        <v>44</v>
      </c>
      <c r="E849" t="s">
        <v>55</v>
      </c>
      <c r="F849" t="s">
        <v>45</v>
      </c>
      <c r="G849" t="s">
        <v>30</v>
      </c>
      <c r="H849" t="s">
        <v>1765</v>
      </c>
      <c r="I849" t="s">
        <v>82</v>
      </c>
      <c r="J849" s="1">
        <v>497.75</v>
      </c>
      <c r="K849">
        <v>11</v>
      </c>
      <c r="L849" t="s">
        <v>48</v>
      </c>
      <c r="M849">
        <v>4</v>
      </c>
      <c r="N849">
        <v>1</v>
      </c>
      <c r="O849">
        <v>2</v>
      </c>
      <c r="P849" t="s">
        <v>36</v>
      </c>
      <c r="Q849" t="s">
        <v>85</v>
      </c>
      <c r="R849">
        <v>2</v>
      </c>
      <c r="S849">
        <v>1</v>
      </c>
      <c r="T849" t="s">
        <v>49</v>
      </c>
      <c r="U849" t="s">
        <v>60</v>
      </c>
      <c r="V849" t="s">
        <v>86</v>
      </c>
      <c r="W849" s="2">
        <v>45476</v>
      </c>
      <c r="X849" s="4">
        <f ca="1">TODAY()-DATASET[[#This Row],[Time_of_Purchase]]</f>
        <v>658</v>
      </c>
      <c r="Y849" t="b">
        <v>1</v>
      </c>
      <c r="Z849" t="b">
        <v>0</v>
      </c>
      <c r="AA849" t="s">
        <v>52</v>
      </c>
      <c r="AB849" t="s">
        <v>67</v>
      </c>
      <c r="AC849">
        <v>13</v>
      </c>
    </row>
    <row r="850" spans="1:29" x14ac:dyDescent="0.25">
      <c r="A850" t="s">
        <v>1766</v>
      </c>
      <c r="B850">
        <v>45</v>
      </c>
      <c r="C850" t="s">
        <v>29</v>
      </c>
      <c r="D850" t="s">
        <v>30</v>
      </c>
      <c r="E850" t="s">
        <v>31</v>
      </c>
      <c r="F850" t="s">
        <v>56</v>
      </c>
      <c r="G850" t="s">
        <v>30</v>
      </c>
      <c r="H850" t="s">
        <v>1684</v>
      </c>
      <c r="I850" t="s">
        <v>104</v>
      </c>
      <c r="J850" s="1">
        <v>492.83</v>
      </c>
      <c r="K850">
        <v>5</v>
      </c>
      <c r="L850" t="s">
        <v>78</v>
      </c>
      <c r="M850">
        <v>2</v>
      </c>
      <c r="N850">
        <v>1</v>
      </c>
      <c r="O850">
        <v>0</v>
      </c>
      <c r="P850" t="s">
        <v>44</v>
      </c>
      <c r="Q850" t="s">
        <v>85</v>
      </c>
      <c r="R850">
        <v>0</v>
      </c>
      <c r="S850">
        <v>4</v>
      </c>
      <c r="T850" t="s">
        <v>44</v>
      </c>
      <c r="U850" t="s">
        <v>38</v>
      </c>
      <c r="V850" t="s">
        <v>61</v>
      </c>
      <c r="W850" s="2">
        <v>45353</v>
      </c>
      <c r="X850" s="4">
        <f ca="1">TODAY()-DATASET[[#This Row],[Time_of_Purchase]]</f>
        <v>781</v>
      </c>
      <c r="Y850" t="b">
        <v>1</v>
      </c>
      <c r="Z850" t="b">
        <v>0</v>
      </c>
      <c r="AA850" t="s">
        <v>40</v>
      </c>
      <c r="AB850" t="s">
        <v>41</v>
      </c>
      <c r="AC850">
        <v>2</v>
      </c>
    </row>
    <row r="851" spans="1:29" x14ac:dyDescent="0.25">
      <c r="A851" t="s">
        <v>1767</v>
      </c>
      <c r="B851">
        <v>39</v>
      </c>
      <c r="C851" t="s">
        <v>29</v>
      </c>
      <c r="D851" t="s">
        <v>30</v>
      </c>
      <c r="E851" t="s">
        <v>76</v>
      </c>
      <c r="F851" t="s">
        <v>45</v>
      </c>
      <c r="G851" t="s">
        <v>30</v>
      </c>
      <c r="H851" t="s">
        <v>1768</v>
      </c>
      <c r="I851" t="s">
        <v>158</v>
      </c>
      <c r="J851" s="1">
        <v>295.54000000000002</v>
      </c>
      <c r="K851">
        <v>8</v>
      </c>
      <c r="L851" t="s">
        <v>78</v>
      </c>
      <c r="M851">
        <v>3</v>
      </c>
      <c r="N851">
        <v>3</v>
      </c>
      <c r="O851">
        <v>1</v>
      </c>
      <c r="P851" t="s">
        <v>36</v>
      </c>
      <c r="Q851" t="s">
        <v>85</v>
      </c>
      <c r="R851">
        <v>2</v>
      </c>
      <c r="S851">
        <v>4</v>
      </c>
      <c r="T851" t="s">
        <v>59</v>
      </c>
      <c r="U851" t="s">
        <v>38</v>
      </c>
      <c r="V851" t="s">
        <v>86</v>
      </c>
      <c r="W851" s="2">
        <v>45500</v>
      </c>
      <c r="X851" s="4">
        <f ca="1">TODAY()-DATASET[[#This Row],[Time_of_Purchase]]</f>
        <v>634</v>
      </c>
      <c r="Y851" t="b">
        <v>0</v>
      </c>
      <c r="Z851" t="b">
        <v>0</v>
      </c>
      <c r="AA851" t="s">
        <v>74</v>
      </c>
      <c r="AB851" t="s">
        <v>67</v>
      </c>
      <c r="AC851">
        <v>14</v>
      </c>
    </row>
    <row r="852" spans="1:29" x14ac:dyDescent="0.25">
      <c r="A852" t="s">
        <v>1769</v>
      </c>
      <c r="B852">
        <v>40</v>
      </c>
      <c r="C852" t="s">
        <v>43</v>
      </c>
      <c r="D852" t="s">
        <v>44</v>
      </c>
      <c r="E852" t="s">
        <v>69</v>
      </c>
      <c r="F852" t="s">
        <v>45</v>
      </c>
      <c r="G852" t="s">
        <v>44</v>
      </c>
      <c r="H852" t="s">
        <v>1770</v>
      </c>
      <c r="I852" t="s">
        <v>71</v>
      </c>
      <c r="J852" s="1">
        <v>494.81</v>
      </c>
      <c r="K852">
        <v>9</v>
      </c>
      <c r="L852" t="s">
        <v>35</v>
      </c>
      <c r="M852">
        <v>2</v>
      </c>
      <c r="N852">
        <v>4</v>
      </c>
      <c r="O852">
        <v>1</v>
      </c>
      <c r="P852" t="s">
        <v>49</v>
      </c>
      <c r="Q852" t="s">
        <v>85</v>
      </c>
      <c r="R852">
        <v>1</v>
      </c>
      <c r="S852">
        <v>7</v>
      </c>
      <c r="T852" t="s">
        <v>49</v>
      </c>
      <c r="U852" t="s">
        <v>38</v>
      </c>
      <c r="V852" t="s">
        <v>51</v>
      </c>
      <c r="W852" s="2">
        <v>45438</v>
      </c>
      <c r="X852" s="4">
        <f ca="1">TODAY()-DATASET[[#This Row],[Time_of_Purchase]]</f>
        <v>696</v>
      </c>
      <c r="Y852" t="b">
        <v>1</v>
      </c>
      <c r="Z852" t="b">
        <v>1</v>
      </c>
      <c r="AA852" t="s">
        <v>40</v>
      </c>
      <c r="AB852" t="s">
        <v>53</v>
      </c>
      <c r="AC852">
        <v>6</v>
      </c>
    </row>
    <row r="853" spans="1:29" x14ac:dyDescent="0.25">
      <c r="A853" t="s">
        <v>1771</v>
      </c>
      <c r="B853">
        <v>21</v>
      </c>
      <c r="C853" t="s">
        <v>29</v>
      </c>
      <c r="D853" t="s">
        <v>44</v>
      </c>
      <c r="E853" t="s">
        <v>55</v>
      </c>
      <c r="F853" t="s">
        <v>56</v>
      </c>
      <c r="G853" t="s">
        <v>30</v>
      </c>
      <c r="H853" t="s">
        <v>1772</v>
      </c>
      <c r="I853" t="s">
        <v>93</v>
      </c>
      <c r="J853" s="1">
        <v>160.25</v>
      </c>
      <c r="K853">
        <v>7</v>
      </c>
      <c r="L853" t="s">
        <v>78</v>
      </c>
      <c r="M853">
        <v>2</v>
      </c>
      <c r="N853">
        <v>3</v>
      </c>
      <c r="O853">
        <v>2</v>
      </c>
      <c r="P853" t="s">
        <v>36</v>
      </c>
      <c r="Q853" t="s">
        <v>85</v>
      </c>
      <c r="R853">
        <v>2</v>
      </c>
      <c r="S853">
        <v>5</v>
      </c>
      <c r="T853" t="s">
        <v>44</v>
      </c>
      <c r="U853" t="s">
        <v>79</v>
      </c>
      <c r="V853" t="s">
        <v>51</v>
      </c>
      <c r="W853" s="2">
        <v>45355</v>
      </c>
      <c r="X853" s="4">
        <f ca="1">TODAY()-DATASET[[#This Row],[Time_of_Purchase]]</f>
        <v>779</v>
      </c>
      <c r="Y853" t="b">
        <v>1</v>
      </c>
      <c r="Z853" t="b">
        <v>1</v>
      </c>
      <c r="AA853" t="s">
        <v>40</v>
      </c>
      <c r="AB853" t="s">
        <v>41</v>
      </c>
      <c r="AC853">
        <v>12</v>
      </c>
    </row>
    <row r="854" spans="1:29" x14ac:dyDescent="0.25">
      <c r="A854" t="s">
        <v>1773</v>
      </c>
      <c r="B854">
        <v>42</v>
      </c>
      <c r="C854" t="s">
        <v>29</v>
      </c>
      <c r="D854" t="s">
        <v>30</v>
      </c>
      <c r="E854" t="s">
        <v>31</v>
      </c>
      <c r="F854" t="s">
        <v>56</v>
      </c>
      <c r="G854" t="s">
        <v>44</v>
      </c>
      <c r="H854" t="s">
        <v>1774</v>
      </c>
      <c r="I854" t="s">
        <v>34</v>
      </c>
      <c r="J854" s="1">
        <v>198.36</v>
      </c>
      <c r="K854">
        <v>4</v>
      </c>
      <c r="L854" t="s">
        <v>78</v>
      </c>
      <c r="M854">
        <v>1</v>
      </c>
      <c r="N854">
        <v>1</v>
      </c>
      <c r="O854">
        <v>2</v>
      </c>
      <c r="P854" t="s">
        <v>36</v>
      </c>
      <c r="Q854" t="s">
        <v>37</v>
      </c>
      <c r="R854">
        <v>1</v>
      </c>
      <c r="S854">
        <v>9</v>
      </c>
      <c r="T854" t="s">
        <v>36</v>
      </c>
      <c r="U854" t="s">
        <v>79</v>
      </c>
      <c r="V854" t="s">
        <v>86</v>
      </c>
      <c r="W854" s="2">
        <v>45639</v>
      </c>
      <c r="X854" s="4">
        <f ca="1">TODAY()-DATASET[[#This Row],[Time_of_Purchase]]</f>
        <v>495</v>
      </c>
      <c r="Y854" t="b">
        <v>0</v>
      </c>
      <c r="Z854" t="b">
        <v>1</v>
      </c>
      <c r="AA854" t="s">
        <v>52</v>
      </c>
      <c r="AB854" t="s">
        <v>53</v>
      </c>
      <c r="AC854">
        <v>4</v>
      </c>
    </row>
    <row r="855" spans="1:29" x14ac:dyDescent="0.25">
      <c r="A855" t="s">
        <v>1775</v>
      </c>
      <c r="B855">
        <v>44</v>
      </c>
      <c r="C855" t="s">
        <v>29</v>
      </c>
      <c r="D855" t="s">
        <v>30</v>
      </c>
      <c r="E855" t="s">
        <v>76</v>
      </c>
      <c r="F855" t="s">
        <v>32</v>
      </c>
      <c r="G855" t="s">
        <v>44</v>
      </c>
      <c r="H855" t="s">
        <v>1776</v>
      </c>
      <c r="I855" t="s">
        <v>71</v>
      </c>
      <c r="J855" s="1">
        <v>82.39</v>
      </c>
      <c r="K855">
        <v>12</v>
      </c>
      <c r="L855" t="s">
        <v>48</v>
      </c>
      <c r="M855">
        <v>5</v>
      </c>
      <c r="N855">
        <v>1</v>
      </c>
      <c r="O855">
        <v>1</v>
      </c>
      <c r="P855" t="s">
        <v>36</v>
      </c>
      <c r="Q855" t="s">
        <v>37</v>
      </c>
      <c r="R855">
        <v>0</v>
      </c>
      <c r="S855">
        <v>8</v>
      </c>
      <c r="T855" t="s">
        <v>36</v>
      </c>
      <c r="U855" t="s">
        <v>60</v>
      </c>
      <c r="V855" t="s">
        <v>66</v>
      </c>
      <c r="W855" s="2">
        <v>45346</v>
      </c>
      <c r="X855" s="4">
        <f ca="1">TODAY()-DATASET[[#This Row],[Time_of_Purchase]]</f>
        <v>788</v>
      </c>
      <c r="Y855" t="b">
        <v>0</v>
      </c>
      <c r="Z855" t="b">
        <v>0</v>
      </c>
      <c r="AA855" t="s">
        <v>74</v>
      </c>
      <c r="AB855" t="s">
        <v>67</v>
      </c>
      <c r="AC855">
        <v>1</v>
      </c>
    </row>
    <row r="856" spans="1:29" x14ac:dyDescent="0.25">
      <c r="A856" t="s">
        <v>1777</v>
      </c>
      <c r="B856">
        <v>46</v>
      </c>
      <c r="C856" t="s">
        <v>29</v>
      </c>
      <c r="D856" t="s">
        <v>30</v>
      </c>
      <c r="E856" t="s">
        <v>31</v>
      </c>
      <c r="F856" t="s">
        <v>56</v>
      </c>
      <c r="G856" t="s">
        <v>44</v>
      </c>
      <c r="H856" t="s">
        <v>1778</v>
      </c>
      <c r="I856" t="s">
        <v>107</v>
      </c>
      <c r="J856" s="1">
        <v>290.56</v>
      </c>
      <c r="K856">
        <v>3</v>
      </c>
      <c r="L856" t="s">
        <v>48</v>
      </c>
      <c r="M856">
        <v>5</v>
      </c>
      <c r="N856">
        <v>1</v>
      </c>
      <c r="O856">
        <v>2</v>
      </c>
      <c r="P856" t="s">
        <v>36</v>
      </c>
      <c r="Q856" t="s">
        <v>37</v>
      </c>
      <c r="R856">
        <v>1</v>
      </c>
      <c r="S856">
        <v>1</v>
      </c>
      <c r="T856" t="s">
        <v>36</v>
      </c>
      <c r="U856" t="s">
        <v>79</v>
      </c>
      <c r="V856" t="s">
        <v>51</v>
      </c>
      <c r="W856" s="2">
        <v>45363</v>
      </c>
      <c r="X856" s="4">
        <f ca="1">TODAY()-DATASET[[#This Row],[Time_of_Purchase]]</f>
        <v>771</v>
      </c>
      <c r="Y856" t="b">
        <v>1</v>
      </c>
      <c r="Z856" t="b">
        <v>0</v>
      </c>
      <c r="AA856" t="s">
        <v>52</v>
      </c>
      <c r="AB856" t="s">
        <v>41</v>
      </c>
      <c r="AC856">
        <v>4</v>
      </c>
    </row>
    <row r="857" spans="1:29" x14ac:dyDescent="0.25">
      <c r="A857" t="s">
        <v>1779</v>
      </c>
      <c r="B857">
        <v>29</v>
      </c>
      <c r="C857" t="s">
        <v>43</v>
      </c>
      <c r="D857" t="s">
        <v>44</v>
      </c>
      <c r="E857" t="s">
        <v>76</v>
      </c>
      <c r="F857" t="s">
        <v>56</v>
      </c>
      <c r="G857" t="s">
        <v>44</v>
      </c>
      <c r="H857" t="s">
        <v>1780</v>
      </c>
      <c r="I857" t="s">
        <v>101</v>
      </c>
      <c r="J857" s="1">
        <v>206.79</v>
      </c>
      <c r="K857">
        <v>5</v>
      </c>
      <c r="L857" t="s">
        <v>48</v>
      </c>
      <c r="M857">
        <v>1</v>
      </c>
      <c r="N857">
        <v>3</v>
      </c>
      <c r="O857">
        <v>2</v>
      </c>
      <c r="P857" t="s">
        <v>44</v>
      </c>
      <c r="Q857" t="s">
        <v>85</v>
      </c>
      <c r="R857">
        <v>1</v>
      </c>
      <c r="S857">
        <v>2</v>
      </c>
      <c r="T857" t="s">
        <v>59</v>
      </c>
      <c r="U857" t="s">
        <v>38</v>
      </c>
      <c r="V857" t="s">
        <v>39</v>
      </c>
      <c r="W857" s="2">
        <v>45525</v>
      </c>
      <c r="X857" s="4">
        <f ca="1">TODAY()-DATASET[[#This Row],[Time_of_Purchase]]</f>
        <v>609</v>
      </c>
      <c r="Y857" t="b">
        <v>0</v>
      </c>
      <c r="Z857" t="b">
        <v>0</v>
      </c>
      <c r="AA857" t="s">
        <v>74</v>
      </c>
      <c r="AB857" t="s">
        <v>53</v>
      </c>
      <c r="AC857">
        <v>4</v>
      </c>
    </row>
    <row r="858" spans="1:29" x14ac:dyDescent="0.25">
      <c r="A858" t="s">
        <v>1781</v>
      </c>
      <c r="B858">
        <v>19</v>
      </c>
      <c r="C858" t="s">
        <v>29</v>
      </c>
      <c r="D858" t="s">
        <v>30</v>
      </c>
      <c r="E858" t="s">
        <v>31</v>
      </c>
      <c r="F858" t="s">
        <v>45</v>
      </c>
      <c r="G858" t="s">
        <v>44</v>
      </c>
      <c r="H858" t="s">
        <v>1782</v>
      </c>
      <c r="I858" t="s">
        <v>123</v>
      </c>
      <c r="J858" s="1">
        <v>401.43</v>
      </c>
      <c r="K858">
        <v>8</v>
      </c>
      <c r="L858" t="s">
        <v>35</v>
      </c>
      <c r="M858">
        <v>4</v>
      </c>
      <c r="N858">
        <v>2</v>
      </c>
      <c r="O858">
        <v>0</v>
      </c>
      <c r="P858" t="s">
        <v>36</v>
      </c>
      <c r="Q858" t="s">
        <v>50</v>
      </c>
      <c r="R858">
        <v>0</v>
      </c>
      <c r="S858">
        <v>6</v>
      </c>
      <c r="T858" t="s">
        <v>44</v>
      </c>
      <c r="U858" t="s">
        <v>38</v>
      </c>
      <c r="V858" t="s">
        <v>66</v>
      </c>
      <c r="W858" s="2">
        <v>45435</v>
      </c>
      <c r="X858" s="4">
        <f ca="1">TODAY()-DATASET[[#This Row],[Time_of_Purchase]]</f>
        <v>699</v>
      </c>
      <c r="Y858" t="b">
        <v>1</v>
      </c>
      <c r="Z858" t="b">
        <v>1</v>
      </c>
      <c r="AA858" t="s">
        <v>40</v>
      </c>
      <c r="AB858" t="s">
        <v>41</v>
      </c>
      <c r="AC858">
        <v>5</v>
      </c>
    </row>
    <row r="859" spans="1:29" x14ac:dyDescent="0.25">
      <c r="A859" t="s">
        <v>1783</v>
      </c>
      <c r="B859">
        <v>21</v>
      </c>
      <c r="C859" t="s">
        <v>43</v>
      </c>
      <c r="D859" t="s">
        <v>44</v>
      </c>
      <c r="E859" t="s">
        <v>69</v>
      </c>
      <c r="F859" t="s">
        <v>56</v>
      </c>
      <c r="G859" t="s">
        <v>44</v>
      </c>
      <c r="H859" t="s">
        <v>1784</v>
      </c>
      <c r="I859" t="s">
        <v>90</v>
      </c>
      <c r="J859" s="1">
        <v>188.17</v>
      </c>
      <c r="K859">
        <v>9</v>
      </c>
      <c r="L859" t="s">
        <v>78</v>
      </c>
      <c r="M859">
        <v>5</v>
      </c>
      <c r="N859">
        <v>5</v>
      </c>
      <c r="O859">
        <v>0</v>
      </c>
      <c r="P859" t="s">
        <v>49</v>
      </c>
      <c r="Q859" t="s">
        <v>50</v>
      </c>
      <c r="R859">
        <v>1</v>
      </c>
      <c r="S859">
        <v>5</v>
      </c>
      <c r="T859" t="s">
        <v>59</v>
      </c>
      <c r="U859" t="s">
        <v>79</v>
      </c>
      <c r="V859" t="s">
        <v>61</v>
      </c>
      <c r="W859" s="2">
        <v>45438</v>
      </c>
      <c r="X859" s="4">
        <f ca="1">TODAY()-DATASET[[#This Row],[Time_of_Purchase]]</f>
        <v>696</v>
      </c>
      <c r="Y859" t="b">
        <v>1</v>
      </c>
      <c r="Z859" t="b">
        <v>0</v>
      </c>
      <c r="AA859" t="s">
        <v>40</v>
      </c>
      <c r="AB859" t="s">
        <v>53</v>
      </c>
      <c r="AC859">
        <v>9</v>
      </c>
    </row>
    <row r="860" spans="1:29" x14ac:dyDescent="0.25">
      <c r="A860" t="s">
        <v>1785</v>
      </c>
      <c r="B860">
        <v>38</v>
      </c>
      <c r="C860" t="s">
        <v>29</v>
      </c>
      <c r="D860" t="s">
        <v>44</v>
      </c>
      <c r="E860" t="s">
        <v>55</v>
      </c>
      <c r="F860" t="s">
        <v>45</v>
      </c>
      <c r="G860" t="s">
        <v>44</v>
      </c>
      <c r="H860" t="s">
        <v>1786</v>
      </c>
      <c r="I860" t="s">
        <v>34</v>
      </c>
      <c r="J860" s="1">
        <v>83.21</v>
      </c>
      <c r="K860">
        <v>10</v>
      </c>
      <c r="L860" t="s">
        <v>78</v>
      </c>
      <c r="M860">
        <v>4</v>
      </c>
      <c r="N860">
        <v>3</v>
      </c>
      <c r="O860">
        <v>2</v>
      </c>
      <c r="P860" t="s">
        <v>59</v>
      </c>
      <c r="Q860" t="s">
        <v>37</v>
      </c>
      <c r="R860">
        <v>0</v>
      </c>
      <c r="S860">
        <v>4</v>
      </c>
      <c r="T860" t="s">
        <v>44</v>
      </c>
      <c r="U860" t="s">
        <v>79</v>
      </c>
      <c r="V860" t="s">
        <v>66</v>
      </c>
      <c r="W860" s="2">
        <v>45371</v>
      </c>
      <c r="X860" s="4">
        <f ca="1">TODAY()-DATASET[[#This Row],[Time_of_Purchase]]</f>
        <v>763</v>
      </c>
      <c r="Y860" t="b">
        <v>0</v>
      </c>
      <c r="Z860" t="b">
        <v>0</v>
      </c>
      <c r="AA860" t="s">
        <v>62</v>
      </c>
      <c r="AB860" t="s">
        <v>53</v>
      </c>
      <c r="AC860">
        <v>7</v>
      </c>
    </row>
    <row r="861" spans="1:29" x14ac:dyDescent="0.25">
      <c r="A861" t="s">
        <v>1787</v>
      </c>
      <c r="B861">
        <v>41</v>
      </c>
      <c r="C861" t="s">
        <v>88</v>
      </c>
      <c r="D861" t="s">
        <v>30</v>
      </c>
      <c r="E861" t="s">
        <v>76</v>
      </c>
      <c r="F861" t="s">
        <v>56</v>
      </c>
      <c r="G861" t="s">
        <v>30</v>
      </c>
      <c r="H861" t="s">
        <v>1788</v>
      </c>
      <c r="I861" t="s">
        <v>34</v>
      </c>
      <c r="J861" s="1">
        <v>54.74</v>
      </c>
      <c r="K861">
        <v>4</v>
      </c>
      <c r="L861" t="s">
        <v>48</v>
      </c>
      <c r="M861">
        <v>1</v>
      </c>
      <c r="N861">
        <v>2</v>
      </c>
      <c r="O861">
        <v>0</v>
      </c>
      <c r="P861" t="s">
        <v>36</v>
      </c>
      <c r="Q861" t="s">
        <v>37</v>
      </c>
      <c r="R861">
        <v>0</v>
      </c>
      <c r="S861">
        <v>4</v>
      </c>
      <c r="T861" t="s">
        <v>59</v>
      </c>
      <c r="U861" t="s">
        <v>60</v>
      </c>
      <c r="V861" t="s">
        <v>51</v>
      </c>
      <c r="W861" s="2">
        <v>45568</v>
      </c>
      <c r="X861" s="4">
        <f ca="1">TODAY()-DATASET[[#This Row],[Time_of_Purchase]]</f>
        <v>566</v>
      </c>
      <c r="Y861" t="b">
        <v>1</v>
      </c>
      <c r="Z861" t="b">
        <v>1</v>
      </c>
      <c r="AA861" t="s">
        <v>62</v>
      </c>
      <c r="AB861" t="s">
        <v>41</v>
      </c>
      <c r="AC861">
        <v>14</v>
      </c>
    </row>
    <row r="862" spans="1:29" x14ac:dyDescent="0.25">
      <c r="A862" t="s">
        <v>1789</v>
      </c>
      <c r="B862">
        <v>49</v>
      </c>
      <c r="C862" t="s">
        <v>29</v>
      </c>
      <c r="D862" t="s">
        <v>44</v>
      </c>
      <c r="E862" t="s">
        <v>76</v>
      </c>
      <c r="F862" t="s">
        <v>56</v>
      </c>
      <c r="G862" t="s">
        <v>44</v>
      </c>
      <c r="H862" t="s">
        <v>1790</v>
      </c>
      <c r="I862" t="s">
        <v>58</v>
      </c>
      <c r="J862" s="1">
        <v>371.12</v>
      </c>
      <c r="K862">
        <v>8</v>
      </c>
      <c r="L862" t="s">
        <v>78</v>
      </c>
      <c r="M862">
        <v>5</v>
      </c>
      <c r="N862">
        <v>1</v>
      </c>
      <c r="O862">
        <v>2</v>
      </c>
      <c r="P862" t="s">
        <v>44</v>
      </c>
      <c r="Q862" t="s">
        <v>37</v>
      </c>
      <c r="R862">
        <v>1</v>
      </c>
      <c r="S862">
        <v>7</v>
      </c>
      <c r="T862" t="s">
        <v>59</v>
      </c>
      <c r="U862" t="s">
        <v>60</v>
      </c>
      <c r="V862" t="s">
        <v>51</v>
      </c>
      <c r="W862" s="2">
        <v>45527</v>
      </c>
      <c r="X862" s="4">
        <f ca="1">TODAY()-DATASET[[#This Row],[Time_of_Purchase]]</f>
        <v>607</v>
      </c>
      <c r="Y862" t="b">
        <v>0</v>
      </c>
      <c r="Z862" t="b">
        <v>1</v>
      </c>
      <c r="AA862" t="s">
        <v>52</v>
      </c>
      <c r="AB862" t="s">
        <v>41</v>
      </c>
      <c r="AC862">
        <v>8</v>
      </c>
    </row>
    <row r="863" spans="1:29" x14ac:dyDescent="0.25">
      <c r="A863" t="s">
        <v>1791</v>
      </c>
      <c r="B863">
        <v>32</v>
      </c>
      <c r="C863" t="s">
        <v>148</v>
      </c>
      <c r="D863" t="s">
        <v>30</v>
      </c>
      <c r="E863" t="s">
        <v>55</v>
      </c>
      <c r="F863" t="s">
        <v>45</v>
      </c>
      <c r="G863" t="s">
        <v>30</v>
      </c>
      <c r="H863" t="s">
        <v>1792</v>
      </c>
      <c r="I863" t="s">
        <v>114</v>
      </c>
      <c r="J863" s="1">
        <v>293.64</v>
      </c>
      <c r="K863">
        <v>3</v>
      </c>
      <c r="L863" t="s">
        <v>48</v>
      </c>
      <c r="M863">
        <v>2</v>
      </c>
      <c r="N863">
        <v>1</v>
      </c>
      <c r="O863">
        <v>2</v>
      </c>
      <c r="P863" t="s">
        <v>59</v>
      </c>
      <c r="Q863" t="s">
        <v>50</v>
      </c>
      <c r="R863">
        <v>2</v>
      </c>
      <c r="S863">
        <v>8</v>
      </c>
      <c r="T863" t="s">
        <v>36</v>
      </c>
      <c r="U863" t="s">
        <v>38</v>
      </c>
      <c r="V863" t="s">
        <v>39</v>
      </c>
      <c r="W863" s="2">
        <v>45552</v>
      </c>
      <c r="X863" s="4">
        <f ca="1">TODAY()-DATASET[[#This Row],[Time_of_Purchase]]</f>
        <v>582</v>
      </c>
      <c r="Y863" t="b">
        <v>1</v>
      </c>
      <c r="Z863" t="b">
        <v>0</v>
      </c>
      <c r="AA863" t="s">
        <v>62</v>
      </c>
      <c r="AB863" t="s">
        <v>67</v>
      </c>
      <c r="AC863">
        <v>5</v>
      </c>
    </row>
    <row r="864" spans="1:29" x14ac:dyDescent="0.25">
      <c r="A864" t="s">
        <v>1793</v>
      </c>
      <c r="B864">
        <v>24</v>
      </c>
      <c r="C864" t="s">
        <v>43</v>
      </c>
      <c r="D864" t="s">
        <v>44</v>
      </c>
      <c r="E864" t="s">
        <v>31</v>
      </c>
      <c r="F864" t="s">
        <v>45</v>
      </c>
      <c r="G864" t="s">
        <v>44</v>
      </c>
      <c r="H864" t="s">
        <v>1794</v>
      </c>
      <c r="I864" t="s">
        <v>82</v>
      </c>
      <c r="J864" s="1">
        <v>185.83</v>
      </c>
      <c r="K864">
        <v>11</v>
      </c>
      <c r="L864" t="s">
        <v>48</v>
      </c>
      <c r="M864">
        <v>4</v>
      </c>
      <c r="N864">
        <v>2</v>
      </c>
      <c r="O864">
        <v>2</v>
      </c>
      <c r="P864" t="s">
        <v>59</v>
      </c>
      <c r="Q864" t="s">
        <v>50</v>
      </c>
      <c r="R864">
        <v>2</v>
      </c>
      <c r="S864">
        <v>9</v>
      </c>
      <c r="T864" t="s">
        <v>49</v>
      </c>
      <c r="U864" t="s">
        <v>79</v>
      </c>
      <c r="V864" t="s">
        <v>66</v>
      </c>
      <c r="W864" s="2">
        <v>45582</v>
      </c>
      <c r="X864" s="4">
        <f ca="1">TODAY()-DATASET[[#This Row],[Time_of_Purchase]]</f>
        <v>552</v>
      </c>
      <c r="Y864" t="b">
        <v>0</v>
      </c>
      <c r="Z864" t="b">
        <v>1</v>
      </c>
      <c r="AA864" t="s">
        <v>62</v>
      </c>
      <c r="AB864" t="s">
        <v>53</v>
      </c>
      <c r="AC864">
        <v>1</v>
      </c>
    </row>
    <row r="865" spans="1:29" x14ac:dyDescent="0.25">
      <c r="A865" t="s">
        <v>1795</v>
      </c>
      <c r="B865">
        <v>27</v>
      </c>
      <c r="C865" t="s">
        <v>43</v>
      </c>
      <c r="D865" t="s">
        <v>44</v>
      </c>
      <c r="E865" t="s">
        <v>76</v>
      </c>
      <c r="F865" t="s">
        <v>56</v>
      </c>
      <c r="G865" t="s">
        <v>30</v>
      </c>
      <c r="H865" t="s">
        <v>1796</v>
      </c>
      <c r="I865" t="s">
        <v>58</v>
      </c>
      <c r="J865" s="1">
        <v>117.13</v>
      </c>
      <c r="K865">
        <v>7</v>
      </c>
      <c r="L865" t="s">
        <v>35</v>
      </c>
      <c r="M865">
        <v>1</v>
      </c>
      <c r="N865">
        <v>1</v>
      </c>
      <c r="O865">
        <v>2</v>
      </c>
      <c r="P865" t="s">
        <v>44</v>
      </c>
      <c r="Q865" t="s">
        <v>37</v>
      </c>
      <c r="R865">
        <v>1</v>
      </c>
      <c r="S865">
        <v>10</v>
      </c>
      <c r="T865" t="s">
        <v>44</v>
      </c>
      <c r="U865" t="s">
        <v>60</v>
      </c>
      <c r="V865" t="s">
        <v>39</v>
      </c>
      <c r="W865" s="2">
        <v>45512</v>
      </c>
      <c r="X865" s="4">
        <f ca="1">TODAY()-DATASET[[#This Row],[Time_of_Purchase]]</f>
        <v>622</v>
      </c>
      <c r="Y865" t="b">
        <v>1</v>
      </c>
      <c r="Z865" t="b">
        <v>1</v>
      </c>
      <c r="AA865" t="s">
        <v>74</v>
      </c>
      <c r="AB865" t="s">
        <v>67</v>
      </c>
      <c r="AC865">
        <v>6</v>
      </c>
    </row>
    <row r="866" spans="1:29" x14ac:dyDescent="0.25">
      <c r="A866" t="s">
        <v>1797</v>
      </c>
      <c r="B866">
        <v>44</v>
      </c>
      <c r="C866" t="s">
        <v>29</v>
      </c>
      <c r="D866" t="s">
        <v>30</v>
      </c>
      <c r="E866" t="s">
        <v>31</v>
      </c>
      <c r="F866" t="s">
        <v>56</v>
      </c>
      <c r="G866" t="s">
        <v>44</v>
      </c>
      <c r="H866" t="s">
        <v>1798</v>
      </c>
      <c r="I866" t="s">
        <v>58</v>
      </c>
      <c r="J866" s="1">
        <v>52.24</v>
      </c>
      <c r="K866">
        <v>11</v>
      </c>
      <c r="L866" t="s">
        <v>48</v>
      </c>
      <c r="M866">
        <v>3</v>
      </c>
      <c r="N866">
        <v>1</v>
      </c>
      <c r="O866">
        <v>0</v>
      </c>
      <c r="P866" t="s">
        <v>59</v>
      </c>
      <c r="Q866" t="s">
        <v>50</v>
      </c>
      <c r="R866">
        <v>2</v>
      </c>
      <c r="S866">
        <v>4</v>
      </c>
      <c r="T866" t="s">
        <v>44</v>
      </c>
      <c r="U866" t="s">
        <v>60</v>
      </c>
      <c r="V866" t="s">
        <v>39</v>
      </c>
      <c r="W866" s="2">
        <v>45638</v>
      </c>
      <c r="X866" s="4">
        <f ca="1">TODAY()-DATASET[[#This Row],[Time_of_Purchase]]</f>
        <v>496</v>
      </c>
      <c r="Y866" t="b">
        <v>1</v>
      </c>
      <c r="Z866" t="b">
        <v>1</v>
      </c>
      <c r="AA866" t="s">
        <v>62</v>
      </c>
      <c r="AB866" t="s">
        <v>53</v>
      </c>
      <c r="AC866">
        <v>8</v>
      </c>
    </row>
    <row r="867" spans="1:29" x14ac:dyDescent="0.25">
      <c r="A867" t="s">
        <v>1799</v>
      </c>
      <c r="B867">
        <v>28</v>
      </c>
      <c r="C867" t="s">
        <v>29</v>
      </c>
      <c r="D867" t="s">
        <v>44</v>
      </c>
      <c r="E867" t="s">
        <v>31</v>
      </c>
      <c r="F867" t="s">
        <v>32</v>
      </c>
      <c r="G867" t="s">
        <v>44</v>
      </c>
      <c r="H867" t="s">
        <v>1800</v>
      </c>
      <c r="I867" t="s">
        <v>123</v>
      </c>
      <c r="J867" s="1">
        <v>446.69</v>
      </c>
      <c r="K867">
        <v>7</v>
      </c>
      <c r="L867" t="s">
        <v>48</v>
      </c>
      <c r="M867">
        <v>4</v>
      </c>
      <c r="N867">
        <v>5</v>
      </c>
      <c r="O867">
        <v>2</v>
      </c>
      <c r="P867" t="s">
        <v>49</v>
      </c>
      <c r="Q867" t="s">
        <v>37</v>
      </c>
      <c r="R867">
        <v>1</v>
      </c>
      <c r="S867">
        <v>5</v>
      </c>
      <c r="T867" t="s">
        <v>44</v>
      </c>
      <c r="U867" t="s">
        <v>60</v>
      </c>
      <c r="V867" t="s">
        <v>86</v>
      </c>
      <c r="W867" s="2">
        <v>45455</v>
      </c>
      <c r="X867" s="4">
        <f ca="1">TODAY()-DATASET[[#This Row],[Time_of_Purchase]]</f>
        <v>679</v>
      </c>
      <c r="Y867" t="b">
        <v>0</v>
      </c>
      <c r="Z867" t="b">
        <v>1</v>
      </c>
      <c r="AA867" t="s">
        <v>74</v>
      </c>
      <c r="AB867" t="s">
        <v>41</v>
      </c>
      <c r="AC867">
        <v>13</v>
      </c>
    </row>
    <row r="868" spans="1:29" x14ac:dyDescent="0.25">
      <c r="A868" t="s">
        <v>1801</v>
      </c>
      <c r="B868">
        <v>23</v>
      </c>
      <c r="C868" t="s">
        <v>43</v>
      </c>
      <c r="D868" t="s">
        <v>30</v>
      </c>
      <c r="E868" t="s">
        <v>31</v>
      </c>
      <c r="F868" t="s">
        <v>45</v>
      </c>
      <c r="G868" t="s">
        <v>30</v>
      </c>
      <c r="H868" t="s">
        <v>1802</v>
      </c>
      <c r="I868" t="s">
        <v>114</v>
      </c>
      <c r="J868" s="1">
        <v>216.84</v>
      </c>
      <c r="K868">
        <v>5</v>
      </c>
      <c r="L868" t="s">
        <v>48</v>
      </c>
      <c r="M868">
        <v>4</v>
      </c>
      <c r="N868">
        <v>3</v>
      </c>
      <c r="O868">
        <v>1</v>
      </c>
      <c r="P868" t="s">
        <v>59</v>
      </c>
      <c r="Q868" t="s">
        <v>37</v>
      </c>
      <c r="R868">
        <v>1</v>
      </c>
      <c r="S868">
        <v>1</v>
      </c>
      <c r="T868" t="s">
        <v>59</v>
      </c>
      <c r="U868" t="s">
        <v>38</v>
      </c>
      <c r="V868" t="s">
        <v>51</v>
      </c>
      <c r="W868" s="2">
        <v>45379</v>
      </c>
      <c r="X868" s="4">
        <f ca="1">TODAY()-DATASET[[#This Row],[Time_of_Purchase]]</f>
        <v>755</v>
      </c>
      <c r="Y868" t="b">
        <v>0</v>
      </c>
      <c r="Z868" t="b">
        <v>0</v>
      </c>
      <c r="AA868" t="s">
        <v>74</v>
      </c>
      <c r="AB868" t="s">
        <v>67</v>
      </c>
      <c r="AC868">
        <v>5</v>
      </c>
    </row>
    <row r="869" spans="1:29" x14ac:dyDescent="0.25">
      <c r="A869" t="s">
        <v>1803</v>
      </c>
      <c r="B869">
        <v>42</v>
      </c>
      <c r="C869" t="s">
        <v>29</v>
      </c>
      <c r="D869" t="s">
        <v>44</v>
      </c>
      <c r="E869" t="s">
        <v>76</v>
      </c>
      <c r="F869" t="s">
        <v>45</v>
      </c>
      <c r="G869" t="s">
        <v>44</v>
      </c>
      <c r="H869" t="s">
        <v>1804</v>
      </c>
      <c r="I869" t="s">
        <v>117</v>
      </c>
      <c r="J869" s="1">
        <v>75.27</v>
      </c>
      <c r="K869">
        <v>7</v>
      </c>
      <c r="L869" t="s">
        <v>35</v>
      </c>
      <c r="M869">
        <v>3</v>
      </c>
      <c r="N869">
        <v>4</v>
      </c>
      <c r="O869">
        <v>1</v>
      </c>
      <c r="P869" t="s">
        <v>36</v>
      </c>
      <c r="Q869" t="s">
        <v>50</v>
      </c>
      <c r="R869">
        <v>2</v>
      </c>
      <c r="S869">
        <v>3</v>
      </c>
      <c r="T869" t="s">
        <v>36</v>
      </c>
      <c r="U869" t="s">
        <v>79</v>
      </c>
      <c r="V869" t="s">
        <v>51</v>
      </c>
      <c r="W869" s="2">
        <v>45653</v>
      </c>
      <c r="X869" s="4">
        <f ca="1">TODAY()-DATASET[[#This Row],[Time_of_Purchase]]</f>
        <v>481</v>
      </c>
      <c r="Y869" t="b">
        <v>1</v>
      </c>
      <c r="Z869" t="b">
        <v>1</v>
      </c>
      <c r="AA869" t="s">
        <v>62</v>
      </c>
      <c r="AB869" t="s">
        <v>67</v>
      </c>
      <c r="AC869">
        <v>1</v>
      </c>
    </row>
    <row r="870" spans="1:29" x14ac:dyDescent="0.25">
      <c r="A870" t="s">
        <v>1805</v>
      </c>
      <c r="B870">
        <v>20</v>
      </c>
      <c r="C870" t="s">
        <v>43</v>
      </c>
      <c r="D870" t="s">
        <v>30</v>
      </c>
      <c r="E870" t="s">
        <v>69</v>
      </c>
      <c r="F870" t="s">
        <v>56</v>
      </c>
      <c r="G870" t="s">
        <v>44</v>
      </c>
      <c r="H870" t="s">
        <v>1806</v>
      </c>
      <c r="I870" t="s">
        <v>58</v>
      </c>
      <c r="J870" s="1">
        <v>308.87</v>
      </c>
      <c r="K870">
        <v>2</v>
      </c>
      <c r="L870" t="s">
        <v>48</v>
      </c>
      <c r="M870">
        <v>3</v>
      </c>
      <c r="N870">
        <v>4</v>
      </c>
      <c r="O870">
        <v>1</v>
      </c>
      <c r="P870" t="s">
        <v>36</v>
      </c>
      <c r="Q870" t="s">
        <v>50</v>
      </c>
      <c r="R870">
        <v>2</v>
      </c>
      <c r="S870">
        <v>2</v>
      </c>
      <c r="T870" t="s">
        <v>36</v>
      </c>
      <c r="U870" t="s">
        <v>38</v>
      </c>
      <c r="V870" t="s">
        <v>86</v>
      </c>
      <c r="W870" s="2">
        <v>45346</v>
      </c>
      <c r="X870" s="4">
        <f ca="1">TODAY()-DATASET[[#This Row],[Time_of_Purchase]]</f>
        <v>788</v>
      </c>
      <c r="Y870" t="b">
        <v>1</v>
      </c>
      <c r="Z870" t="b">
        <v>1</v>
      </c>
      <c r="AA870" t="s">
        <v>62</v>
      </c>
      <c r="AB870" t="s">
        <v>67</v>
      </c>
      <c r="AC870">
        <v>11</v>
      </c>
    </row>
    <row r="871" spans="1:29" x14ac:dyDescent="0.25">
      <c r="A871" t="s">
        <v>1807</v>
      </c>
      <c r="B871">
        <v>49</v>
      </c>
      <c r="C871" t="s">
        <v>43</v>
      </c>
      <c r="D871" t="s">
        <v>44</v>
      </c>
      <c r="E871" t="s">
        <v>76</v>
      </c>
      <c r="F871" t="s">
        <v>56</v>
      </c>
      <c r="G871" t="s">
        <v>30</v>
      </c>
      <c r="H871" t="s">
        <v>1808</v>
      </c>
      <c r="I871" t="s">
        <v>194</v>
      </c>
      <c r="J871" s="1">
        <v>169.77</v>
      </c>
      <c r="K871">
        <v>5</v>
      </c>
      <c r="L871" t="s">
        <v>48</v>
      </c>
      <c r="M871">
        <v>1</v>
      </c>
      <c r="N871">
        <v>4</v>
      </c>
      <c r="O871">
        <v>0</v>
      </c>
      <c r="P871" t="s">
        <v>49</v>
      </c>
      <c r="Q871" t="s">
        <v>85</v>
      </c>
      <c r="R871">
        <v>2</v>
      </c>
      <c r="S871">
        <v>9</v>
      </c>
      <c r="T871" t="s">
        <v>36</v>
      </c>
      <c r="U871" t="s">
        <v>79</v>
      </c>
      <c r="V871" t="s">
        <v>66</v>
      </c>
      <c r="W871" s="2">
        <v>45458</v>
      </c>
      <c r="X871" s="4">
        <f ca="1">TODAY()-DATASET[[#This Row],[Time_of_Purchase]]</f>
        <v>676</v>
      </c>
      <c r="Y871" t="b">
        <v>1</v>
      </c>
      <c r="Z871" t="b">
        <v>1</v>
      </c>
      <c r="AA871" t="s">
        <v>52</v>
      </c>
      <c r="AB871" t="s">
        <v>53</v>
      </c>
      <c r="AC871">
        <v>7</v>
      </c>
    </row>
    <row r="872" spans="1:29" x14ac:dyDescent="0.25">
      <c r="A872" t="s">
        <v>1809</v>
      </c>
      <c r="B872">
        <v>19</v>
      </c>
      <c r="C872" t="s">
        <v>43</v>
      </c>
      <c r="D872" t="s">
        <v>44</v>
      </c>
      <c r="E872" t="s">
        <v>76</v>
      </c>
      <c r="F872" t="s">
        <v>45</v>
      </c>
      <c r="G872" t="s">
        <v>44</v>
      </c>
      <c r="H872" t="s">
        <v>1810</v>
      </c>
      <c r="I872" t="s">
        <v>126</v>
      </c>
      <c r="J872" s="1">
        <v>289.08</v>
      </c>
      <c r="K872">
        <v>12</v>
      </c>
      <c r="L872" t="s">
        <v>78</v>
      </c>
      <c r="M872">
        <v>2</v>
      </c>
      <c r="N872">
        <v>1</v>
      </c>
      <c r="O872">
        <v>0</v>
      </c>
      <c r="P872" t="s">
        <v>36</v>
      </c>
      <c r="Q872" t="s">
        <v>85</v>
      </c>
      <c r="R872">
        <v>1</v>
      </c>
      <c r="S872">
        <v>10</v>
      </c>
      <c r="T872" t="s">
        <v>49</v>
      </c>
      <c r="U872" t="s">
        <v>79</v>
      </c>
      <c r="V872" t="s">
        <v>66</v>
      </c>
      <c r="W872" s="2">
        <v>45518</v>
      </c>
      <c r="X872" s="4">
        <f ca="1">TODAY()-DATASET[[#This Row],[Time_of_Purchase]]</f>
        <v>616</v>
      </c>
      <c r="Y872" t="b">
        <v>1</v>
      </c>
      <c r="Z872" t="b">
        <v>1</v>
      </c>
      <c r="AA872" t="s">
        <v>52</v>
      </c>
      <c r="AB872" t="s">
        <v>53</v>
      </c>
      <c r="AC872">
        <v>7</v>
      </c>
    </row>
    <row r="873" spans="1:29" x14ac:dyDescent="0.25">
      <c r="A873" t="s">
        <v>1811</v>
      </c>
      <c r="B873">
        <v>38</v>
      </c>
      <c r="C873" t="s">
        <v>29</v>
      </c>
      <c r="D873" t="s">
        <v>30</v>
      </c>
      <c r="E873" t="s">
        <v>55</v>
      </c>
      <c r="F873" t="s">
        <v>45</v>
      </c>
      <c r="G873" t="s">
        <v>44</v>
      </c>
      <c r="H873" t="s">
        <v>1812</v>
      </c>
      <c r="I873" t="s">
        <v>194</v>
      </c>
      <c r="J873" s="1">
        <v>74.09</v>
      </c>
      <c r="K873">
        <v>10</v>
      </c>
      <c r="L873" t="s">
        <v>35</v>
      </c>
      <c r="M873">
        <v>1</v>
      </c>
      <c r="N873">
        <v>4</v>
      </c>
      <c r="O873">
        <v>2</v>
      </c>
      <c r="P873" t="s">
        <v>36</v>
      </c>
      <c r="Q873" t="s">
        <v>37</v>
      </c>
      <c r="R873">
        <v>2</v>
      </c>
      <c r="S873">
        <v>9</v>
      </c>
      <c r="T873" t="s">
        <v>59</v>
      </c>
      <c r="U873" t="s">
        <v>38</v>
      </c>
      <c r="V873" t="s">
        <v>66</v>
      </c>
      <c r="W873" s="2">
        <v>45427</v>
      </c>
      <c r="X873" s="4">
        <f ca="1">TODAY()-DATASET[[#This Row],[Time_of_Purchase]]</f>
        <v>707</v>
      </c>
      <c r="Y873" t="b">
        <v>1</v>
      </c>
      <c r="Z873" t="b">
        <v>1</v>
      </c>
      <c r="AA873" t="s">
        <v>62</v>
      </c>
      <c r="AB873" t="s">
        <v>53</v>
      </c>
      <c r="AC873">
        <v>8</v>
      </c>
    </row>
    <row r="874" spans="1:29" x14ac:dyDescent="0.25">
      <c r="A874" t="s">
        <v>1813</v>
      </c>
      <c r="B874">
        <v>43</v>
      </c>
      <c r="C874" t="s">
        <v>43</v>
      </c>
      <c r="D874" t="s">
        <v>44</v>
      </c>
      <c r="E874" t="s">
        <v>31</v>
      </c>
      <c r="F874" t="s">
        <v>45</v>
      </c>
      <c r="G874" t="s">
        <v>30</v>
      </c>
      <c r="H874" t="s">
        <v>1814</v>
      </c>
      <c r="I874" t="s">
        <v>194</v>
      </c>
      <c r="J874" s="1">
        <v>201.53</v>
      </c>
      <c r="K874">
        <v>5</v>
      </c>
      <c r="L874" t="s">
        <v>78</v>
      </c>
      <c r="M874">
        <v>2</v>
      </c>
      <c r="N874">
        <v>3</v>
      </c>
      <c r="O874">
        <v>1</v>
      </c>
      <c r="P874" t="s">
        <v>36</v>
      </c>
      <c r="Q874" t="s">
        <v>50</v>
      </c>
      <c r="R874">
        <v>1</v>
      </c>
      <c r="S874">
        <v>6</v>
      </c>
      <c r="T874" t="s">
        <v>44</v>
      </c>
      <c r="U874" t="s">
        <v>38</v>
      </c>
      <c r="V874" t="s">
        <v>66</v>
      </c>
      <c r="W874" s="2">
        <v>45444</v>
      </c>
      <c r="X874" s="4">
        <f ca="1">TODAY()-DATASET[[#This Row],[Time_of_Purchase]]</f>
        <v>690</v>
      </c>
      <c r="Y874" t="b">
        <v>0</v>
      </c>
      <c r="Z874" t="b">
        <v>1</v>
      </c>
      <c r="AA874" t="s">
        <v>52</v>
      </c>
      <c r="AB874" t="s">
        <v>41</v>
      </c>
      <c r="AC874">
        <v>11</v>
      </c>
    </row>
    <row r="875" spans="1:29" x14ac:dyDescent="0.25">
      <c r="A875" t="s">
        <v>1815</v>
      </c>
      <c r="B875">
        <v>38</v>
      </c>
      <c r="C875" t="s">
        <v>43</v>
      </c>
      <c r="D875" t="s">
        <v>30</v>
      </c>
      <c r="E875" t="s">
        <v>76</v>
      </c>
      <c r="F875" t="s">
        <v>32</v>
      </c>
      <c r="G875" t="s">
        <v>44</v>
      </c>
      <c r="H875" t="s">
        <v>1816</v>
      </c>
      <c r="I875" t="s">
        <v>135</v>
      </c>
      <c r="J875" s="1">
        <v>244.6</v>
      </c>
      <c r="K875">
        <v>12</v>
      </c>
      <c r="L875" t="s">
        <v>78</v>
      </c>
      <c r="M875">
        <v>4</v>
      </c>
      <c r="N875">
        <v>4</v>
      </c>
      <c r="O875">
        <v>2</v>
      </c>
      <c r="P875" t="s">
        <v>49</v>
      </c>
      <c r="Q875" t="s">
        <v>37</v>
      </c>
      <c r="R875">
        <v>0</v>
      </c>
      <c r="S875">
        <v>6</v>
      </c>
      <c r="T875" t="s">
        <v>36</v>
      </c>
      <c r="U875" t="s">
        <v>38</v>
      </c>
      <c r="V875" t="s">
        <v>66</v>
      </c>
      <c r="W875" s="2">
        <v>45529</v>
      </c>
      <c r="X875" s="4">
        <f ca="1">TODAY()-DATASET[[#This Row],[Time_of_Purchase]]</f>
        <v>605</v>
      </c>
      <c r="Y875" t="b">
        <v>0</v>
      </c>
      <c r="Z875" t="b">
        <v>0</v>
      </c>
      <c r="AA875" t="s">
        <v>52</v>
      </c>
      <c r="AB875" t="s">
        <v>53</v>
      </c>
      <c r="AC875">
        <v>3</v>
      </c>
    </row>
    <row r="876" spans="1:29" x14ac:dyDescent="0.25">
      <c r="A876" t="s">
        <v>1817</v>
      </c>
      <c r="B876">
        <v>21</v>
      </c>
      <c r="C876" t="s">
        <v>43</v>
      </c>
      <c r="D876" t="s">
        <v>30</v>
      </c>
      <c r="E876" t="s">
        <v>69</v>
      </c>
      <c r="F876" t="s">
        <v>32</v>
      </c>
      <c r="G876" t="s">
        <v>44</v>
      </c>
      <c r="H876" t="s">
        <v>1818</v>
      </c>
      <c r="I876" t="s">
        <v>120</v>
      </c>
      <c r="J876" s="1">
        <v>320.5</v>
      </c>
      <c r="K876">
        <v>10</v>
      </c>
      <c r="L876" t="s">
        <v>48</v>
      </c>
      <c r="M876">
        <v>3</v>
      </c>
      <c r="N876">
        <v>4</v>
      </c>
      <c r="O876">
        <v>2</v>
      </c>
      <c r="P876" t="s">
        <v>59</v>
      </c>
      <c r="Q876" t="s">
        <v>37</v>
      </c>
      <c r="R876">
        <v>0</v>
      </c>
      <c r="S876">
        <v>9</v>
      </c>
      <c r="T876" t="s">
        <v>59</v>
      </c>
      <c r="U876" t="s">
        <v>38</v>
      </c>
      <c r="V876" t="s">
        <v>86</v>
      </c>
      <c r="W876" s="2">
        <v>45352</v>
      </c>
      <c r="X876" s="4">
        <f ca="1">TODAY()-DATASET[[#This Row],[Time_of_Purchase]]</f>
        <v>782</v>
      </c>
      <c r="Y876" t="b">
        <v>1</v>
      </c>
      <c r="Z876" t="b">
        <v>0</v>
      </c>
      <c r="AA876" t="s">
        <v>40</v>
      </c>
      <c r="AB876" t="s">
        <v>67</v>
      </c>
      <c r="AC876">
        <v>9</v>
      </c>
    </row>
    <row r="877" spans="1:29" x14ac:dyDescent="0.25">
      <c r="A877" t="s">
        <v>1819</v>
      </c>
      <c r="B877">
        <v>27</v>
      </c>
      <c r="C877" t="s">
        <v>43</v>
      </c>
      <c r="D877" t="s">
        <v>30</v>
      </c>
      <c r="E877" t="s">
        <v>69</v>
      </c>
      <c r="F877" t="s">
        <v>56</v>
      </c>
      <c r="G877" t="s">
        <v>30</v>
      </c>
      <c r="H877" t="s">
        <v>1820</v>
      </c>
      <c r="I877" t="s">
        <v>246</v>
      </c>
      <c r="J877" s="1">
        <v>91.63</v>
      </c>
      <c r="K877">
        <v>3</v>
      </c>
      <c r="L877" t="s">
        <v>48</v>
      </c>
      <c r="M877">
        <v>5</v>
      </c>
      <c r="N877">
        <v>2</v>
      </c>
      <c r="O877">
        <v>2</v>
      </c>
      <c r="P877" t="s">
        <v>36</v>
      </c>
      <c r="Q877" t="s">
        <v>50</v>
      </c>
      <c r="R877">
        <v>0</v>
      </c>
      <c r="S877">
        <v>10</v>
      </c>
      <c r="T877" t="s">
        <v>36</v>
      </c>
      <c r="U877" t="s">
        <v>38</v>
      </c>
      <c r="V877" t="s">
        <v>61</v>
      </c>
      <c r="W877" s="2">
        <v>45473</v>
      </c>
      <c r="X877" s="4">
        <f ca="1">TODAY()-DATASET[[#This Row],[Time_of_Purchase]]</f>
        <v>661</v>
      </c>
      <c r="Y877" t="b">
        <v>1</v>
      </c>
      <c r="Z877" t="b">
        <v>1</v>
      </c>
      <c r="AA877" t="s">
        <v>52</v>
      </c>
      <c r="AB877" t="s">
        <v>53</v>
      </c>
      <c r="AC877">
        <v>2</v>
      </c>
    </row>
    <row r="878" spans="1:29" x14ac:dyDescent="0.25">
      <c r="A878" t="s">
        <v>1821</v>
      </c>
      <c r="B878">
        <v>35</v>
      </c>
      <c r="C878" t="s">
        <v>43</v>
      </c>
      <c r="D878" t="s">
        <v>30</v>
      </c>
      <c r="E878" t="s">
        <v>31</v>
      </c>
      <c r="F878" t="s">
        <v>56</v>
      </c>
      <c r="G878" t="s">
        <v>44</v>
      </c>
      <c r="H878" t="s">
        <v>1822</v>
      </c>
      <c r="I878" t="s">
        <v>90</v>
      </c>
      <c r="J878" s="1">
        <v>251.93</v>
      </c>
      <c r="K878">
        <v>8</v>
      </c>
      <c r="L878" t="s">
        <v>48</v>
      </c>
      <c r="M878">
        <v>3</v>
      </c>
      <c r="N878">
        <v>2</v>
      </c>
      <c r="O878">
        <v>1</v>
      </c>
      <c r="P878" t="s">
        <v>44</v>
      </c>
      <c r="Q878" t="s">
        <v>85</v>
      </c>
      <c r="R878">
        <v>2</v>
      </c>
      <c r="S878">
        <v>3</v>
      </c>
      <c r="T878" t="s">
        <v>36</v>
      </c>
      <c r="U878" t="s">
        <v>38</v>
      </c>
      <c r="V878" t="s">
        <v>61</v>
      </c>
      <c r="W878" s="2">
        <v>45293</v>
      </c>
      <c r="X878" s="4">
        <f ca="1">TODAY()-DATASET[[#This Row],[Time_of_Purchase]]</f>
        <v>841</v>
      </c>
      <c r="Y878" t="b">
        <v>0</v>
      </c>
      <c r="Z878" t="b">
        <v>0</v>
      </c>
      <c r="AA878" t="s">
        <v>40</v>
      </c>
      <c r="AB878" t="s">
        <v>53</v>
      </c>
      <c r="AC878">
        <v>7</v>
      </c>
    </row>
    <row r="879" spans="1:29" x14ac:dyDescent="0.25">
      <c r="A879" t="s">
        <v>1823</v>
      </c>
      <c r="B879">
        <v>30</v>
      </c>
      <c r="C879" t="s">
        <v>43</v>
      </c>
      <c r="D879" t="s">
        <v>30</v>
      </c>
      <c r="E879" t="s">
        <v>31</v>
      </c>
      <c r="F879" t="s">
        <v>32</v>
      </c>
      <c r="G879" t="s">
        <v>30</v>
      </c>
      <c r="H879" t="s">
        <v>1824</v>
      </c>
      <c r="I879" t="s">
        <v>98</v>
      </c>
      <c r="J879" s="1">
        <v>477.35</v>
      </c>
      <c r="K879">
        <v>4</v>
      </c>
      <c r="L879" t="s">
        <v>78</v>
      </c>
      <c r="M879">
        <v>2</v>
      </c>
      <c r="N879">
        <v>5</v>
      </c>
      <c r="O879">
        <v>0</v>
      </c>
      <c r="P879" t="s">
        <v>44</v>
      </c>
      <c r="Q879" t="s">
        <v>85</v>
      </c>
      <c r="R879">
        <v>1</v>
      </c>
      <c r="S879">
        <v>2</v>
      </c>
      <c r="T879" t="s">
        <v>59</v>
      </c>
      <c r="U879" t="s">
        <v>79</v>
      </c>
      <c r="V879" t="s">
        <v>51</v>
      </c>
      <c r="W879" s="2">
        <v>45654</v>
      </c>
      <c r="X879" s="4">
        <f ca="1">TODAY()-DATASET[[#This Row],[Time_of_Purchase]]</f>
        <v>480</v>
      </c>
      <c r="Y879" t="b">
        <v>0</v>
      </c>
      <c r="Z879" t="b">
        <v>0</v>
      </c>
      <c r="AA879" t="s">
        <v>40</v>
      </c>
      <c r="AB879" t="s">
        <v>41</v>
      </c>
      <c r="AC879">
        <v>14</v>
      </c>
    </row>
    <row r="880" spans="1:29" x14ac:dyDescent="0.25">
      <c r="A880" t="s">
        <v>1825</v>
      </c>
      <c r="B880">
        <v>31</v>
      </c>
      <c r="C880" t="s">
        <v>43</v>
      </c>
      <c r="D880" t="s">
        <v>44</v>
      </c>
      <c r="E880" t="s">
        <v>69</v>
      </c>
      <c r="F880" t="s">
        <v>56</v>
      </c>
      <c r="G880" t="s">
        <v>30</v>
      </c>
      <c r="H880" t="s">
        <v>1826</v>
      </c>
      <c r="I880" t="s">
        <v>123</v>
      </c>
      <c r="J880" s="1">
        <v>86.63</v>
      </c>
      <c r="K880">
        <v>10</v>
      </c>
      <c r="L880" t="s">
        <v>35</v>
      </c>
      <c r="M880">
        <v>3</v>
      </c>
      <c r="N880">
        <v>1</v>
      </c>
      <c r="O880">
        <v>2</v>
      </c>
      <c r="P880" t="s">
        <v>49</v>
      </c>
      <c r="Q880" t="s">
        <v>37</v>
      </c>
      <c r="R880">
        <v>2</v>
      </c>
      <c r="S880">
        <v>2</v>
      </c>
      <c r="T880" t="s">
        <v>59</v>
      </c>
      <c r="U880" t="s">
        <v>38</v>
      </c>
      <c r="V880" t="s">
        <v>86</v>
      </c>
      <c r="W880" s="2">
        <v>45537</v>
      </c>
      <c r="X880" s="4">
        <f ca="1">TODAY()-DATASET[[#This Row],[Time_of_Purchase]]</f>
        <v>597</v>
      </c>
      <c r="Y880" t="b">
        <v>1</v>
      </c>
      <c r="Z880" t="b">
        <v>0</v>
      </c>
      <c r="AA880" t="s">
        <v>52</v>
      </c>
      <c r="AB880" t="s">
        <v>67</v>
      </c>
      <c r="AC880">
        <v>3</v>
      </c>
    </row>
    <row r="881" spans="1:29" x14ac:dyDescent="0.25">
      <c r="A881" t="s">
        <v>1827</v>
      </c>
      <c r="B881">
        <v>50</v>
      </c>
      <c r="C881" t="s">
        <v>88</v>
      </c>
      <c r="D881" t="s">
        <v>44</v>
      </c>
      <c r="E881" t="s">
        <v>76</v>
      </c>
      <c r="F881" t="s">
        <v>45</v>
      </c>
      <c r="G881" t="s">
        <v>44</v>
      </c>
      <c r="H881" t="s">
        <v>1828</v>
      </c>
      <c r="I881" t="s">
        <v>104</v>
      </c>
      <c r="J881" s="1">
        <v>474.42</v>
      </c>
      <c r="K881">
        <v>4</v>
      </c>
      <c r="L881" t="s">
        <v>48</v>
      </c>
      <c r="M881">
        <v>2</v>
      </c>
      <c r="N881">
        <v>3</v>
      </c>
      <c r="O881">
        <v>0</v>
      </c>
      <c r="P881" t="s">
        <v>49</v>
      </c>
      <c r="Q881" t="s">
        <v>50</v>
      </c>
      <c r="R881">
        <v>1</v>
      </c>
      <c r="S881">
        <v>9</v>
      </c>
      <c r="T881" t="s">
        <v>36</v>
      </c>
      <c r="U881" t="s">
        <v>79</v>
      </c>
      <c r="V881" t="s">
        <v>61</v>
      </c>
      <c r="W881" s="2">
        <v>45556</v>
      </c>
      <c r="X881" s="4">
        <f ca="1">TODAY()-DATASET[[#This Row],[Time_of_Purchase]]</f>
        <v>578</v>
      </c>
      <c r="Y881" t="b">
        <v>1</v>
      </c>
      <c r="Z881" t="b">
        <v>0</v>
      </c>
      <c r="AA881" t="s">
        <v>40</v>
      </c>
      <c r="AB881" t="s">
        <v>41</v>
      </c>
      <c r="AC881">
        <v>5</v>
      </c>
    </row>
    <row r="882" spans="1:29" x14ac:dyDescent="0.25">
      <c r="A882" t="s">
        <v>1829</v>
      </c>
      <c r="B882">
        <v>34</v>
      </c>
      <c r="C882" t="s">
        <v>29</v>
      </c>
      <c r="D882" t="s">
        <v>44</v>
      </c>
      <c r="E882" t="s">
        <v>69</v>
      </c>
      <c r="F882" t="s">
        <v>45</v>
      </c>
      <c r="G882" t="s">
        <v>44</v>
      </c>
      <c r="H882" t="s">
        <v>710</v>
      </c>
      <c r="I882" t="s">
        <v>34</v>
      </c>
      <c r="J882" s="1">
        <v>429.24</v>
      </c>
      <c r="K882">
        <v>7</v>
      </c>
      <c r="L882" t="s">
        <v>35</v>
      </c>
      <c r="M882">
        <v>3</v>
      </c>
      <c r="N882">
        <v>5</v>
      </c>
      <c r="O882">
        <v>1</v>
      </c>
      <c r="P882" t="s">
        <v>44</v>
      </c>
      <c r="Q882" t="s">
        <v>50</v>
      </c>
      <c r="R882">
        <v>0</v>
      </c>
      <c r="S882">
        <v>1</v>
      </c>
      <c r="T882" t="s">
        <v>59</v>
      </c>
      <c r="U882" t="s">
        <v>38</v>
      </c>
      <c r="V882" t="s">
        <v>61</v>
      </c>
      <c r="W882" s="2">
        <v>45378</v>
      </c>
      <c r="X882" s="4">
        <f ca="1">TODAY()-DATASET[[#This Row],[Time_of_Purchase]]</f>
        <v>756</v>
      </c>
      <c r="Y882" t="b">
        <v>0</v>
      </c>
      <c r="Z882" t="b">
        <v>0</v>
      </c>
      <c r="AA882" t="s">
        <v>40</v>
      </c>
      <c r="AB882" t="s">
        <v>41</v>
      </c>
      <c r="AC882">
        <v>10</v>
      </c>
    </row>
    <row r="883" spans="1:29" x14ac:dyDescent="0.25">
      <c r="A883" t="s">
        <v>1830</v>
      </c>
      <c r="B883">
        <v>24</v>
      </c>
      <c r="C883" t="s">
        <v>29</v>
      </c>
      <c r="D883" t="s">
        <v>44</v>
      </c>
      <c r="E883" t="s">
        <v>31</v>
      </c>
      <c r="F883" t="s">
        <v>45</v>
      </c>
      <c r="G883" t="s">
        <v>44</v>
      </c>
      <c r="H883" t="s">
        <v>1831</v>
      </c>
      <c r="I883" t="s">
        <v>65</v>
      </c>
      <c r="J883" s="1">
        <v>470.38</v>
      </c>
      <c r="K883">
        <v>8</v>
      </c>
      <c r="L883" t="s">
        <v>35</v>
      </c>
      <c r="M883">
        <v>2</v>
      </c>
      <c r="N883">
        <v>4</v>
      </c>
      <c r="O883">
        <v>0</v>
      </c>
      <c r="P883" t="s">
        <v>49</v>
      </c>
      <c r="Q883" t="s">
        <v>50</v>
      </c>
      <c r="R883">
        <v>2</v>
      </c>
      <c r="S883">
        <v>3</v>
      </c>
      <c r="T883" t="s">
        <v>44</v>
      </c>
      <c r="U883" t="s">
        <v>60</v>
      </c>
      <c r="V883" t="s">
        <v>66</v>
      </c>
      <c r="W883" s="2">
        <v>45607</v>
      </c>
      <c r="X883" s="4">
        <f ca="1">TODAY()-DATASET[[#This Row],[Time_of_Purchase]]</f>
        <v>527</v>
      </c>
      <c r="Y883" t="b">
        <v>1</v>
      </c>
      <c r="Z883" t="b">
        <v>1</v>
      </c>
      <c r="AA883" t="s">
        <v>62</v>
      </c>
      <c r="AB883" t="s">
        <v>53</v>
      </c>
      <c r="AC883">
        <v>9</v>
      </c>
    </row>
    <row r="884" spans="1:29" x14ac:dyDescent="0.25">
      <c r="A884" t="s">
        <v>1832</v>
      </c>
      <c r="B884">
        <v>32</v>
      </c>
      <c r="C884" t="s">
        <v>29</v>
      </c>
      <c r="D884" t="s">
        <v>30</v>
      </c>
      <c r="E884" t="s">
        <v>55</v>
      </c>
      <c r="F884" t="s">
        <v>56</v>
      </c>
      <c r="G884" t="s">
        <v>44</v>
      </c>
      <c r="H884" t="s">
        <v>1833</v>
      </c>
      <c r="I884" t="s">
        <v>34</v>
      </c>
      <c r="J884" s="1">
        <v>495.8</v>
      </c>
      <c r="K884">
        <v>4</v>
      </c>
      <c r="L884" t="s">
        <v>35</v>
      </c>
      <c r="M884">
        <v>1</v>
      </c>
      <c r="N884">
        <v>2</v>
      </c>
      <c r="O884">
        <v>1</v>
      </c>
      <c r="P884" t="s">
        <v>59</v>
      </c>
      <c r="Q884" t="s">
        <v>50</v>
      </c>
      <c r="R884">
        <v>0</v>
      </c>
      <c r="S884">
        <v>7</v>
      </c>
      <c r="T884" t="s">
        <v>36</v>
      </c>
      <c r="U884" t="s">
        <v>38</v>
      </c>
      <c r="V884" t="s">
        <v>51</v>
      </c>
      <c r="W884" s="2">
        <v>45551</v>
      </c>
      <c r="X884" s="4">
        <f ca="1">TODAY()-DATASET[[#This Row],[Time_of_Purchase]]</f>
        <v>583</v>
      </c>
      <c r="Y884" t="b">
        <v>1</v>
      </c>
      <c r="Z884" t="b">
        <v>1</v>
      </c>
      <c r="AA884" t="s">
        <v>52</v>
      </c>
      <c r="AB884" t="s">
        <v>53</v>
      </c>
      <c r="AC884">
        <v>10</v>
      </c>
    </row>
    <row r="885" spans="1:29" x14ac:dyDescent="0.25">
      <c r="A885" t="s">
        <v>1834</v>
      </c>
      <c r="B885">
        <v>21</v>
      </c>
      <c r="C885" t="s">
        <v>29</v>
      </c>
      <c r="D885" t="s">
        <v>44</v>
      </c>
      <c r="E885" t="s">
        <v>69</v>
      </c>
      <c r="F885" t="s">
        <v>32</v>
      </c>
      <c r="G885" t="s">
        <v>30</v>
      </c>
      <c r="H885" t="s">
        <v>1835</v>
      </c>
      <c r="I885" t="s">
        <v>117</v>
      </c>
      <c r="J885" s="1">
        <v>129.63999999999999</v>
      </c>
      <c r="K885">
        <v>4</v>
      </c>
      <c r="L885" t="s">
        <v>48</v>
      </c>
      <c r="M885">
        <v>3</v>
      </c>
      <c r="N885">
        <v>1</v>
      </c>
      <c r="O885">
        <v>2</v>
      </c>
      <c r="P885" t="s">
        <v>36</v>
      </c>
      <c r="Q885" t="s">
        <v>50</v>
      </c>
      <c r="R885">
        <v>1</v>
      </c>
      <c r="S885">
        <v>3</v>
      </c>
      <c r="T885" t="s">
        <v>59</v>
      </c>
      <c r="U885" t="s">
        <v>79</v>
      </c>
      <c r="V885" t="s">
        <v>61</v>
      </c>
      <c r="W885" s="2">
        <v>45439</v>
      </c>
      <c r="X885" s="4">
        <f ca="1">TODAY()-DATASET[[#This Row],[Time_of_Purchase]]</f>
        <v>695</v>
      </c>
      <c r="Y885" t="b">
        <v>0</v>
      </c>
      <c r="Z885" t="b">
        <v>1</v>
      </c>
      <c r="AA885" t="s">
        <v>40</v>
      </c>
      <c r="AB885" t="s">
        <v>67</v>
      </c>
      <c r="AC885">
        <v>3</v>
      </c>
    </row>
    <row r="886" spans="1:29" x14ac:dyDescent="0.25">
      <c r="A886" t="s">
        <v>1836</v>
      </c>
      <c r="B886">
        <v>41</v>
      </c>
      <c r="C886" t="s">
        <v>43</v>
      </c>
      <c r="D886" t="s">
        <v>30</v>
      </c>
      <c r="E886" t="s">
        <v>55</v>
      </c>
      <c r="F886" t="s">
        <v>56</v>
      </c>
      <c r="G886" t="s">
        <v>44</v>
      </c>
      <c r="H886" t="s">
        <v>1837</v>
      </c>
      <c r="I886" t="s">
        <v>93</v>
      </c>
      <c r="J886" s="1">
        <v>473.77</v>
      </c>
      <c r="K886">
        <v>9</v>
      </c>
      <c r="L886" t="s">
        <v>78</v>
      </c>
      <c r="M886">
        <v>3</v>
      </c>
      <c r="N886">
        <v>1</v>
      </c>
      <c r="O886">
        <v>2</v>
      </c>
      <c r="P886" t="s">
        <v>49</v>
      </c>
      <c r="Q886" t="s">
        <v>85</v>
      </c>
      <c r="R886">
        <v>2</v>
      </c>
      <c r="S886">
        <v>9</v>
      </c>
      <c r="T886" t="s">
        <v>36</v>
      </c>
      <c r="U886" t="s">
        <v>79</v>
      </c>
      <c r="V886" t="s">
        <v>51</v>
      </c>
      <c r="W886" s="2">
        <v>45414</v>
      </c>
      <c r="X886" s="4">
        <f ca="1">TODAY()-DATASET[[#This Row],[Time_of_Purchase]]</f>
        <v>720</v>
      </c>
      <c r="Y886" t="b">
        <v>0</v>
      </c>
      <c r="Z886" t="b">
        <v>0</v>
      </c>
      <c r="AA886" t="s">
        <v>52</v>
      </c>
      <c r="AB886" t="s">
        <v>41</v>
      </c>
      <c r="AC886">
        <v>13</v>
      </c>
    </row>
    <row r="887" spans="1:29" x14ac:dyDescent="0.25">
      <c r="A887" t="s">
        <v>1838</v>
      </c>
      <c r="B887">
        <v>40</v>
      </c>
      <c r="C887" t="s">
        <v>29</v>
      </c>
      <c r="D887" t="s">
        <v>44</v>
      </c>
      <c r="E887" t="s">
        <v>31</v>
      </c>
      <c r="F887" t="s">
        <v>45</v>
      </c>
      <c r="G887" t="s">
        <v>30</v>
      </c>
      <c r="H887" t="s">
        <v>1839</v>
      </c>
      <c r="I887" t="s">
        <v>117</v>
      </c>
      <c r="J887" s="1">
        <v>130.84</v>
      </c>
      <c r="K887">
        <v>4</v>
      </c>
      <c r="L887" t="s">
        <v>78</v>
      </c>
      <c r="M887">
        <v>5</v>
      </c>
      <c r="N887">
        <v>5</v>
      </c>
      <c r="O887">
        <v>2</v>
      </c>
      <c r="P887" t="s">
        <v>49</v>
      </c>
      <c r="Q887" t="s">
        <v>85</v>
      </c>
      <c r="R887">
        <v>2</v>
      </c>
      <c r="S887">
        <v>10</v>
      </c>
      <c r="T887" t="s">
        <v>59</v>
      </c>
      <c r="U887" t="s">
        <v>38</v>
      </c>
      <c r="V887" t="s">
        <v>51</v>
      </c>
      <c r="W887" s="2">
        <v>45548</v>
      </c>
      <c r="X887" s="4">
        <f ca="1">TODAY()-DATASET[[#This Row],[Time_of_Purchase]]</f>
        <v>586</v>
      </c>
      <c r="Y887" t="b">
        <v>1</v>
      </c>
      <c r="Z887" t="b">
        <v>1</v>
      </c>
      <c r="AA887" t="s">
        <v>40</v>
      </c>
      <c r="AB887" t="s">
        <v>53</v>
      </c>
      <c r="AC887">
        <v>13</v>
      </c>
    </row>
    <row r="888" spans="1:29" x14ac:dyDescent="0.25">
      <c r="A888" t="s">
        <v>1840</v>
      </c>
      <c r="B888">
        <v>48</v>
      </c>
      <c r="C888" t="s">
        <v>43</v>
      </c>
      <c r="D888" t="s">
        <v>30</v>
      </c>
      <c r="E888" t="s">
        <v>55</v>
      </c>
      <c r="F888" t="s">
        <v>56</v>
      </c>
      <c r="G888" t="s">
        <v>44</v>
      </c>
      <c r="H888" t="s">
        <v>1841</v>
      </c>
      <c r="I888" t="s">
        <v>158</v>
      </c>
      <c r="J888" s="1">
        <v>436.54</v>
      </c>
      <c r="K888">
        <v>12</v>
      </c>
      <c r="L888" t="s">
        <v>78</v>
      </c>
      <c r="M888">
        <v>3</v>
      </c>
      <c r="N888">
        <v>3</v>
      </c>
      <c r="O888">
        <v>0</v>
      </c>
      <c r="P888" t="s">
        <v>49</v>
      </c>
      <c r="Q888" t="s">
        <v>85</v>
      </c>
      <c r="R888">
        <v>1</v>
      </c>
      <c r="S888">
        <v>8</v>
      </c>
      <c r="T888" t="s">
        <v>59</v>
      </c>
      <c r="U888" t="s">
        <v>60</v>
      </c>
      <c r="V888" t="s">
        <v>61</v>
      </c>
      <c r="W888" s="2">
        <v>45442</v>
      </c>
      <c r="X888" s="4">
        <f ca="1">TODAY()-DATASET[[#This Row],[Time_of_Purchase]]</f>
        <v>692</v>
      </c>
      <c r="Y888" t="b">
        <v>1</v>
      </c>
      <c r="Z888" t="b">
        <v>0</v>
      </c>
      <c r="AA888" t="s">
        <v>52</v>
      </c>
      <c r="AB888" t="s">
        <v>41</v>
      </c>
      <c r="AC888">
        <v>9</v>
      </c>
    </row>
    <row r="889" spans="1:29" x14ac:dyDescent="0.25">
      <c r="A889" t="s">
        <v>1842</v>
      </c>
      <c r="B889">
        <v>25</v>
      </c>
      <c r="C889" t="s">
        <v>29</v>
      </c>
      <c r="D889" t="s">
        <v>30</v>
      </c>
      <c r="E889" t="s">
        <v>69</v>
      </c>
      <c r="F889" t="s">
        <v>32</v>
      </c>
      <c r="G889" t="s">
        <v>30</v>
      </c>
      <c r="H889" t="s">
        <v>1843</v>
      </c>
      <c r="I889" t="s">
        <v>101</v>
      </c>
      <c r="J889" s="1">
        <v>264.01</v>
      </c>
      <c r="K889">
        <v>4</v>
      </c>
      <c r="L889" t="s">
        <v>48</v>
      </c>
      <c r="M889">
        <v>3</v>
      </c>
      <c r="N889">
        <v>4</v>
      </c>
      <c r="O889">
        <v>0</v>
      </c>
      <c r="P889" t="s">
        <v>44</v>
      </c>
      <c r="Q889" t="s">
        <v>37</v>
      </c>
      <c r="R889">
        <v>1</v>
      </c>
      <c r="S889">
        <v>5</v>
      </c>
      <c r="T889" t="s">
        <v>36</v>
      </c>
      <c r="U889" t="s">
        <v>79</v>
      </c>
      <c r="V889" t="s">
        <v>66</v>
      </c>
      <c r="W889" s="2">
        <v>45586</v>
      </c>
      <c r="X889" s="4">
        <f ca="1">TODAY()-DATASET[[#This Row],[Time_of_Purchase]]</f>
        <v>548</v>
      </c>
      <c r="Y889" t="b">
        <v>1</v>
      </c>
      <c r="Z889" t="b">
        <v>0</v>
      </c>
      <c r="AA889" t="s">
        <v>40</v>
      </c>
      <c r="AB889" t="s">
        <v>41</v>
      </c>
      <c r="AC889">
        <v>2</v>
      </c>
    </row>
    <row r="890" spans="1:29" x14ac:dyDescent="0.25">
      <c r="A890" t="s">
        <v>1844</v>
      </c>
      <c r="B890">
        <v>30</v>
      </c>
      <c r="C890" t="s">
        <v>29</v>
      </c>
      <c r="D890" t="s">
        <v>44</v>
      </c>
      <c r="E890" t="s">
        <v>76</v>
      </c>
      <c r="F890" t="s">
        <v>32</v>
      </c>
      <c r="G890" t="s">
        <v>44</v>
      </c>
      <c r="H890" t="s">
        <v>1845</v>
      </c>
      <c r="I890" t="s">
        <v>194</v>
      </c>
      <c r="J890" s="1">
        <v>58.27</v>
      </c>
      <c r="K890">
        <v>2</v>
      </c>
      <c r="L890" t="s">
        <v>48</v>
      </c>
      <c r="M890">
        <v>5</v>
      </c>
      <c r="N890">
        <v>4</v>
      </c>
      <c r="O890">
        <v>1</v>
      </c>
      <c r="P890" t="s">
        <v>49</v>
      </c>
      <c r="Q890" t="s">
        <v>37</v>
      </c>
      <c r="R890">
        <v>1</v>
      </c>
      <c r="S890">
        <v>4</v>
      </c>
      <c r="T890" t="s">
        <v>49</v>
      </c>
      <c r="U890" t="s">
        <v>60</v>
      </c>
      <c r="V890" t="s">
        <v>86</v>
      </c>
      <c r="W890" s="2">
        <v>45580</v>
      </c>
      <c r="X890" s="4">
        <f ca="1">TODAY()-DATASET[[#This Row],[Time_of_Purchase]]</f>
        <v>554</v>
      </c>
      <c r="Y890" t="b">
        <v>0</v>
      </c>
      <c r="Z890" t="b">
        <v>1</v>
      </c>
      <c r="AA890" t="s">
        <v>40</v>
      </c>
      <c r="AB890" t="s">
        <v>41</v>
      </c>
      <c r="AC890">
        <v>13</v>
      </c>
    </row>
    <row r="891" spans="1:29" x14ac:dyDescent="0.25">
      <c r="A891" t="s">
        <v>1846</v>
      </c>
      <c r="B891">
        <v>25</v>
      </c>
      <c r="C891" t="s">
        <v>43</v>
      </c>
      <c r="D891" t="s">
        <v>30</v>
      </c>
      <c r="E891" t="s">
        <v>55</v>
      </c>
      <c r="F891" t="s">
        <v>56</v>
      </c>
      <c r="G891" t="s">
        <v>44</v>
      </c>
      <c r="H891" t="s">
        <v>1847</v>
      </c>
      <c r="I891" t="s">
        <v>90</v>
      </c>
      <c r="J891" s="1">
        <v>190.76</v>
      </c>
      <c r="K891">
        <v>10</v>
      </c>
      <c r="L891" t="s">
        <v>48</v>
      </c>
      <c r="M891">
        <v>5</v>
      </c>
      <c r="N891">
        <v>5</v>
      </c>
      <c r="O891">
        <v>2</v>
      </c>
      <c r="P891" t="s">
        <v>36</v>
      </c>
      <c r="Q891" t="s">
        <v>50</v>
      </c>
      <c r="R891">
        <v>1</v>
      </c>
      <c r="S891">
        <v>3</v>
      </c>
      <c r="T891" t="s">
        <v>44</v>
      </c>
      <c r="U891" t="s">
        <v>79</v>
      </c>
      <c r="V891" t="s">
        <v>66</v>
      </c>
      <c r="W891" s="2">
        <v>45603</v>
      </c>
      <c r="X891" s="4">
        <f ca="1">TODAY()-DATASET[[#This Row],[Time_of_Purchase]]</f>
        <v>531</v>
      </c>
      <c r="Y891" t="b">
        <v>0</v>
      </c>
      <c r="Z891" t="b">
        <v>0</v>
      </c>
      <c r="AA891" t="s">
        <v>74</v>
      </c>
      <c r="AB891" t="s">
        <v>67</v>
      </c>
      <c r="AC891">
        <v>11</v>
      </c>
    </row>
    <row r="892" spans="1:29" x14ac:dyDescent="0.25">
      <c r="A892" t="s">
        <v>1848</v>
      </c>
      <c r="B892">
        <v>40</v>
      </c>
      <c r="C892" t="s">
        <v>29</v>
      </c>
      <c r="D892" t="s">
        <v>44</v>
      </c>
      <c r="E892" t="s">
        <v>69</v>
      </c>
      <c r="F892" t="s">
        <v>56</v>
      </c>
      <c r="G892" t="s">
        <v>44</v>
      </c>
      <c r="H892" t="s">
        <v>1849</v>
      </c>
      <c r="I892" t="s">
        <v>101</v>
      </c>
      <c r="J892" s="1">
        <v>105.76</v>
      </c>
      <c r="K892">
        <v>8</v>
      </c>
      <c r="L892" t="s">
        <v>78</v>
      </c>
      <c r="M892">
        <v>4</v>
      </c>
      <c r="N892">
        <v>4</v>
      </c>
      <c r="O892">
        <v>2</v>
      </c>
      <c r="P892" t="s">
        <v>36</v>
      </c>
      <c r="Q892" t="s">
        <v>85</v>
      </c>
      <c r="R892">
        <v>1</v>
      </c>
      <c r="S892">
        <v>8</v>
      </c>
      <c r="T892" t="s">
        <v>49</v>
      </c>
      <c r="U892" t="s">
        <v>38</v>
      </c>
      <c r="V892" t="s">
        <v>39</v>
      </c>
      <c r="W892" s="2">
        <v>45309</v>
      </c>
      <c r="X892" s="4">
        <f ca="1">TODAY()-DATASET[[#This Row],[Time_of_Purchase]]</f>
        <v>825</v>
      </c>
      <c r="Y892" t="b">
        <v>0</v>
      </c>
      <c r="Z892" t="b">
        <v>0</v>
      </c>
      <c r="AA892" t="s">
        <v>74</v>
      </c>
      <c r="AB892" t="s">
        <v>67</v>
      </c>
      <c r="AC892">
        <v>4</v>
      </c>
    </row>
    <row r="893" spans="1:29" x14ac:dyDescent="0.25">
      <c r="A893" t="s">
        <v>1850</v>
      </c>
      <c r="B893">
        <v>24</v>
      </c>
      <c r="C893" t="s">
        <v>29</v>
      </c>
      <c r="D893" t="s">
        <v>30</v>
      </c>
      <c r="E893" t="s">
        <v>55</v>
      </c>
      <c r="F893" t="s">
        <v>56</v>
      </c>
      <c r="G893" t="s">
        <v>44</v>
      </c>
      <c r="H893" t="s">
        <v>1851</v>
      </c>
      <c r="I893" t="s">
        <v>107</v>
      </c>
      <c r="J893" s="1">
        <v>254.29</v>
      </c>
      <c r="K893">
        <v>9</v>
      </c>
      <c r="L893" t="s">
        <v>35</v>
      </c>
      <c r="M893">
        <v>5</v>
      </c>
      <c r="N893">
        <v>4</v>
      </c>
      <c r="O893">
        <v>0</v>
      </c>
      <c r="P893" t="s">
        <v>49</v>
      </c>
      <c r="Q893" t="s">
        <v>37</v>
      </c>
      <c r="R893">
        <v>1</v>
      </c>
      <c r="S893">
        <v>7</v>
      </c>
      <c r="T893" t="s">
        <v>59</v>
      </c>
      <c r="U893" t="s">
        <v>60</v>
      </c>
      <c r="V893" t="s">
        <v>86</v>
      </c>
      <c r="W893" s="2">
        <v>45412</v>
      </c>
      <c r="X893" s="4">
        <f ca="1">TODAY()-DATASET[[#This Row],[Time_of_Purchase]]</f>
        <v>722</v>
      </c>
      <c r="Y893" t="b">
        <v>0</v>
      </c>
      <c r="Z893" t="b">
        <v>0</v>
      </c>
      <c r="AA893" t="s">
        <v>62</v>
      </c>
      <c r="AB893" t="s">
        <v>67</v>
      </c>
      <c r="AC893">
        <v>3</v>
      </c>
    </row>
    <row r="894" spans="1:29" x14ac:dyDescent="0.25">
      <c r="A894" t="s">
        <v>1852</v>
      </c>
      <c r="B894">
        <v>49</v>
      </c>
      <c r="C894" t="s">
        <v>43</v>
      </c>
      <c r="D894" t="s">
        <v>30</v>
      </c>
      <c r="E894" t="s">
        <v>76</v>
      </c>
      <c r="F894" t="s">
        <v>32</v>
      </c>
      <c r="G894" t="s">
        <v>44</v>
      </c>
      <c r="H894" t="s">
        <v>1853</v>
      </c>
      <c r="I894" t="s">
        <v>90</v>
      </c>
      <c r="J894" s="1">
        <v>435.52</v>
      </c>
      <c r="K894">
        <v>9</v>
      </c>
      <c r="L894" t="s">
        <v>78</v>
      </c>
      <c r="M894">
        <v>5</v>
      </c>
      <c r="N894">
        <v>3</v>
      </c>
      <c r="O894">
        <v>2</v>
      </c>
      <c r="P894" t="s">
        <v>44</v>
      </c>
      <c r="Q894" t="s">
        <v>50</v>
      </c>
      <c r="R894">
        <v>1</v>
      </c>
      <c r="S894">
        <v>2</v>
      </c>
      <c r="T894" t="s">
        <v>49</v>
      </c>
      <c r="U894" t="s">
        <v>79</v>
      </c>
      <c r="V894" t="s">
        <v>61</v>
      </c>
      <c r="W894" s="2">
        <v>45608</v>
      </c>
      <c r="X894" s="4">
        <f ca="1">TODAY()-DATASET[[#This Row],[Time_of_Purchase]]</f>
        <v>526</v>
      </c>
      <c r="Y894" t="b">
        <v>1</v>
      </c>
      <c r="Z894" t="b">
        <v>0</v>
      </c>
      <c r="AA894" t="s">
        <v>62</v>
      </c>
      <c r="AB894" t="s">
        <v>41</v>
      </c>
      <c r="AC894">
        <v>11</v>
      </c>
    </row>
    <row r="895" spans="1:29" x14ac:dyDescent="0.25">
      <c r="A895" t="s">
        <v>1854</v>
      </c>
      <c r="B895">
        <v>50</v>
      </c>
      <c r="C895" t="s">
        <v>29</v>
      </c>
      <c r="D895" t="s">
        <v>44</v>
      </c>
      <c r="E895" t="s">
        <v>31</v>
      </c>
      <c r="F895" t="s">
        <v>56</v>
      </c>
      <c r="G895" t="s">
        <v>30</v>
      </c>
      <c r="H895" t="s">
        <v>1855</v>
      </c>
      <c r="I895" t="s">
        <v>58</v>
      </c>
      <c r="J895" s="1">
        <v>235.49</v>
      </c>
      <c r="K895">
        <v>5</v>
      </c>
      <c r="L895" t="s">
        <v>48</v>
      </c>
      <c r="M895">
        <v>4</v>
      </c>
      <c r="N895">
        <v>3</v>
      </c>
      <c r="O895">
        <v>1</v>
      </c>
      <c r="P895" t="s">
        <v>44</v>
      </c>
      <c r="Q895" t="s">
        <v>37</v>
      </c>
      <c r="R895">
        <v>1</v>
      </c>
      <c r="S895">
        <v>6</v>
      </c>
      <c r="T895" t="s">
        <v>36</v>
      </c>
      <c r="U895" t="s">
        <v>60</v>
      </c>
      <c r="V895" t="s">
        <v>86</v>
      </c>
      <c r="W895" s="2">
        <v>45425</v>
      </c>
      <c r="X895" s="4">
        <f ca="1">TODAY()-DATASET[[#This Row],[Time_of_Purchase]]</f>
        <v>709</v>
      </c>
      <c r="Y895" t="b">
        <v>1</v>
      </c>
      <c r="Z895" t="b">
        <v>0</v>
      </c>
      <c r="AA895" t="s">
        <v>62</v>
      </c>
      <c r="AB895" t="s">
        <v>67</v>
      </c>
      <c r="AC895">
        <v>5</v>
      </c>
    </row>
    <row r="896" spans="1:29" x14ac:dyDescent="0.25">
      <c r="A896" t="s">
        <v>1856</v>
      </c>
      <c r="B896">
        <v>45</v>
      </c>
      <c r="C896" t="s">
        <v>43</v>
      </c>
      <c r="D896" t="s">
        <v>44</v>
      </c>
      <c r="E896" t="s">
        <v>69</v>
      </c>
      <c r="F896" t="s">
        <v>56</v>
      </c>
      <c r="G896" t="s">
        <v>30</v>
      </c>
      <c r="H896" t="s">
        <v>1857</v>
      </c>
      <c r="I896" t="s">
        <v>93</v>
      </c>
      <c r="J896" s="1">
        <v>161.34</v>
      </c>
      <c r="K896">
        <v>3</v>
      </c>
      <c r="L896" t="s">
        <v>35</v>
      </c>
      <c r="M896">
        <v>2</v>
      </c>
      <c r="N896">
        <v>3</v>
      </c>
      <c r="O896">
        <v>2</v>
      </c>
      <c r="P896" t="s">
        <v>44</v>
      </c>
      <c r="Q896" t="s">
        <v>85</v>
      </c>
      <c r="R896">
        <v>1</v>
      </c>
      <c r="S896">
        <v>8</v>
      </c>
      <c r="T896" t="s">
        <v>49</v>
      </c>
      <c r="U896" t="s">
        <v>38</v>
      </c>
      <c r="V896" t="s">
        <v>39</v>
      </c>
      <c r="W896" s="2">
        <v>45563</v>
      </c>
      <c r="X896" s="4">
        <f ca="1">TODAY()-DATASET[[#This Row],[Time_of_Purchase]]</f>
        <v>571</v>
      </c>
      <c r="Y896" t="b">
        <v>1</v>
      </c>
      <c r="Z896" t="b">
        <v>0</v>
      </c>
      <c r="AA896" t="s">
        <v>62</v>
      </c>
      <c r="AB896" t="s">
        <v>41</v>
      </c>
      <c r="AC896">
        <v>4</v>
      </c>
    </row>
    <row r="897" spans="1:29" x14ac:dyDescent="0.25">
      <c r="A897" t="s">
        <v>1858</v>
      </c>
      <c r="B897">
        <v>19</v>
      </c>
      <c r="C897" t="s">
        <v>43</v>
      </c>
      <c r="D897" t="s">
        <v>44</v>
      </c>
      <c r="E897" t="s">
        <v>55</v>
      </c>
      <c r="F897" t="s">
        <v>56</v>
      </c>
      <c r="G897" t="s">
        <v>44</v>
      </c>
      <c r="H897" t="s">
        <v>1859</v>
      </c>
      <c r="I897" t="s">
        <v>93</v>
      </c>
      <c r="J897" s="1">
        <v>167.67</v>
      </c>
      <c r="K897">
        <v>11</v>
      </c>
      <c r="L897" t="s">
        <v>48</v>
      </c>
      <c r="M897">
        <v>5</v>
      </c>
      <c r="N897">
        <v>2</v>
      </c>
      <c r="O897">
        <v>1</v>
      </c>
      <c r="P897" t="s">
        <v>44</v>
      </c>
      <c r="Q897" t="s">
        <v>85</v>
      </c>
      <c r="R897">
        <v>0</v>
      </c>
      <c r="S897">
        <v>6</v>
      </c>
      <c r="T897" t="s">
        <v>49</v>
      </c>
      <c r="U897" t="s">
        <v>60</v>
      </c>
      <c r="V897" t="s">
        <v>39</v>
      </c>
      <c r="W897" s="2">
        <v>45369</v>
      </c>
      <c r="X897" s="4">
        <f ca="1">TODAY()-DATASET[[#This Row],[Time_of_Purchase]]</f>
        <v>765</v>
      </c>
      <c r="Y897" t="b">
        <v>0</v>
      </c>
      <c r="Z897" t="b">
        <v>1</v>
      </c>
      <c r="AA897" t="s">
        <v>40</v>
      </c>
      <c r="AB897" t="s">
        <v>67</v>
      </c>
      <c r="AC897">
        <v>5</v>
      </c>
    </row>
    <row r="898" spans="1:29" x14ac:dyDescent="0.25">
      <c r="A898" t="s">
        <v>1860</v>
      </c>
      <c r="B898">
        <v>50</v>
      </c>
      <c r="C898" t="s">
        <v>29</v>
      </c>
      <c r="D898" t="s">
        <v>30</v>
      </c>
      <c r="E898" t="s">
        <v>69</v>
      </c>
      <c r="F898" t="s">
        <v>45</v>
      </c>
      <c r="G898" t="s">
        <v>44</v>
      </c>
      <c r="H898" t="s">
        <v>1861</v>
      </c>
      <c r="I898" t="s">
        <v>47</v>
      </c>
      <c r="J898" s="1">
        <v>96.68</v>
      </c>
      <c r="K898">
        <v>10</v>
      </c>
      <c r="L898" t="s">
        <v>35</v>
      </c>
      <c r="M898">
        <v>5</v>
      </c>
      <c r="N898">
        <v>2</v>
      </c>
      <c r="O898">
        <v>2</v>
      </c>
      <c r="P898" t="s">
        <v>44</v>
      </c>
      <c r="Q898" t="s">
        <v>37</v>
      </c>
      <c r="R898">
        <v>2</v>
      </c>
      <c r="S898">
        <v>3</v>
      </c>
      <c r="T898" t="s">
        <v>36</v>
      </c>
      <c r="U898" t="s">
        <v>60</v>
      </c>
      <c r="V898" t="s">
        <v>39</v>
      </c>
      <c r="W898" s="2">
        <v>45395</v>
      </c>
      <c r="X898" s="4">
        <f ca="1">TODAY()-DATASET[[#This Row],[Time_of_Purchase]]</f>
        <v>739</v>
      </c>
      <c r="Y898" t="b">
        <v>1</v>
      </c>
      <c r="Z898" t="b">
        <v>0</v>
      </c>
      <c r="AA898" t="s">
        <v>74</v>
      </c>
      <c r="AB898" t="s">
        <v>41</v>
      </c>
      <c r="AC898">
        <v>10</v>
      </c>
    </row>
    <row r="899" spans="1:29" x14ac:dyDescent="0.25">
      <c r="A899" t="s">
        <v>1862</v>
      </c>
      <c r="B899">
        <v>32</v>
      </c>
      <c r="C899" t="s">
        <v>43</v>
      </c>
      <c r="D899" t="s">
        <v>44</v>
      </c>
      <c r="E899" t="s">
        <v>31</v>
      </c>
      <c r="F899" t="s">
        <v>56</v>
      </c>
      <c r="G899" t="s">
        <v>44</v>
      </c>
      <c r="H899" t="s">
        <v>1863</v>
      </c>
      <c r="I899" t="s">
        <v>34</v>
      </c>
      <c r="J899" s="1">
        <v>234.58</v>
      </c>
      <c r="K899">
        <v>3</v>
      </c>
      <c r="L899" t="s">
        <v>35</v>
      </c>
      <c r="M899">
        <v>5</v>
      </c>
      <c r="N899">
        <v>5</v>
      </c>
      <c r="O899">
        <v>2</v>
      </c>
      <c r="P899" t="s">
        <v>59</v>
      </c>
      <c r="Q899" t="s">
        <v>85</v>
      </c>
      <c r="R899">
        <v>2</v>
      </c>
      <c r="S899">
        <v>6</v>
      </c>
      <c r="T899" t="s">
        <v>36</v>
      </c>
      <c r="U899" t="s">
        <v>79</v>
      </c>
      <c r="V899" t="s">
        <v>51</v>
      </c>
      <c r="W899" s="2">
        <v>45405</v>
      </c>
      <c r="X899" s="4">
        <f ca="1">TODAY()-DATASET[[#This Row],[Time_of_Purchase]]</f>
        <v>729</v>
      </c>
      <c r="Y899" t="b">
        <v>1</v>
      </c>
      <c r="Z899" t="b">
        <v>0</v>
      </c>
      <c r="AA899" t="s">
        <v>62</v>
      </c>
      <c r="AB899" t="s">
        <v>53</v>
      </c>
      <c r="AC899">
        <v>1</v>
      </c>
    </row>
    <row r="900" spans="1:29" x14ac:dyDescent="0.25">
      <c r="A900" t="s">
        <v>1864</v>
      </c>
      <c r="B900">
        <v>21</v>
      </c>
      <c r="C900" t="s">
        <v>43</v>
      </c>
      <c r="D900" t="s">
        <v>30</v>
      </c>
      <c r="E900" t="s">
        <v>31</v>
      </c>
      <c r="F900" t="s">
        <v>56</v>
      </c>
      <c r="G900" t="s">
        <v>30</v>
      </c>
      <c r="H900" t="s">
        <v>1865</v>
      </c>
      <c r="I900" t="s">
        <v>71</v>
      </c>
      <c r="J900" s="1">
        <v>156.47999999999999</v>
      </c>
      <c r="K900">
        <v>7</v>
      </c>
      <c r="L900" t="s">
        <v>48</v>
      </c>
      <c r="M900">
        <v>5</v>
      </c>
      <c r="N900">
        <v>1</v>
      </c>
      <c r="O900">
        <v>0</v>
      </c>
      <c r="P900" t="s">
        <v>59</v>
      </c>
      <c r="Q900" t="s">
        <v>50</v>
      </c>
      <c r="R900">
        <v>2</v>
      </c>
      <c r="S900">
        <v>5</v>
      </c>
      <c r="T900" t="s">
        <v>49</v>
      </c>
      <c r="U900" t="s">
        <v>79</v>
      </c>
      <c r="V900" t="s">
        <v>66</v>
      </c>
      <c r="W900" s="2">
        <v>45364</v>
      </c>
      <c r="X900" s="4">
        <f ca="1">TODAY()-DATASET[[#This Row],[Time_of_Purchase]]</f>
        <v>770</v>
      </c>
      <c r="Y900" t="b">
        <v>0</v>
      </c>
      <c r="Z900" t="b">
        <v>1</v>
      </c>
      <c r="AA900" t="s">
        <v>52</v>
      </c>
      <c r="AB900" t="s">
        <v>41</v>
      </c>
      <c r="AC900">
        <v>4</v>
      </c>
    </row>
    <row r="901" spans="1:29" x14ac:dyDescent="0.25">
      <c r="A901" t="s">
        <v>1866</v>
      </c>
      <c r="B901">
        <v>27</v>
      </c>
      <c r="C901" t="s">
        <v>212</v>
      </c>
      <c r="D901" t="s">
        <v>44</v>
      </c>
      <c r="E901" t="s">
        <v>69</v>
      </c>
      <c r="F901" t="s">
        <v>32</v>
      </c>
      <c r="G901" t="s">
        <v>30</v>
      </c>
      <c r="H901" t="s">
        <v>1867</v>
      </c>
      <c r="I901" t="s">
        <v>246</v>
      </c>
      <c r="J901" s="1">
        <v>489.66</v>
      </c>
      <c r="K901">
        <v>11</v>
      </c>
      <c r="L901" t="s">
        <v>35</v>
      </c>
      <c r="M901">
        <v>5</v>
      </c>
      <c r="N901">
        <v>1</v>
      </c>
      <c r="O901">
        <v>0</v>
      </c>
      <c r="P901" t="s">
        <v>44</v>
      </c>
      <c r="Q901" t="s">
        <v>50</v>
      </c>
      <c r="R901">
        <v>2</v>
      </c>
      <c r="S901">
        <v>6</v>
      </c>
      <c r="T901" t="s">
        <v>36</v>
      </c>
      <c r="U901" t="s">
        <v>38</v>
      </c>
      <c r="V901" t="s">
        <v>66</v>
      </c>
      <c r="W901" s="2">
        <v>45309</v>
      </c>
      <c r="X901" s="4">
        <f ca="1">TODAY()-DATASET[[#This Row],[Time_of_Purchase]]</f>
        <v>825</v>
      </c>
      <c r="Y901" t="b">
        <v>1</v>
      </c>
      <c r="Z901" t="b">
        <v>0</v>
      </c>
      <c r="AA901" t="s">
        <v>52</v>
      </c>
      <c r="AB901" t="s">
        <v>53</v>
      </c>
      <c r="AC901">
        <v>3</v>
      </c>
    </row>
    <row r="902" spans="1:29" x14ac:dyDescent="0.25">
      <c r="A902" t="s">
        <v>1868</v>
      </c>
      <c r="B902">
        <v>39</v>
      </c>
      <c r="C902" t="s">
        <v>274</v>
      </c>
      <c r="D902" t="s">
        <v>44</v>
      </c>
      <c r="E902" t="s">
        <v>76</v>
      </c>
      <c r="F902" t="s">
        <v>56</v>
      </c>
      <c r="G902" t="s">
        <v>44</v>
      </c>
      <c r="H902" t="s">
        <v>1869</v>
      </c>
      <c r="I902" t="s">
        <v>114</v>
      </c>
      <c r="J902" s="1">
        <v>161.85</v>
      </c>
      <c r="K902">
        <v>9</v>
      </c>
      <c r="L902" t="s">
        <v>48</v>
      </c>
      <c r="M902">
        <v>5</v>
      </c>
      <c r="N902">
        <v>3</v>
      </c>
      <c r="O902">
        <v>0</v>
      </c>
      <c r="P902" t="s">
        <v>44</v>
      </c>
      <c r="Q902" t="s">
        <v>85</v>
      </c>
      <c r="R902">
        <v>0</v>
      </c>
      <c r="S902">
        <v>4</v>
      </c>
      <c r="T902" t="s">
        <v>49</v>
      </c>
      <c r="U902" t="s">
        <v>60</v>
      </c>
      <c r="V902" t="s">
        <v>66</v>
      </c>
      <c r="W902" s="2">
        <v>45407</v>
      </c>
      <c r="X902" s="4">
        <f ca="1">TODAY()-DATASET[[#This Row],[Time_of_Purchase]]</f>
        <v>727</v>
      </c>
      <c r="Y902" t="b">
        <v>1</v>
      </c>
      <c r="Z902" t="b">
        <v>0</v>
      </c>
      <c r="AA902" t="s">
        <v>40</v>
      </c>
      <c r="AB902" t="s">
        <v>41</v>
      </c>
      <c r="AC902">
        <v>10</v>
      </c>
    </row>
    <row r="903" spans="1:29" x14ac:dyDescent="0.25">
      <c r="A903" t="s">
        <v>1870</v>
      </c>
      <c r="B903">
        <v>34</v>
      </c>
      <c r="C903" t="s">
        <v>43</v>
      </c>
      <c r="D903" t="s">
        <v>30</v>
      </c>
      <c r="E903" t="s">
        <v>69</v>
      </c>
      <c r="F903" t="s">
        <v>56</v>
      </c>
      <c r="G903" t="s">
        <v>44</v>
      </c>
      <c r="H903" t="s">
        <v>1871</v>
      </c>
      <c r="I903" t="s">
        <v>117</v>
      </c>
      <c r="J903" s="1">
        <v>204.47</v>
      </c>
      <c r="K903">
        <v>7</v>
      </c>
      <c r="L903" t="s">
        <v>78</v>
      </c>
      <c r="M903">
        <v>2</v>
      </c>
      <c r="N903">
        <v>1</v>
      </c>
      <c r="O903">
        <v>1</v>
      </c>
      <c r="P903" t="s">
        <v>36</v>
      </c>
      <c r="Q903" t="s">
        <v>85</v>
      </c>
      <c r="R903">
        <v>2</v>
      </c>
      <c r="S903">
        <v>9</v>
      </c>
      <c r="T903" t="s">
        <v>36</v>
      </c>
      <c r="U903" t="s">
        <v>60</v>
      </c>
      <c r="V903" t="s">
        <v>39</v>
      </c>
      <c r="W903" s="2">
        <v>45519</v>
      </c>
      <c r="X903" s="4">
        <f ca="1">TODAY()-DATASET[[#This Row],[Time_of_Purchase]]</f>
        <v>615</v>
      </c>
      <c r="Y903" t="b">
        <v>1</v>
      </c>
      <c r="Z903" t="b">
        <v>1</v>
      </c>
      <c r="AA903" t="s">
        <v>52</v>
      </c>
      <c r="AB903" t="s">
        <v>41</v>
      </c>
      <c r="AC903">
        <v>3</v>
      </c>
    </row>
    <row r="904" spans="1:29" x14ac:dyDescent="0.25">
      <c r="A904" t="s">
        <v>1872</v>
      </c>
      <c r="B904">
        <v>34</v>
      </c>
      <c r="C904" t="s">
        <v>29</v>
      </c>
      <c r="D904" t="s">
        <v>30</v>
      </c>
      <c r="E904" t="s">
        <v>69</v>
      </c>
      <c r="F904" t="s">
        <v>32</v>
      </c>
      <c r="G904" t="s">
        <v>30</v>
      </c>
      <c r="H904" t="s">
        <v>1873</v>
      </c>
      <c r="I904" t="s">
        <v>107</v>
      </c>
      <c r="J904" s="1">
        <v>315.02999999999997</v>
      </c>
      <c r="K904">
        <v>4</v>
      </c>
      <c r="L904" t="s">
        <v>78</v>
      </c>
      <c r="M904">
        <v>1</v>
      </c>
      <c r="N904">
        <v>5</v>
      </c>
      <c r="O904">
        <v>0</v>
      </c>
      <c r="P904" t="s">
        <v>44</v>
      </c>
      <c r="Q904" t="s">
        <v>85</v>
      </c>
      <c r="R904">
        <v>1</v>
      </c>
      <c r="S904">
        <v>6</v>
      </c>
      <c r="T904" t="s">
        <v>59</v>
      </c>
      <c r="U904" t="s">
        <v>38</v>
      </c>
      <c r="V904" t="s">
        <v>51</v>
      </c>
      <c r="W904" s="2">
        <v>45606</v>
      </c>
      <c r="X904" s="4">
        <f ca="1">TODAY()-DATASET[[#This Row],[Time_of_Purchase]]</f>
        <v>528</v>
      </c>
      <c r="Y904" t="b">
        <v>1</v>
      </c>
      <c r="Z904" t="b">
        <v>0</v>
      </c>
      <c r="AA904" t="s">
        <v>74</v>
      </c>
      <c r="AB904" t="s">
        <v>67</v>
      </c>
      <c r="AC904">
        <v>2</v>
      </c>
    </row>
    <row r="905" spans="1:29" x14ac:dyDescent="0.25">
      <c r="A905" t="s">
        <v>1874</v>
      </c>
      <c r="B905">
        <v>42</v>
      </c>
      <c r="C905" t="s">
        <v>43</v>
      </c>
      <c r="D905" t="s">
        <v>30</v>
      </c>
      <c r="E905" t="s">
        <v>55</v>
      </c>
      <c r="F905" t="s">
        <v>56</v>
      </c>
      <c r="G905" t="s">
        <v>44</v>
      </c>
      <c r="H905" t="s">
        <v>1875</v>
      </c>
      <c r="I905" t="s">
        <v>71</v>
      </c>
      <c r="J905" s="1">
        <v>330.36</v>
      </c>
      <c r="K905">
        <v>12</v>
      </c>
      <c r="L905" t="s">
        <v>48</v>
      </c>
      <c r="M905">
        <v>5</v>
      </c>
      <c r="N905">
        <v>5</v>
      </c>
      <c r="O905">
        <v>1</v>
      </c>
      <c r="P905" t="s">
        <v>59</v>
      </c>
      <c r="Q905" t="s">
        <v>85</v>
      </c>
      <c r="R905">
        <v>1</v>
      </c>
      <c r="S905">
        <v>4</v>
      </c>
      <c r="T905" t="s">
        <v>59</v>
      </c>
      <c r="U905" t="s">
        <v>38</v>
      </c>
      <c r="V905" t="s">
        <v>66</v>
      </c>
      <c r="W905" s="2">
        <v>45472</v>
      </c>
      <c r="X905" s="4">
        <f ca="1">TODAY()-DATASET[[#This Row],[Time_of_Purchase]]</f>
        <v>662</v>
      </c>
      <c r="Y905" t="b">
        <v>1</v>
      </c>
      <c r="Z905" t="b">
        <v>1</v>
      </c>
      <c r="AA905" t="s">
        <v>40</v>
      </c>
      <c r="AB905" t="s">
        <v>41</v>
      </c>
      <c r="AC905">
        <v>3</v>
      </c>
    </row>
    <row r="906" spans="1:29" x14ac:dyDescent="0.25">
      <c r="A906" t="s">
        <v>1876</v>
      </c>
      <c r="B906">
        <v>42</v>
      </c>
      <c r="C906" t="s">
        <v>43</v>
      </c>
      <c r="D906" t="s">
        <v>30</v>
      </c>
      <c r="E906" t="s">
        <v>55</v>
      </c>
      <c r="F906" t="s">
        <v>32</v>
      </c>
      <c r="G906" t="s">
        <v>30</v>
      </c>
      <c r="H906" t="s">
        <v>1877</v>
      </c>
      <c r="I906" t="s">
        <v>126</v>
      </c>
      <c r="J906" s="1">
        <v>456.83</v>
      </c>
      <c r="K906">
        <v>5</v>
      </c>
      <c r="L906" t="s">
        <v>78</v>
      </c>
      <c r="M906">
        <v>2</v>
      </c>
      <c r="N906">
        <v>5</v>
      </c>
      <c r="O906">
        <v>0</v>
      </c>
      <c r="P906" t="s">
        <v>36</v>
      </c>
      <c r="Q906" t="s">
        <v>50</v>
      </c>
      <c r="R906">
        <v>0</v>
      </c>
      <c r="S906">
        <v>9</v>
      </c>
      <c r="T906" t="s">
        <v>44</v>
      </c>
      <c r="U906" t="s">
        <v>38</v>
      </c>
      <c r="V906" t="s">
        <v>39</v>
      </c>
      <c r="W906" s="2">
        <v>45463</v>
      </c>
      <c r="X906" s="4">
        <f ca="1">TODAY()-DATASET[[#This Row],[Time_of_Purchase]]</f>
        <v>671</v>
      </c>
      <c r="Y906" t="b">
        <v>0</v>
      </c>
      <c r="Z906" t="b">
        <v>0</v>
      </c>
      <c r="AA906" t="s">
        <v>40</v>
      </c>
      <c r="AB906" t="s">
        <v>41</v>
      </c>
      <c r="AC906">
        <v>13</v>
      </c>
    </row>
    <row r="907" spans="1:29" x14ac:dyDescent="0.25">
      <c r="A907" t="s">
        <v>1878</v>
      </c>
      <c r="B907">
        <v>31</v>
      </c>
      <c r="C907" t="s">
        <v>43</v>
      </c>
      <c r="D907" t="s">
        <v>44</v>
      </c>
      <c r="E907" t="s">
        <v>69</v>
      </c>
      <c r="F907" t="s">
        <v>32</v>
      </c>
      <c r="G907" t="s">
        <v>44</v>
      </c>
      <c r="H907" t="s">
        <v>1879</v>
      </c>
      <c r="I907" t="s">
        <v>246</v>
      </c>
      <c r="J907" s="1">
        <v>236.05</v>
      </c>
      <c r="K907">
        <v>6</v>
      </c>
      <c r="L907" t="s">
        <v>48</v>
      </c>
      <c r="M907">
        <v>2</v>
      </c>
      <c r="N907">
        <v>3</v>
      </c>
      <c r="O907">
        <v>0</v>
      </c>
      <c r="P907" t="s">
        <v>36</v>
      </c>
      <c r="Q907" t="s">
        <v>85</v>
      </c>
      <c r="R907">
        <v>1</v>
      </c>
      <c r="S907">
        <v>4</v>
      </c>
      <c r="T907" t="s">
        <v>44</v>
      </c>
      <c r="U907" t="s">
        <v>79</v>
      </c>
      <c r="V907" t="s">
        <v>66</v>
      </c>
      <c r="W907" s="2">
        <v>45612</v>
      </c>
      <c r="X907" s="4">
        <f ca="1">TODAY()-DATASET[[#This Row],[Time_of_Purchase]]</f>
        <v>522</v>
      </c>
      <c r="Y907" t="b">
        <v>0</v>
      </c>
      <c r="Z907" t="b">
        <v>1</v>
      </c>
      <c r="AA907" t="s">
        <v>40</v>
      </c>
      <c r="AB907" t="s">
        <v>41</v>
      </c>
      <c r="AC907">
        <v>13</v>
      </c>
    </row>
    <row r="908" spans="1:29" x14ac:dyDescent="0.25">
      <c r="A908" t="s">
        <v>1880</v>
      </c>
      <c r="B908">
        <v>35</v>
      </c>
      <c r="C908" t="s">
        <v>29</v>
      </c>
      <c r="D908" t="s">
        <v>44</v>
      </c>
      <c r="E908" t="s">
        <v>69</v>
      </c>
      <c r="F908" t="s">
        <v>45</v>
      </c>
      <c r="G908" t="s">
        <v>44</v>
      </c>
      <c r="H908" t="s">
        <v>1881</v>
      </c>
      <c r="I908" t="s">
        <v>65</v>
      </c>
      <c r="J908" s="1">
        <v>289.27999999999997</v>
      </c>
      <c r="K908">
        <v>9</v>
      </c>
      <c r="L908" t="s">
        <v>78</v>
      </c>
      <c r="M908">
        <v>3</v>
      </c>
      <c r="N908">
        <v>5</v>
      </c>
      <c r="O908">
        <v>1</v>
      </c>
      <c r="P908" t="s">
        <v>44</v>
      </c>
      <c r="Q908" t="s">
        <v>37</v>
      </c>
      <c r="R908">
        <v>2</v>
      </c>
      <c r="S908">
        <v>7</v>
      </c>
      <c r="T908" t="s">
        <v>49</v>
      </c>
      <c r="U908" t="s">
        <v>38</v>
      </c>
      <c r="V908" t="s">
        <v>51</v>
      </c>
      <c r="W908" s="2">
        <v>45472</v>
      </c>
      <c r="X908" s="4">
        <f ca="1">TODAY()-DATASET[[#This Row],[Time_of_Purchase]]</f>
        <v>662</v>
      </c>
      <c r="Y908" t="b">
        <v>0</v>
      </c>
      <c r="Z908" t="b">
        <v>1</v>
      </c>
      <c r="AA908" t="s">
        <v>52</v>
      </c>
      <c r="AB908" t="s">
        <v>67</v>
      </c>
      <c r="AC908">
        <v>13</v>
      </c>
    </row>
    <row r="909" spans="1:29" x14ac:dyDescent="0.25">
      <c r="A909" t="s">
        <v>1882</v>
      </c>
      <c r="B909">
        <v>27</v>
      </c>
      <c r="C909" t="s">
        <v>29</v>
      </c>
      <c r="D909" t="s">
        <v>44</v>
      </c>
      <c r="E909" t="s">
        <v>31</v>
      </c>
      <c r="F909" t="s">
        <v>45</v>
      </c>
      <c r="G909" t="s">
        <v>30</v>
      </c>
      <c r="H909" t="s">
        <v>1883</v>
      </c>
      <c r="I909" t="s">
        <v>114</v>
      </c>
      <c r="J909" s="1">
        <v>483.77</v>
      </c>
      <c r="K909">
        <v>5</v>
      </c>
      <c r="L909" t="s">
        <v>48</v>
      </c>
      <c r="M909">
        <v>1</v>
      </c>
      <c r="N909">
        <v>2</v>
      </c>
      <c r="O909">
        <v>0</v>
      </c>
      <c r="P909" t="s">
        <v>36</v>
      </c>
      <c r="Q909" t="s">
        <v>85</v>
      </c>
      <c r="R909">
        <v>0</v>
      </c>
      <c r="S909">
        <v>5</v>
      </c>
      <c r="T909" t="s">
        <v>36</v>
      </c>
      <c r="U909" t="s">
        <v>79</v>
      </c>
      <c r="V909" t="s">
        <v>39</v>
      </c>
      <c r="W909" s="2">
        <v>45493</v>
      </c>
      <c r="X909" s="4">
        <f ca="1">TODAY()-DATASET[[#This Row],[Time_of_Purchase]]</f>
        <v>641</v>
      </c>
      <c r="Y909" t="b">
        <v>0</v>
      </c>
      <c r="Z909" t="b">
        <v>0</v>
      </c>
      <c r="AA909" t="s">
        <v>52</v>
      </c>
      <c r="AB909" t="s">
        <v>41</v>
      </c>
      <c r="AC909">
        <v>10</v>
      </c>
    </row>
    <row r="910" spans="1:29" x14ac:dyDescent="0.25">
      <c r="A910" t="s">
        <v>1884</v>
      </c>
      <c r="B910">
        <v>45</v>
      </c>
      <c r="C910" t="s">
        <v>43</v>
      </c>
      <c r="D910" t="s">
        <v>30</v>
      </c>
      <c r="E910" t="s">
        <v>31</v>
      </c>
      <c r="F910" t="s">
        <v>45</v>
      </c>
      <c r="G910" t="s">
        <v>30</v>
      </c>
      <c r="H910" t="s">
        <v>1885</v>
      </c>
      <c r="I910" t="s">
        <v>71</v>
      </c>
      <c r="J910" s="1">
        <v>64.5</v>
      </c>
      <c r="K910">
        <v>7</v>
      </c>
      <c r="L910" t="s">
        <v>48</v>
      </c>
      <c r="M910">
        <v>3</v>
      </c>
      <c r="N910">
        <v>4</v>
      </c>
      <c r="O910">
        <v>1</v>
      </c>
      <c r="P910" t="s">
        <v>44</v>
      </c>
      <c r="Q910" t="s">
        <v>37</v>
      </c>
      <c r="R910">
        <v>1</v>
      </c>
      <c r="S910">
        <v>7</v>
      </c>
      <c r="T910" t="s">
        <v>44</v>
      </c>
      <c r="U910" t="s">
        <v>79</v>
      </c>
      <c r="V910" t="s">
        <v>39</v>
      </c>
      <c r="W910" s="2">
        <v>45501</v>
      </c>
      <c r="X910" s="4">
        <f ca="1">TODAY()-DATASET[[#This Row],[Time_of_Purchase]]</f>
        <v>633</v>
      </c>
      <c r="Y910" t="b">
        <v>1</v>
      </c>
      <c r="Z910" t="b">
        <v>0</v>
      </c>
      <c r="AA910" t="s">
        <v>52</v>
      </c>
      <c r="AB910" t="s">
        <v>41</v>
      </c>
      <c r="AC910">
        <v>13</v>
      </c>
    </row>
    <row r="911" spans="1:29" x14ac:dyDescent="0.25">
      <c r="A911" t="s">
        <v>1886</v>
      </c>
      <c r="B911">
        <v>43</v>
      </c>
      <c r="C911" t="s">
        <v>43</v>
      </c>
      <c r="D911" t="s">
        <v>44</v>
      </c>
      <c r="E911" t="s">
        <v>31</v>
      </c>
      <c r="F911" t="s">
        <v>32</v>
      </c>
      <c r="G911" t="s">
        <v>30</v>
      </c>
      <c r="H911" t="s">
        <v>1887</v>
      </c>
      <c r="I911" t="s">
        <v>158</v>
      </c>
      <c r="J911" s="1">
        <v>436.57</v>
      </c>
      <c r="K911">
        <v>4</v>
      </c>
      <c r="L911" t="s">
        <v>35</v>
      </c>
      <c r="M911">
        <v>5</v>
      </c>
      <c r="N911">
        <v>3</v>
      </c>
      <c r="O911">
        <v>1</v>
      </c>
      <c r="P911" t="s">
        <v>44</v>
      </c>
      <c r="Q911" t="s">
        <v>50</v>
      </c>
      <c r="R911">
        <v>2</v>
      </c>
      <c r="S911">
        <v>10</v>
      </c>
      <c r="T911" t="s">
        <v>59</v>
      </c>
      <c r="U911" t="s">
        <v>79</v>
      </c>
      <c r="V911" t="s">
        <v>61</v>
      </c>
      <c r="W911" s="2">
        <v>45324</v>
      </c>
      <c r="X911" s="4">
        <f ca="1">TODAY()-DATASET[[#This Row],[Time_of_Purchase]]</f>
        <v>810</v>
      </c>
      <c r="Y911" t="b">
        <v>0</v>
      </c>
      <c r="Z911" t="b">
        <v>0</v>
      </c>
      <c r="AA911" t="s">
        <v>52</v>
      </c>
      <c r="AB911" t="s">
        <v>53</v>
      </c>
      <c r="AC911">
        <v>3</v>
      </c>
    </row>
    <row r="912" spans="1:29" x14ac:dyDescent="0.25">
      <c r="A912" t="s">
        <v>1888</v>
      </c>
      <c r="B912">
        <v>35</v>
      </c>
      <c r="C912" t="s">
        <v>88</v>
      </c>
      <c r="D912" t="s">
        <v>30</v>
      </c>
      <c r="E912" t="s">
        <v>69</v>
      </c>
      <c r="F912" t="s">
        <v>45</v>
      </c>
      <c r="G912" t="s">
        <v>30</v>
      </c>
      <c r="H912" t="s">
        <v>1889</v>
      </c>
      <c r="I912" t="s">
        <v>47</v>
      </c>
      <c r="J912" s="1">
        <v>364.48</v>
      </c>
      <c r="K912">
        <v>2</v>
      </c>
      <c r="L912" t="s">
        <v>35</v>
      </c>
      <c r="M912">
        <v>3</v>
      </c>
      <c r="N912">
        <v>3</v>
      </c>
      <c r="O912">
        <v>0.2</v>
      </c>
      <c r="P912" t="s">
        <v>36</v>
      </c>
      <c r="Q912" t="s">
        <v>85</v>
      </c>
      <c r="R912">
        <v>2</v>
      </c>
      <c r="S912">
        <v>5</v>
      </c>
      <c r="T912" t="s">
        <v>36</v>
      </c>
      <c r="U912" t="s">
        <v>60</v>
      </c>
      <c r="V912" t="s">
        <v>66</v>
      </c>
      <c r="W912" s="2">
        <v>45561</v>
      </c>
      <c r="X912" s="4">
        <f ca="1">TODAY()-DATASET[[#This Row],[Time_of_Purchase]]</f>
        <v>573</v>
      </c>
      <c r="Y912" t="b">
        <v>0</v>
      </c>
      <c r="Z912" t="b">
        <v>0</v>
      </c>
      <c r="AA912" t="s">
        <v>74</v>
      </c>
      <c r="AB912" t="s">
        <v>41</v>
      </c>
      <c r="AC912">
        <v>13</v>
      </c>
    </row>
    <row r="913" spans="1:29" x14ac:dyDescent="0.25">
      <c r="A913" t="s">
        <v>1890</v>
      </c>
      <c r="B913">
        <v>33</v>
      </c>
      <c r="C913" t="s">
        <v>29</v>
      </c>
      <c r="D913" t="s">
        <v>30</v>
      </c>
      <c r="E913" t="s">
        <v>69</v>
      </c>
      <c r="F913" t="s">
        <v>56</v>
      </c>
      <c r="G913" t="s">
        <v>44</v>
      </c>
      <c r="H913" t="s">
        <v>1891</v>
      </c>
      <c r="I913" t="s">
        <v>188</v>
      </c>
      <c r="J913" s="1">
        <v>221.88</v>
      </c>
      <c r="K913">
        <v>12</v>
      </c>
      <c r="L913" t="s">
        <v>48</v>
      </c>
      <c r="M913">
        <v>1</v>
      </c>
      <c r="N913">
        <v>4</v>
      </c>
      <c r="O913">
        <v>2</v>
      </c>
      <c r="P913" t="s">
        <v>59</v>
      </c>
      <c r="Q913" t="s">
        <v>37</v>
      </c>
      <c r="R913">
        <v>1</v>
      </c>
      <c r="S913">
        <v>6</v>
      </c>
      <c r="T913" t="s">
        <v>36</v>
      </c>
      <c r="U913" t="s">
        <v>79</v>
      </c>
      <c r="V913" t="s">
        <v>66</v>
      </c>
      <c r="W913" s="2">
        <v>45386</v>
      </c>
      <c r="X913" s="4">
        <f ca="1">TODAY()-DATASET[[#This Row],[Time_of_Purchase]]</f>
        <v>748</v>
      </c>
      <c r="Y913" t="b">
        <v>1</v>
      </c>
      <c r="Z913" t="b">
        <v>0</v>
      </c>
      <c r="AA913" t="s">
        <v>40</v>
      </c>
      <c r="AB913" t="s">
        <v>67</v>
      </c>
      <c r="AC913">
        <v>9</v>
      </c>
    </row>
    <row r="914" spans="1:29" x14ac:dyDescent="0.25">
      <c r="A914" t="s">
        <v>1892</v>
      </c>
      <c r="B914">
        <v>31</v>
      </c>
      <c r="C914" t="s">
        <v>29</v>
      </c>
      <c r="D914" t="s">
        <v>30</v>
      </c>
      <c r="E914" t="s">
        <v>55</v>
      </c>
      <c r="F914" t="s">
        <v>45</v>
      </c>
      <c r="G914" t="s">
        <v>30</v>
      </c>
      <c r="H914" t="s">
        <v>1893</v>
      </c>
      <c r="I914" t="s">
        <v>183</v>
      </c>
      <c r="J914" s="1">
        <v>278.20999999999998</v>
      </c>
      <c r="K914">
        <v>3</v>
      </c>
      <c r="L914" t="s">
        <v>35</v>
      </c>
      <c r="M914">
        <v>5</v>
      </c>
      <c r="N914">
        <v>1</v>
      </c>
      <c r="O914">
        <v>2</v>
      </c>
      <c r="P914" t="s">
        <v>59</v>
      </c>
      <c r="Q914" t="s">
        <v>37</v>
      </c>
      <c r="R914">
        <v>0</v>
      </c>
      <c r="S914">
        <v>7</v>
      </c>
      <c r="T914" t="s">
        <v>59</v>
      </c>
      <c r="U914" t="s">
        <v>38</v>
      </c>
      <c r="V914" t="s">
        <v>66</v>
      </c>
      <c r="W914" s="2">
        <v>45587</v>
      </c>
      <c r="X914" s="4">
        <f ca="1">TODAY()-DATASET[[#This Row],[Time_of_Purchase]]</f>
        <v>547</v>
      </c>
      <c r="Y914" t="b">
        <v>1</v>
      </c>
      <c r="Z914" t="b">
        <v>0</v>
      </c>
      <c r="AA914" t="s">
        <v>40</v>
      </c>
      <c r="AB914" t="s">
        <v>41</v>
      </c>
      <c r="AC914">
        <v>14</v>
      </c>
    </row>
    <row r="915" spans="1:29" x14ac:dyDescent="0.25">
      <c r="A915" t="s">
        <v>1894</v>
      </c>
      <c r="B915">
        <v>31</v>
      </c>
      <c r="C915" t="s">
        <v>29</v>
      </c>
      <c r="D915" t="s">
        <v>44</v>
      </c>
      <c r="E915" t="s">
        <v>31</v>
      </c>
      <c r="F915" t="s">
        <v>56</v>
      </c>
      <c r="G915" t="s">
        <v>44</v>
      </c>
      <c r="H915" t="s">
        <v>1895</v>
      </c>
      <c r="I915" t="s">
        <v>142</v>
      </c>
      <c r="J915" s="1">
        <v>344.43</v>
      </c>
      <c r="K915">
        <v>7</v>
      </c>
      <c r="L915" t="s">
        <v>78</v>
      </c>
      <c r="M915">
        <v>3</v>
      </c>
      <c r="N915">
        <v>5</v>
      </c>
      <c r="O915">
        <v>0</v>
      </c>
      <c r="P915" t="s">
        <v>49</v>
      </c>
      <c r="Q915" t="s">
        <v>50</v>
      </c>
      <c r="R915">
        <v>2</v>
      </c>
      <c r="S915">
        <v>4</v>
      </c>
      <c r="T915" t="s">
        <v>49</v>
      </c>
      <c r="U915" t="s">
        <v>79</v>
      </c>
      <c r="V915" t="s">
        <v>39</v>
      </c>
      <c r="W915" s="2">
        <v>45485</v>
      </c>
      <c r="X915" s="4">
        <f ca="1">TODAY()-DATASET[[#This Row],[Time_of_Purchase]]</f>
        <v>649</v>
      </c>
      <c r="Y915" t="b">
        <v>1</v>
      </c>
      <c r="Z915" t="b">
        <v>0</v>
      </c>
      <c r="AA915" t="s">
        <v>62</v>
      </c>
      <c r="AB915" t="s">
        <v>53</v>
      </c>
      <c r="AC915">
        <v>5</v>
      </c>
    </row>
    <row r="916" spans="1:29" x14ac:dyDescent="0.25">
      <c r="A916" t="s">
        <v>1896</v>
      </c>
      <c r="B916">
        <v>26</v>
      </c>
      <c r="C916" t="s">
        <v>43</v>
      </c>
      <c r="D916" t="s">
        <v>44</v>
      </c>
      <c r="E916" t="s">
        <v>55</v>
      </c>
      <c r="F916" t="s">
        <v>56</v>
      </c>
      <c r="G916" t="s">
        <v>44</v>
      </c>
      <c r="H916" t="s">
        <v>1897</v>
      </c>
      <c r="I916" t="s">
        <v>123</v>
      </c>
      <c r="J916" s="1">
        <v>326.08</v>
      </c>
      <c r="K916">
        <v>11</v>
      </c>
      <c r="L916" t="s">
        <v>48</v>
      </c>
      <c r="M916">
        <v>4</v>
      </c>
      <c r="N916">
        <v>3</v>
      </c>
      <c r="O916">
        <v>2</v>
      </c>
      <c r="P916" t="s">
        <v>49</v>
      </c>
      <c r="Q916" t="s">
        <v>50</v>
      </c>
      <c r="R916">
        <v>2</v>
      </c>
      <c r="S916">
        <v>6</v>
      </c>
      <c r="T916" t="s">
        <v>49</v>
      </c>
      <c r="U916" t="s">
        <v>38</v>
      </c>
      <c r="V916" t="s">
        <v>51</v>
      </c>
      <c r="W916" s="2">
        <v>45473</v>
      </c>
      <c r="X916" s="4">
        <f ca="1">TODAY()-DATASET[[#This Row],[Time_of_Purchase]]</f>
        <v>661</v>
      </c>
      <c r="Y916" t="b">
        <v>1</v>
      </c>
      <c r="Z916" t="b">
        <v>1</v>
      </c>
      <c r="AA916" t="s">
        <v>62</v>
      </c>
      <c r="AB916" t="s">
        <v>67</v>
      </c>
      <c r="AC916">
        <v>8</v>
      </c>
    </row>
    <row r="917" spans="1:29" x14ac:dyDescent="0.25">
      <c r="A917" t="s">
        <v>1898</v>
      </c>
      <c r="B917">
        <v>49</v>
      </c>
      <c r="C917" t="s">
        <v>43</v>
      </c>
      <c r="D917" t="s">
        <v>44</v>
      </c>
      <c r="E917" t="s">
        <v>31</v>
      </c>
      <c r="F917" t="s">
        <v>32</v>
      </c>
      <c r="G917" t="s">
        <v>30</v>
      </c>
      <c r="H917" t="s">
        <v>277</v>
      </c>
      <c r="I917" t="s">
        <v>34</v>
      </c>
      <c r="J917" s="1">
        <v>437.97</v>
      </c>
      <c r="K917">
        <v>8</v>
      </c>
      <c r="L917" t="s">
        <v>78</v>
      </c>
      <c r="M917">
        <v>4</v>
      </c>
      <c r="N917">
        <v>2</v>
      </c>
      <c r="O917">
        <v>0</v>
      </c>
      <c r="P917" t="s">
        <v>44</v>
      </c>
      <c r="Q917" t="s">
        <v>50</v>
      </c>
      <c r="R917">
        <v>0</v>
      </c>
      <c r="S917">
        <v>7</v>
      </c>
      <c r="T917" t="s">
        <v>49</v>
      </c>
      <c r="U917" t="s">
        <v>38</v>
      </c>
      <c r="V917" t="s">
        <v>61</v>
      </c>
      <c r="W917" s="2">
        <v>45384</v>
      </c>
      <c r="X917" s="4">
        <f ca="1">TODAY()-DATASET[[#This Row],[Time_of_Purchase]]</f>
        <v>750</v>
      </c>
      <c r="Y917" t="b">
        <v>1</v>
      </c>
      <c r="Z917" t="b">
        <v>1</v>
      </c>
      <c r="AA917" t="s">
        <v>40</v>
      </c>
      <c r="AB917" t="s">
        <v>67</v>
      </c>
      <c r="AC917">
        <v>12</v>
      </c>
    </row>
    <row r="918" spans="1:29" x14ac:dyDescent="0.25">
      <c r="A918" t="s">
        <v>1899</v>
      </c>
      <c r="B918">
        <v>23</v>
      </c>
      <c r="C918" t="s">
        <v>43</v>
      </c>
      <c r="D918" t="s">
        <v>44</v>
      </c>
      <c r="E918" t="s">
        <v>55</v>
      </c>
      <c r="F918" t="s">
        <v>56</v>
      </c>
      <c r="G918" t="s">
        <v>44</v>
      </c>
      <c r="H918" t="s">
        <v>856</v>
      </c>
      <c r="I918" t="s">
        <v>114</v>
      </c>
      <c r="J918" s="1">
        <v>391.87</v>
      </c>
      <c r="K918">
        <v>3</v>
      </c>
      <c r="L918" t="s">
        <v>78</v>
      </c>
      <c r="M918">
        <v>1</v>
      </c>
      <c r="N918">
        <v>4</v>
      </c>
      <c r="O918">
        <v>2</v>
      </c>
      <c r="P918" t="s">
        <v>44</v>
      </c>
      <c r="Q918" t="s">
        <v>85</v>
      </c>
      <c r="R918">
        <v>0</v>
      </c>
      <c r="S918">
        <v>2</v>
      </c>
      <c r="T918" t="s">
        <v>49</v>
      </c>
      <c r="U918" t="s">
        <v>79</v>
      </c>
      <c r="V918" t="s">
        <v>86</v>
      </c>
      <c r="W918" s="2">
        <v>45338</v>
      </c>
      <c r="X918" s="4">
        <f ca="1">TODAY()-DATASET[[#This Row],[Time_of_Purchase]]</f>
        <v>796</v>
      </c>
      <c r="Y918" t="b">
        <v>1</v>
      </c>
      <c r="Z918" t="b">
        <v>0</v>
      </c>
      <c r="AA918" t="s">
        <v>74</v>
      </c>
      <c r="AB918" t="s">
        <v>53</v>
      </c>
      <c r="AC918">
        <v>6</v>
      </c>
    </row>
    <row r="919" spans="1:29" x14ac:dyDescent="0.25">
      <c r="A919" t="s">
        <v>1900</v>
      </c>
      <c r="B919">
        <v>42</v>
      </c>
      <c r="C919" t="s">
        <v>43</v>
      </c>
      <c r="D919" t="s">
        <v>44</v>
      </c>
      <c r="E919" t="s">
        <v>55</v>
      </c>
      <c r="F919" t="s">
        <v>56</v>
      </c>
      <c r="G919" t="s">
        <v>30</v>
      </c>
      <c r="H919" t="s">
        <v>1901</v>
      </c>
      <c r="I919" t="s">
        <v>194</v>
      </c>
      <c r="J919" s="1">
        <v>333.41</v>
      </c>
      <c r="K919">
        <v>3</v>
      </c>
      <c r="L919" t="s">
        <v>78</v>
      </c>
      <c r="M919">
        <v>2</v>
      </c>
      <c r="N919">
        <v>5</v>
      </c>
      <c r="O919">
        <v>1</v>
      </c>
      <c r="P919" t="s">
        <v>44</v>
      </c>
      <c r="Q919" t="s">
        <v>85</v>
      </c>
      <c r="R919">
        <v>1</v>
      </c>
      <c r="S919">
        <v>6</v>
      </c>
      <c r="T919" t="s">
        <v>36</v>
      </c>
      <c r="U919" t="s">
        <v>38</v>
      </c>
      <c r="V919" t="s">
        <v>51</v>
      </c>
      <c r="W919" s="2">
        <v>45322</v>
      </c>
      <c r="X919" s="4">
        <f ca="1">TODAY()-DATASET[[#This Row],[Time_of_Purchase]]</f>
        <v>812</v>
      </c>
      <c r="Y919" t="b">
        <v>0</v>
      </c>
      <c r="Z919" t="b">
        <v>0</v>
      </c>
      <c r="AA919" t="s">
        <v>74</v>
      </c>
      <c r="AB919" t="s">
        <v>53</v>
      </c>
      <c r="AC919">
        <v>3</v>
      </c>
    </row>
    <row r="920" spans="1:29" x14ac:dyDescent="0.25">
      <c r="A920" t="s">
        <v>1902</v>
      </c>
      <c r="B920">
        <v>32</v>
      </c>
      <c r="C920" t="s">
        <v>43</v>
      </c>
      <c r="D920" t="s">
        <v>30</v>
      </c>
      <c r="E920" t="s">
        <v>55</v>
      </c>
      <c r="F920" t="s">
        <v>32</v>
      </c>
      <c r="G920" t="s">
        <v>44</v>
      </c>
      <c r="H920" t="s">
        <v>1903</v>
      </c>
      <c r="I920" t="s">
        <v>158</v>
      </c>
      <c r="J920" s="1">
        <v>251.54</v>
      </c>
      <c r="K920">
        <v>9</v>
      </c>
      <c r="L920" t="s">
        <v>78</v>
      </c>
      <c r="M920">
        <v>5</v>
      </c>
      <c r="N920">
        <v>1</v>
      </c>
      <c r="O920">
        <v>0</v>
      </c>
      <c r="P920" t="s">
        <v>44</v>
      </c>
      <c r="Q920" t="s">
        <v>50</v>
      </c>
      <c r="R920">
        <v>2</v>
      </c>
      <c r="S920">
        <v>10</v>
      </c>
      <c r="T920" t="s">
        <v>59</v>
      </c>
      <c r="U920" t="s">
        <v>79</v>
      </c>
      <c r="V920" t="s">
        <v>51</v>
      </c>
      <c r="W920" s="2">
        <v>45574</v>
      </c>
      <c r="X920" s="4">
        <f ca="1">TODAY()-DATASET[[#This Row],[Time_of_Purchase]]</f>
        <v>560</v>
      </c>
      <c r="Y920" t="b">
        <v>1</v>
      </c>
      <c r="Z920" t="b">
        <v>0</v>
      </c>
      <c r="AA920" t="s">
        <v>62</v>
      </c>
      <c r="AB920" t="s">
        <v>41</v>
      </c>
      <c r="AC920">
        <v>1</v>
      </c>
    </row>
    <row r="921" spans="1:29" x14ac:dyDescent="0.25">
      <c r="A921" t="s">
        <v>1904</v>
      </c>
      <c r="B921">
        <v>37</v>
      </c>
      <c r="C921" t="s">
        <v>29</v>
      </c>
      <c r="D921" t="s">
        <v>30</v>
      </c>
      <c r="E921" t="s">
        <v>55</v>
      </c>
      <c r="F921" t="s">
        <v>45</v>
      </c>
      <c r="G921" t="s">
        <v>30</v>
      </c>
      <c r="H921" t="s">
        <v>1905</v>
      </c>
      <c r="I921" t="s">
        <v>117</v>
      </c>
      <c r="J921" s="1">
        <v>292.08</v>
      </c>
      <c r="K921">
        <v>7</v>
      </c>
      <c r="L921" t="s">
        <v>48</v>
      </c>
      <c r="M921">
        <v>3</v>
      </c>
      <c r="N921">
        <v>2</v>
      </c>
      <c r="O921">
        <v>1</v>
      </c>
      <c r="P921" t="s">
        <v>44</v>
      </c>
      <c r="Q921" t="s">
        <v>37</v>
      </c>
      <c r="R921">
        <v>2</v>
      </c>
      <c r="S921">
        <v>9</v>
      </c>
      <c r="T921" t="s">
        <v>59</v>
      </c>
      <c r="U921" t="s">
        <v>60</v>
      </c>
      <c r="V921" t="s">
        <v>39</v>
      </c>
      <c r="W921" s="2">
        <v>45391</v>
      </c>
      <c r="X921" s="4">
        <f ca="1">TODAY()-DATASET[[#This Row],[Time_of_Purchase]]</f>
        <v>743</v>
      </c>
      <c r="Y921" t="b">
        <v>0</v>
      </c>
      <c r="Z921" t="b">
        <v>0</v>
      </c>
      <c r="AA921" t="s">
        <v>40</v>
      </c>
      <c r="AB921" t="s">
        <v>53</v>
      </c>
      <c r="AC921">
        <v>11</v>
      </c>
    </row>
    <row r="922" spans="1:29" x14ac:dyDescent="0.25">
      <c r="A922" t="s">
        <v>1906</v>
      </c>
      <c r="B922">
        <v>25</v>
      </c>
      <c r="C922" t="s">
        <v>212</v>
      </c>
      <c r="D922" t="s">
        <v>44</v>
      </c>
      <c r="E922" t="s">
        <v>69</v>
      </c>
      <c r="F922" t="s">
        <v>32</v>
      </c>
      <c r="G922" t="s">
        <v>30</v>
      </c>
      <c r="H922" t="s">
        <v>1907</v>
      </c>
      <c r="I922" t="s">
        <v>194</v>
      </c>
      <c r="J922" s="1">
        <v>204.29</v>
      </c>
      <c r="K922">
        <v>11</v>
      </c>
      <c r="L922" t="s">
        <v>48</v>
      </c>
      <c r="M922">
        <v>5</v>
      </c>
      <c r="N922">
        <v>4</v>
      </c>
      <c r="O922">
        <v>0</v>
      </c>
      <c r="P922" t="s">
        <v>36</v>
      </c>
      <c r="Q922" t="s">
        <v>50</v>
      </c>
      <c r="R922">
        <v>2</v>
      </c>
      <c r="S922">
        <v>1</v>
      </c>
      <c r="T922" t="s">
        <v>49</v>
      </c>
      <c r="U922" t="s">
        <v>60</v>
      </c>
      <c r="V922" t="s">
        <v>51</v>
      </c>
      <c r="W922" s="2">
        <v>45428</v>
      </c>
      <c r="X922" s="4">
        <f ca="1">TODAY()-DATASET[[#This Row],[Time_of_Purchase]]</f>
        <v>706</v>
      </c>
      <c r="Y922" t="b">
        <v>0</v>
      </c>
      <c r="Z922" t="b">
        <v>0</v>
      </c>
      <c r="AA922" t="s">
        <v>62</v>
      </c>
      <c r="AB922" t="s">
        <v>67</v>
      </c>
      <c r="AC922">
        <v>12</v>
      </c>
    </row>
    <row r="923" spans="1:29" x14ac:dyDescent="0.25">
      <c r="A923" t="s">
        <v>1908</v>
      </c>
      <c r="B923">
        <v>49</v>
      </c>
      <c r="C923" t="s">
        <v>43</v>
      </c>
      <c r="D923" t="s">
        <v>30</v>
      </c>
      <c r="E923" t="s">
        <v>55</v>
      </c>
      <c r="F923" t="s">
        <v>45</v>
      </c>
      <c r="G923" t="s">
        <v>30</v>
      </c>
      <c r="H923" t="s">
        <v>1909</v>
      </c>
      <c r="I923" t="s">
        <v>114</v>
      </c>
      <c r="J923" s="1">
        <v>258.68</v>
      </c>
      <c r="K923">
        <v>4</v>
      </c>
      <c r="L923" t="s">
        <v>78</v>
      </c>
      <c r="M923">
        <v>4</v>
      </c>
      <c r="N923">
        <v>2</v>
      </c>
      <c r="O923">
        <v>1</v>
      </c>
      <c r="P923" t="s">
        <v>59</v>
      </c>
      <c r="Q923" t="s">
        <v>37</v>
      </c>
      <c r="R923">
        <v>0</v>
      </c>
      <c r="S923">
        <v>9</v>
      </c>
      <c r="T923" t="s">
        <v>36</v>
      </c>
      <c r="U923" t="s">
        <v>79</v>
      </c>
      <c r="V923" t="s">
        <v>39</v>
      </c>
      <c r="W923" s="2">
        <v>45587</v>
      </c>
      <c r="X923" s="4">
        <f ca="1">TODAY()-DATASET[[#This Row],[Time_of_Purchase]]</f>
        <v>547</v>
      </c>
      <c r="Y923" t="b">
        <v>0</v>
      </c>
      <c r="Z923" t="b">
        <v>0</v>
      </c>
      <c r="AA923" t="s">
        <v>62</v>
      </c>
      <c r="AB923" t="s">
        <v>41</v>
      </c>
      <c r="AC923">
        <v>9</v>
      </c>
    </row>
    <row r="924" spans="1:29" x14ac:dyDescent="0.25">
      <c r="A924" t="s">
        <v>1910</v>
      </c>
      <c r="B924">
        <v>26</v>
      </c>
      <c r="C924" t="s">
        <v>43</v>
      </c>
      <c r="D924" t="s">
        <v>30</v>
      </c>
      <c r="E924" t="s">
        <v>31</v>
      </c>
      <c r="F924" t="s">
        <v>32</v>
      </c>
      <c r="G924" t="s">
        <v>44</v>
      </c>
      <c r="H924" t="s">
        <v>1911</v>
      </c>
      <c r="I924" t="s">
        <v>34</v>
      </c>
      <c r="J924" s="1">
        <v>258.02</v>
      </c>
      <c r="K924">
        <v>2</v>
      </c>
      <c r="L924" t="s">
        <v>48</v>
      </c>
      <c r="M924">
        <v>3</v>
      </c>
      <c r="N924">
        <v>2</v>
      </c>
      <c r="O924">
        <v>1</v>
      </c>
      <c r="P924" t="s">
        <v>59</v>
      </c>
      <c r="Q924" t="s">
        <v>85</v>
      </c>
      <c r="R924">
        <v>2</v>
      </c>
      <c r="S924">
        <v>4</v>
      </c>
      <c r="T924" t="s">
        <v>44</v>
      </c>
      <c r="U924" t="s">
        <v>79</v>
      </c>
      <c r="V924" t="s">
        <v>51</v>
      </c>
      <c r="W924" s="2">
        <v>45604</v>
      </c>
      <c r="X924" s="4">
        <f ca="1">TODAY()-DATASET[[#This Row],[Time_of_Purchase]]</f>
        <v>530</v>
      </c>
      <c r="Y924" t="b">
        <v>1</v>
      </c>
      <c r="Z924" t="b">
        <v>1</v>
      </c>
      <c r="AA924" t="s">
        <v>40</v>
      </c>
      <c r="AB924" t="s">
        <v>67</v>
      </c>
      <c r="AC924">
        <v>13</v>
      </c>
    </row>
    <row r="925" spans="1:29" x14ac:dyDescent="0.25">
      <c r="A925" t="s">
        <v>1912</v>
      </c>
      <c r="B925">
        <v>29</v>
      </c>
      <c r="C925" t="s">
        <v>29</v>
      </c>
      <c r="D925" t="s">
        <v>44</v>
      </c>
      <c r="E925" t="s">
        <v>55</v>
      </c>
      <c r="F925" t="s">
        <v>56</v>
      </c>
      <c r="G925" t="s">
        <v>30</v>
      </c>
      <c r="H925" t="s">
        <v>712</v>
      </c>
      <c r="I925" t="s">
        <v>34</v>
      </c>
      <c r="J925" s="1">
        <v>181.87</v>
      </c>
      <c r="K925">
        <v>12</v>
      </c>
      <c r="L925" t="s">
        <v>35</v>
      </c>
      <c r="M925">
        <v>4</v>
      </c>
      <c r="N925">
        <v>1</v>
      </c>
      <c r="O925">
        <v>1</v>
      </c>
      <c r="P925" t="s">
        <v>49</v>
      </c>
      <c r="Q925" t="s">
        <v>50</v>
      </c>
      <c r="R925">
        <v>2</v>
      </c>
      <c r="S925">
        <v>4</v>
      </c>
      <c r="T925" t="s">
        <v>44</v>
      </c>
      <c r="U925" t="s">
        <v>79</v>
      </c>
      <c r="V925" t="s">
        <v>61</v>
      </c>
      <c r="W925" s="2">
        <v>45536</v>
      </c>
      <c r="X925" s="4">
        <f ca="1">TODAY()-DATASET[[#This Row],[Time_of_Purchase]]</f>
        <v>598</v>
      </c>
      <c r="Y925" t="b">
        <v>0</v>
      </c>
      <c r="Z925" t="b">
        <v>1</v>
      </c>
      <c r="AA925" t="s">
        <v>52</v>
      </c>
      <c r="AB925" t="s">
        <v>41</v>
      </c>
      <c r="AC925">
        <v>11</v>
      </c>
    </row>
    <row r="926" spans="1:29" x14ac:dyDescent="0.25">
      <c r="A926" t="s">
        <v>1913</v>
      </c>
      <c r="B926">
        <v>26</v>
      </c>
      <c r="C926" t="s">
        <v>43</v>
      </c>
      <c r="D926" t="s">
        <v>44</v>
      </c>
      <c r="E926" t="s">
        <v>76</v>
      </c>
      <c r="F926" t="s">
        <v>45</v>
      </c>
      <c r="G926" t="s">
        <v>30</v>
      </c>
      <c r="H926" t="s">
        <v>1914</v>
      </c>
      <c r="I926" t="s">
        <v>158</v>
      </c>
      <c r="J926" s="1">
        <v>81.180000000000007</v>
      </c>
      <c r="K926">
        <v>8</v>
      </c>
      <c r="L926" t="s">
        <v>78</v>
      </c>
      <c r="M926">
        <v>4</v>
      </c>
      <c r="N926">
        <v>5</v>
      </c>
      <c r="O926">
        <v>1</v>
      </c>
      <c r="P926" t="s">
        <v>59</v>
      </c>
      <c r="Q926" t="s">
        <v>50</v>
      </c>
      <c r="R926">
        <v>2</v>
      </c>
      <c r="S926">
        <v>3</v>
      </c>
      <c r="T926" t="s">
        <v>44</v>
      </c>
      <c r="U926" t="s">
        <v>38</v>
      </c>
      <c r="V926" t="s">
        <v>86</v>
      </c>
      <c r="W926" s="2">
        <v>45429</v>
      </c>
      <c r="X926" s="4">
        <f ca="1">TODAY()-DATASET[[#This Row],[Time_of_Purchase]]</f>
        <v>705</v>
      </c>
      <c r="Y926" t="b">
        <v>0</v>
      </c>
      <c r="Z926" t="b">
        <v>0</v>
      </c>
      <c r="AA926" t="s">
        <v>62</v>
      </c>
      <c r="AB926" t="s">
        <v>67</v>
      </c>
      <c r="AC926">
        <v>3</v>
      </c>
    </row>
    <row r="927" spans="1:29" x14ac:dyDescent="0.25">
      <c r="A927" t="s">
        <v>1915</v>
      </c>
      <c r="B927">
        <v>23</v>
      </c>
      <c r="C927" t="s">
        <v>29</v>
      </c>
      <c r="D927" t="s">
        <v>44</v>
      </c>
      <c r="E927" t="s">
        <v>76</v>
      </c>
      <c r="F927" t="s">
        <v>56</v>
      </c>
      <c r="G927" t="s">
        <v>44</v>
      </c>
      <c r="H927" t="s">
        <v>1916</v>
      </c>
      <c r="I927" t="s">
        <v>82</v>
      </c>
      <c r="J927" s="1">
        <v>382.94</v>
      </c>
      <c r="K927">
        <v>8</v>
      </c>
      <c r="L927" t="s">
        <v>48</v>
      </c>
      <c r="M927">
        <v>1</v>
      </c>
      <c r="N927">
        <v>3</v>
      </c>
      <c r="O927">
        <v>0</v>
      </c>
      <c r="P927" t="s">
        <v>49</v>
      </c>
      <c r="Q927" t="s">
        <v>50</v>
      </c>
      <c r="R927">
        <v>0</v>
      </c>
      <c r="S927">
        <v>6</v>
      </c>
      <c r="T927" t="s">
        <v>36</v>
      </c>
      <c r="U927" t="s">
        <v>79</v>
      </c>
      <c r="V927" t="s">
        <v>61</v>
      </c>
      <c r="W927" s="2">
        <v>45431</v>
      </c>
      <c r="X927" s="4">
        <f ca="1">TODAY()-DATASET[[#This Row],[Time_of_Purchase]]</f>
        <v>703</v>
      </c>
      <c r="Y927" t="b">
        <v>0</v>
      </c>
      <c r="Z927" t="b">
        <v>0</v>
      </c>
      <c r="AA927" t="s">
        <v>40</v>
      </c>
      <c r="AB927" t="s">
        <v>53</v>
      </c>
      <c r="AC927">
        <v>3</v>
      </c>
    </row>
    <row r="928" spans="1:29" x14ac:dyDescent="0.25">
      <c r="A928" t="s">
        <v>1917</v>
      </c>
      <c r="B928">
        <v>47</v>
      </c>
      <c r="C928" t="s">
        <v>29</v>
      </c>
      <c r="D928" t="s">
        <v>44</v>
      </c>
      <c r="E928" t="s">
        <v>55</v>
      </c>
      <c r="F928" t="s">
        <v>32</v>
      </c>
      <c r="G928" t="s">
        <v>44</v>
      </c>
      <c r="H928" t="s">
        <v>1918</v>
      </c>
      <c r="I928" t="s">
        <v>188</v>
      </c>
      <c r="J928" s="1">
        <v>402.82</v>
      </c>
      <c r="K928">
        <v>7</v>
      </c>
      <c r="L928" t="s">
        <v>78</v>
      </c>
      <c r="M928">
        <v>4</v>
      </c>
      <c r="N928">
        <v>5</v>
      </c>
      <c r="O928">
        <v>0</v>
      </c>
      <c r="P928" t="s">
        <v>36</v>
      </c>
      <c r="Q928" t="s">
        <v>37</v>
      </c>
      <c r="R928">
        <v>2</v>
      </c>
      <c r="S928">
        <v>2</v>
      </c>
      <c r="T928" t="s">
        <v>59</v>
      </c>
      <c r="U928" t="s">
        <v>60</v>
      </c>
      <c r="V928" t="s">
        <v>61</v>
      </c>
      <c r="W928" s="2">
        <v>45316</v>
      </c>
      <c r="X928" s="4">
        <f ca="1">TODAY()-DATASET[[#This Row],[Time_of_Purchase]]</f>
        <v>818</v>
      </c>
      <c r="Y928" t="b">
        <v>0</v>
      </c>
      <c r="Z928" t="b">
        <v>0</v>
      </c>
      <c r="AA928" t="s">
        <v>52</v>
      </c>
      <c r="AB928" t="s">
        <v>41</v>
      </c>
      <c r="AC928">
        <v>13</v>
      </c>
    </row>
    <row r="929" spans="1:29" x14ac:dyDescent="0.25">
      <c r="A929" t="s">
        <v>1919</v>
      </c>
      <c r="B929">
        <v>30</v>
      </c>
      <c r="C929" t="s">
        <v>43</v>
      </c>
      <c r="D929" t="s">
        <v>44</v>
      </c>
      <c r="E929" t="s">
        <v>55</v>
      </c>
      <c r="F929" t="s">
        <v>32</v>
      </c>
      <c r="G929" t="s">
        <v>30</v>
      </c>
      <c r="H929" t="s">
        <v>1920</v>
      </c>
      <c r="I929" t="s">
        <v>34</v>
      </c>
      <c r="J929" s="1">
        <v>497.76</v>
      </c>
      <c r="K929">
        <v>2</v>
      </c>
      <c r="L929" t="s">
        <v>48</v>
      </c>
      <c r="M929">
        <v>1</v>
      </c>
      <c r="N929">
        <v>2</v>
      </c>
      <c r="O929">
        <v>2</v>
      </c>
      <c r="P929" t="s">
        <v>44</v>
      </c>
      <c r="Q929" t="s">
        <v>85</v>
      </c>
      <c r="R929">
        <v>2</v>
      </c>
      <c r="S929">
        <v>3</v>
      </c>
      <c r="T929" t="s">
        <v>49</v>
      </c>
      <c r="U929" t="s">
        <v>60</v>
      </c>
      <c r="V929" t="s">
        <v>39</v>
      </c>
      <c r="W929" s="2">
        <v>45359</v>
      </c>
      <c r="X929" s="4">
        <f ca="1">TODAY()-DATASET[[#This Row],[Time_of_Purchase]]</f>
        <v>775</v>
      </c>
      <c r="Y929" t="b">
        <v>1</v>
      </c>
      <c r="Z929" t="b">
        <v>1</v>
      </c>
      <c r="AA929" t="s">
        <v>52</v>
      </c>
      <c r="AB929" t="s">
        <v>41</v>
      </c>
      <c r="AC929">
        <v>4</v>
      </c>
    </row>
    <row r="930" spans="1:29" x14ac:dyDescent="0.25">
      <c r="A930" t="s">
        <v>1921</v>
      </c>
      <c r="B930">
        <v>26</v>
      </c>
      <c r="C930" t="s">
        <v>29</v>
      </c>
      <c r="D930" t="s">
        <v>44</v>
      </c>
      <c r="E930" t="s">
        <v>55</v>
      </c>
      <c r="F930" t="s">
        <v>45</v>
      </c>
      <c r="G930" t="s">
        <v>44</v>
      </c>
      <c r="H930" t="s">
        <v>1922</v>
      </c>
      <c r="I930" t="s">
        <v>71</v>
      </c>
      <c r="J930" s="1">
        <v>227.58</v>
      </c>
      <c r="K930">
        <v>5</v>
      </c>
      <c r="L930" t="s">
        <v>78</v>
      </c>
      <c r="M930">
        <v>4</v>
      </c>
      <c r="N930">
        <v>2</v>
      </c>
      <c r="O930">
        <v>1</v>
      </c>
      <c r="P930" t="s">
        <v>44</v>
      </c>
      <c r="Q930" t="s">
        <v>50</v>
      </c>
      <c r="R930">
        <v>0</v>
      </c>
      <c r="S930">
        <v>1</v>
      </c>
      <c r="T930" t="s">
        <v>59</v>
      </c>
      <c r="U930" t="s">
        <v>38</v>
      </c>
      <c r="V930" t="s">
        <v>39</v>
      </c>
      <c r="W930" s="2">
        <v>45486</v>
      </c>
      <c r="X930" s="4">
        <f ca="1">TODAY()-DATASET[[#This Row],[Time_of_Purchase]]</f>
        <v>648</v>
      </c>
      <c r="Y930" t="b">
        <v>1</v>
      </c>
      <c r="Z930" t="b">
        <v>0</v>
      </c>
      <c r="AA930" t="s">
        <v>40</v>
      </c>
      <c r="AB930" t="s">
        <v>41</v>
      </c>
      <c r="AC930">
        <v>11</v>
      </c>
    </row>
    <row r="931" spans="1:29" x14ac:dyDescent="0.25">
      <c r="A931" t="s">
        <v>1923</v>
      </c>
      <c r="B931">
        <v>35</v>
      </c>
      <c r="C931" t="s">
        <v>29</v>
      </c>
      <c r="D931" t="s">
        <v>44</v>
      </c>
      <c r="E931" t="s">
        <v>76</v>
      </c>
      <c r="F931" t="s">
        <v>32</v>
      </c>
      <c r="G931" t="s">
        <v>44</v>
      </c>
      <c r="H931" t="s">
        <v>1924</v>
      </c>
      <c r="I931" t="s">
        <v>117</v>
      </c>
      <c r="J931" s="1">
        <v>263.57</v>
      </c>
      <c r="K931">
        <v>2</v>
      </c>
      <c r="L931" t="s">
        <v>35</v>
      </c>
      <c r="M931">
        <v>2</v>
      </c>
      <c r="N931">
        <v>3</v>
      </c>
      <c r="O931">
        <v>0</v>
      </c>
      <c r="P931" t="s">
        <v>44</v>
      </c>
      <c r="Q931" t="s">
        <v>37</v>
      </c>
      <c r="R931">
        <v>1</v>
      </c>
      <c r="S931">
        <v>9</v>
      </c>
      <c r="T931" t="s">
        <v>36</v>
      </c>
      <c r="U931" t="s">
        <v>38</v>
      </c>
      <c r="V931" t="s">
        <v>51</v>
      </c>
      <c r="W931" s="2">
        <v>45617</v>
      </c>
      <c r="X931" s="4">
        <f ca="1">TODAY()-DATASET[[#This Row],[Time_of_Purchase]]</f>
        <v>517</v>
      </c>
      <c r="Y931" t="b">
        <v>1</v>
      </c>
      <c r="Z931" t="b">
        <v>1</v>
      </c>
      <c r="AA931" t="s">
        <v>62</v>
      </c>
      <c r="AB931" t="s">
        <v>67</v>
      </c>
      <c r="AC931">
        <v>8</v>
      </c>
    </row>
    <row r="932" spans="1:29" x14ac:dyDescent="0.25">
      <c r="A932" t="s">
        <v>1925</v>
      </c>
      <c r="B932">
        <v>40</v>
      </c>
      <c r="C932" t="s">
        <v>43</v>
      </c>
      <c r="D932" t="s">
        <v>44</v>
      </c>
      <c r="E932" t="s">
        <v>31</v>
      </c>
      <c r="F932" t="s">
        <v>45</v>
      </c>
      <c r="G932" t="s">
        <v>44</v>
      </c>
      <c r="H932" t="s">
        <v>1926</v>
      </c>
      <c r="I932" t="s">
        <v>123</v>
      </c>
      <c r="J932" s="1">
        <v>422.09</v>
      </c>
      <c r="K932">
        <v>3</v>
      </c>
      <c r="L932" t="s">
        <v>48</v>
      </c>
      <c r="M932">
        <v>4</v>
      </c>
      <c r="N932">
        <v>1</v>
      </c>
      <c r="O932">
        <v>1</v>
      </c>
      <c r="P932" t="s">
        <v>44</v>
      </c>
      <c r="Q932" t="s">
        <v>50</v>
      </c>
      <c r="R932">
        <v>0</v>
      </c>
      <c r="S932">
        <v>9</v>
      </c>
      <c r="T932" t="s">
        <v>49</v>
      </c>
      <c r="U932" t="s">
        <v>38</v>
      </c>
      <c r="V932" t="s">
        <v>51</v>
      </c>
      <c r="W932" s="2">
        <v>45382</v>
      </c>
      <c r="X932" s="4">
        <f ca="1">TODAY()-DATASET[[#This Row],[Time_of_Purchase]]</f>
        <v>752</v>
      </c>
      <c r="Y932" t="b">
        <v>1</v>
      </c>
      <c r="Z932" t="b">
        <v>0</v>
      </c>
      <c r="AA932" t="s">
        <v>40</v>
      </c>
      <c r="AB932" t="s">
        <v>53</v>
      </c>
      <c r="AC932">
        <v>7</v>
      </c>
    </row>
    <row r="933" spans="1:29" x14ac:dyDescent="0.25">
      <c r="A933" t="s">
        <v>1927</v>
      </c>
      <c r="B933">
        <v>35</v>
      </c>
      <c r="C933" t="s">
        <v>43</v>
      </c>
      <c r="D933" t="s">
        <v>30</v>
      </c>
      <c r="E933" t="s">
        <v>31</v>
      </c>
      <c r="F933" t="s">
        <v>56</v>
      </c>
      <c r="G933" t="s">
        <v>44</v>
      </c>
      <c r="H933" t="s">
        <v>1928</v>
      </c>
      <c r="I933" t="s">
        <v>34</v>
      </c>
      <c r="J933" s="1">
        <v>411.83</v>
      </c>
      <c r="K933">
        <v>2</v>
      </c>
      <c r="L933" t="s">
        <v>48</v>
      </c>
      <c r="M933">
        <v>2</v>
      </c>
      <c r="N933">
        <v>3</v>
      </c>
      <c r="O933">
        <v>2</v>
      </c>
      <c r="P933" t="s">
        <v>44</v>
      </c>
      <c r="Q933" t="s">
        <v>50</v>
      </c>
      <c r="R933">
        <v>1</v>
      </c>
      <c r="S933">
        <v>3</v>
      </c>
      <c r="T933" t="s">
        <v>49</v>
      </c>
      <c r="U933" t="s">
        <v>38</v>
      </c>
      <c r="V933" t="s">
        <v>51</v>
      </c>
      <c r="W933" s="2">
        <v>45410</v>
      </c>
      <c r="X933" s="4">
        <f ca="1">TODAY()-DATASET[[#This Row],[Time_of_Purchase]]</f>
        <v>724</v>
      </c>
      <c r="Y933" t="b">
        <v>1</v>
      </c>
      <c r="Z933" t="b">
        <v>1</v>
      </c>
      <c r="AA933" t="s">
        <v>62</v>
      </c>
      <c r="AB933" t="s">
        <v>53</v>
      </c>
      <c r="AC933">
        <v>10</v>
      </c>
    </row>
    <row r="934" spans="1:29" x14ac:dyDescent="0.25">
      <c r="A934" t="s">
        <v>1929</v>
      </c>
      <c r="B934">
        <v>21</v>
      </c>
      <c r="C934" t="s">
        <v>43</v>
      </c>
      <c r="D934" t="s">
        <v>30</v>
      </c>
      <c r="E934" t="s">
        <v>55</v>
      </c>
      <c r="F934" t="s">
        <v>56</v>
      </c>
      <c r="G934" t="s">
        <v>30</v>
      </c>
      <c r="H934" t="s">
        <v>1930</v>
      </c>
      <c r="I934" t="s">
        <v>120</v>
      </c>
      <c r="J934" s="1">
        <v>242.65</v>
      </c>
      <c r="K934">
        <v>3</v>
      </c>
      <c r="L934" t="s">
        <v>35</v>
      </c>
      <c r="M934">
        <v>5</v>
      </c>
      <c r="N934">
        <v>3</v>
      </c>
      <c r="O934">
        <v>0.2</v>
      </c>
      <c r="P934" t="s">
        <v>36</v>
      </c>
      <c r="Q934" t="s">
        <v>85</v>
      </c>
      <c r="R934">
        <v>2</v>
      </c>
      <c r="S934">
        <v>8</v>
      </c>
      <c r="T934" t="s">
        <v>36</v>
      </c>
      <c r="U934" t="s">
        <v>38</v>
      </c>
      <c r="V934" t="s">
        <v>86</v>
      </c>
      <c r="W934" s="2">
        <v>45482</v>
      </c>
      <c r="X934" s="4">
        <f ca="1">TODAY()-DATASET[[#This Row],[Time_of_Purchase]]</f>
        <v>652</v>
      </c>
      <c r="Y934" t="b">
        <v>0</v>
      </c>
      <c r="Z934" t="b">
        <v>1</v>
      </c>
      <c r="AA934" t="s">
        <v>74</v>
      </c>
      <c r="AB934" t="s">
        <v>41</v>
      </c>
      <c r="AC934">
        <v>9</v>
      </c>
    </row>
    <row r="935" spans="1:29" x14ac:dyDescent="0.25">
      <c r="A935" t="s">
        <v>1931</v>
      </c>
      <c r="B935">
        <v>41</v>
      </c>
      <c r="C935" t="s">
        <v>43</v>
      </c>
      <c r="D935" t="s">
        <v>30</v>
      </c>
      <c r="E935" t="s">
        <v>69</v>
      </c>
      <c r="F935" t="s">
        <v>56</v>
      </c>
      <c r="G935" t="s">
        <v>30</v>
      </c>
      <c r="H935" t="s">
        <v>1932</v>
      </c>
      <c r="I935" t="s">
        <v>90</v>
      </c>
      <c r="J935" s="1">
        <v>298.93</v>
      </c>
      <c r="K935">
        <v>6</v>
      </c>
      <c r="L935" t="s">
        <v>35</v>
      </c>
      <c r="M935">
        <v>5</v>
      </c>
      <c r="N935">
        <v>2</v>
      </c>
      <c r="O935">
        <v>0.2</v>
      </c>
      <c r="P935" t="s">
        <v>36</v>
      </c>
      <c r="Q935" t="s">
        <v>37</v>
      </c>
      <c r="R935">
        <v>2</v>
      </c>
      <c r="S935">
        <v>1</v>
      </c>
      <c r="T935" t="s">
        <v>36</v>
      </c>
      <c r="U935" t="s">
        <v>38</v>
      </c>
      <c r="V935" t="s">
        <v>51</v>
      </c>
      <c r="W935" s="2">
        <v>45557</v>
      </c>
      <c r="X935" s="4">
        <f ca="1">TODAY()-DATASET[[#This Row],[Time_of_Purchase]]</f>
        <v>577</v>
      </c>
      <c r="Y935" t="b">
        <v>1</v>
      </c>
      <c r="Z935" t="b">
        <v>1</v>
      </c>
      <c r="AA935" t="s">
        <v>74</v>
      </c>
      <c r="AB935" t="s">
        <v>67</v>
      </c>
      <c r="AC935">
        <v>2</v>
      </c>
    </row>
    <row r="936" spans="1:29" x14ac:dyDescent="0.25">
      <c r="A936" t="s">
        <v>1933</v>
      </c>
      <c r="B936">
        <v>44</v>
      </c>
      <c r="C936" t="s">
        <v>29</v>
      </c>
      <c r="D936" t="s">
        <v>44</v>
      </c>
      <c r="E936" t="s">
        <v>55</v>
      </c>
      <c r="F936" t="s">
        <v>32</v>
      </c>
      <c r="G936" t="s">
        <v>44</v>
      </c>
      <c r="H936" t="s">
        <v>512</v>
      </c>
      <c r="I936" t="s">
        <v>93</v>
      </c>
      <c r="J936" s="1">
        <v>191.21</v>
      </c>
      <c r="K936">
        <v>7</v>
      </c>
      <c r="L936" t="s">
        <v>35</v>
      </c>
      <c r="M936">
        <v>5</v>
      </c>
      <c r="N936">
        <v>4</v>
      </c>
      <c r="O936">
        <v>1</v>
      </c>
      <c r="P936" t="s">
        <v>59</v>
      </c>
      <c r="Q936" t="s">
        <v>85</v>
      </c>
      <c r="R936">
        <v>2</v>
      </c>
      <c r="S936">
        <v>6</v>
      </c>
      <c r="T936" t="s">
        <v>59</v>
      </c>
      <c r="U936" t="s">
        <v>60</v>
      </c>
      <c r="V936" t="s">
        <v>61</v>
      </c>
      <c r="W936" s="2">
        <v>45386</v>
      </c>
      <c r="X936" s="4">
        <f ca="1">TODAY()-DATASET[[#This Row],[Time_of_Purchase]]</f>
        <v>748</v>
      </c>
      <c r="Y936" t="b">
        <v>0</v>
      </c>
      <c r="Z936" t="b">
        <v>0</v>
      </c>
      <c r="AA936" t="s">
        <v>40</v>
      </c>
      <c r="AB936" t="s">
        <v>41</v>
      </c>
      <c r="AC936">
        <v>13</v>
      </c>
    </row>
    <row r="937" spans="1:29" x14ac:dyDescent="0.25">
      <c r="A937" t="s">
        <v>1934</v>
      </c>
      <c r="B937">
        <v>44</v>
      </c>
      <c r="C937" t="s">
        <v>29</v>
      </c>
      <c r="D937" t="s">
        <v>44</v>
      </c>
      <c r="E937" t="s">
        <v>31</v>
      </c>
      <c r="F937" t="s">
        <v>56</v>
      </c>
      <c r="G937" t="s">
        <v>30</v>
      </c>
      <c r="H937" t="s">
        <v>1935</v>
      </c>
      <c r="I937" t="s">
        <v>117</v>
      </c>
      <c r="J937" s="1">
        <v>136.66999999999999</v>
      </c>
      <c r="K937">
        <v>3</v>
      </c>
      <c r="L937" t="s">
        <v>78</v>
      </c>
      <c r="M937">
        <v>3</v>
      </c>
      <c r="N937">
        <v>1</v>
      </c>
      <c r="O937">
        <v>1</v>
      </c>
      <c r="P937" t="s">
        <v>59</v>
      </c>
      <c r="Q937" t="s">
        <v>37</v>
      </c>
      <c r="R937">
        <v>0</v>
      </c>
      <c r="S937">
        <v>2</v>
      </c>
      <c r="T937" t="s">
        <v>44</v>
      </c>
      <c r="U937" t="s">
        <v>79</v>
      </c>
      <c r="V937" t="s">
        <v>51</v>
      </c>
      <c r="W937" s="2">
        <v>45463</v>
      </c>
      <c r="X937" s="4">
        <f ca="1">TODAY()-DATASET[[#This Row],[Time_of_Purchase]]</f>
        <v>671</v>
      </c>
      <c r="Y937" t="b">
        <v>0</v>
      </c>
      <c r="Z937" t="b">
        <v>1</v>
      </c>
      <c r="AA937" t="s">
        <v>62</v>
      </c>
      <c r="AB937" t="s">
        <v>53</v>
      </c>
      <c r="AC937">
        <v>1</v>
      </c>
    </row>
    <row r="938" spans="1:29" x14ac:dyDescent="0.25">
      <c r="A938" t="s">
        <v>1936</v>
      </c>
      <c r="B938">
        <v>37</v>
      </c>
      <c r="C938" t="s">
        <v>43</v>
      </c>
      <c r="D938" t="s">
        <v>30</v>
      </c>
      <c r="E938" t="s">
        <v>69</v>
      </c>
      <c r="F938" t="s">
        <v>56</v>
      </c>
      <c r="G938" t="s">
        <v>44</v>
      </c>
      <c r="H938" t="s">
        <v>1937</v>
      </c>
      <c r="I938" t="s">
        <v>90</v>
      </c>
      <c r="J938" s="1">
        <v>324.11</v>
      </c>
      <c r="K938">
        <v>11</v>
      </c>
      <c r="L938" t="s">
        <v>78</v>
      </c>
      <c r="M938">
        <v>3</v>
      </c>
      <c r="N938">
        <v>3</v>
      </c>
      <c r="O938">
        <v>2</v>
      </c>
      <c r="P938" t="s">
        <v>36</v>
      </c>
      <c r="Q938" t="s">
        <v>85</v>
      </c>
      <c r="R938">
        <v>0</v>
      </c>
      <c r="S938">
        <v>2</v>
      </c>
      <c r="T938" t="s">
        <v>59</v>
      </c>
      <c r="U938" t="s">
        <v>60</v>
      </c>
      <c r="V938" t="s">
        <v>86</v>
      </c>
      <c r="W938" s="2">
        <v>45373</v>
      </c>
      <c r="X938" s="4">
        <f ca="1">TODAY()-DATASET[[#This Row],[Time_of_Purchase]]</f>
        <v>761</v>
      </c>
      <c r="Y938" t="b">
        <v>0</v>
      </c>
      <c r="Z938" t="b">
        <v>0</v>
      </c>
      <c r="AA938" t="s">
        <v>62</v>
      </c>
      <c r="AB938" t="s">
        <v>41</v>
      </c>
      <c r="AC938">
        <v>7</v>
      </c>
    </row>
    <row r="939" spans="1:29" x14ac:dyDescent="0.25">
      <c r="A939" t="s">
        <v>1938</v>
      </c>
      <c r="B939">
        <v>40</v>
      </c>
      <c r="C939" t="s">
        <v>29</v>
      </c>
      <c r="D939" t="s">
        <v>44</v>
      </c>
      <c r="E939" t="s">
        <v>69</v>
      </c>
      <c r="F939" t="s">
        <v>32</v>
      </c>
      <c r="G939" t="s">
        <v>44</v>
      </c>
      <c r="H939" t="s">
        <v>1939</v>
      </c>
      <c r="I939" t="s">
        <v>101</v>
      </c>
      <c r="J939" s="1">
        <v>105.64</v>
      </c>
      <c r="K939">
        <v>6</v>
      </c>
      <c r="L939" t="s">
        <v>78</v>
      </c>
      <c r="M939">
        <v>1</v>
      </c>
      <c r="N939">
        <v>3</v>
      </c>
      <c r="O939">
        <v>0</v>
      </c>
      <c r="P939" t="s">
        <v>59</v>
      </c>
      <c r="Q939" t="s">
        <v>85</v>
      </c>
      <c r="R939">
        <v>2</v>
      </c>
      <c r="S939">
        <v>1</v>
      </c>
      <c r="T939" t="s">
        <v>36</v>
      </c>
      <c r="U939" t="s">
        <v>60</v>
      </c>
      <c r="V939" t="s">
        <v>66</v>
      </c>
      <c r="W939" s="2">
        <v>45388</v>
      </c>
      <c r="X939" s="4">
        <f ca="1">TODAY()-DATASET[[#This Row],[Time_of_Purchase]]</f>
        <v>746</v>
      </c>
      <c r="Y939" t="b">
        <v>1</v>
      </c>
      <c r="Z939" t="b">
        <v>1</v>
      </c>
      <c r="AA939" t="s">
        <v>74</v>
      </c>
      <c r="AB939" t="s">
        <v>41</v>
      </c>
      <c r="AC939">
        <v>12</v>
      </c>
    </row>
    <row r="940" spans="1:29" x14ac:dyDescent="0.25">
      <c r="A940" t="s">
        <v>1940</v>
      </c>
      <c r="B940">
        <v>43</v>
      </c>
      <c r="C940" t="s">
        <v>43</v>
      </c>
      <c r="D940" t="s">
        <v>44</v>
      </c>
      <c r="E940" t="s">
        <v>69</v>
      </c>
      <c r="F940" t="s">
        <v>56</v>
      </c>
      <c r="G940" t="s">
        <v>44</v>
      </c>
      <c r="H940" t="s">
        <v>1941</v>
      </c>
      <c r="I940" t="s">
        <v>117</v>
      </c>
      <c r="J940" s="1">
        <v>295.60000000000002</v>
      </c>
      <c r="K940">
        <v>10</v>
      </c>
      <c r="L940" t="s">
        <v>78</v>
      </c>
      <c r="M940">
        <v>1</v>
      </c>
      <c r="N940">
        <v>2</v>
      </c>
      <c r="O940">
        <v>1</v>
      </c>
      <c r="P940" t="s">
        <v>44</v>
      </c>
      <c r="Q940" t="s">
        <v>37</v>
      </c>
      <c r="R940">
        <v>0</v>
      </c>
      <c r="S940">
        <v>9</v>
      </c>
      <c r="T940" t="s">
        <v>59</v>
      </c>
      <c r="U940" t="s">
        <v>79</v>
      </c>
      <c r="V940" t="s">
        <v>39</v>
      </c>
      <c r="W940" s="2">
        <v>45432</v>
      </c>
      <c r="X940" s="4">
        <f ca="1">TODAY()-DATASET[[#This Row],[Time_of_Purchase]]</f>
        <v>702</v>
      </c>
      <c r="Y940" t="b">
        <v>1</v>
      </c>
      <c r="Z940" t="b">
        <v>1</v>
      </c>
      <c r="AA940" t="s">
        <v>40</v>
      </c>
      <c r="AB940" t="s">
        <v>53</v>
      </c>
      <c r="AC940">
        <v>5</v>
      </c>
    </row>
    <row r="941" spans="1:29" x14ac:dyDescent="0.25">
      <c r="A941" t="s">
        <v>1942</v>
      </c>
      <c r="B941">
        <v>48</v>
      </c>
      <c r="C941" t="s">
        <v>43</v>
      </c>
      <c r="D941" t="s">
        <v>30</v>
      </c>
      <c r="E941" t="s">
        <v>55</v>
      </c>
      <c r="F941" t="s">
        <v>56</v>
      </c>
      <c r="G941" t="s">
        <v>44</v>
      </c>
      <c r="H941" t="s">
        <v>1943</v>
      </c>
      <c r="I941" t="s">
        <v>101</v>
      </c>
      <c r="J941" s="1">
        <v>227.03</v>
      </c>
      <c r="K941">
        <v>9</v>
      </c>
      <c r="L941" t="s">
        <v>48</v>
      </c>
      <c r="M941">
        <v>4</v>
      </c>
      <c r="N941">
        <v>4</v>
      </c>
      <c r="O941">
        <v>2</v>
      </c>
      <c r="P941" t="s">
        <v>59</v>
      </c>
      <c r="Q941" t="s">
        <v>50</v>
      </c>
      <c r="R941">
        <v>2</v>
      </c>
      <c r="S941">
        <v>7</v>
      </c>
      <c r="T941" t="s">
        <v>44</v>
      </c>
      <c r="U941" t="s">
        <v>38</v>
      </c>
      <c r="V941" t="s">
        <v>66</v>
      </c>
      <c r="W941" s="2">
        <v>45391</v>
      </c>
      <c r="X941" s="4">
        <f ca="1">TODAY()-DATASET[[#This Row],[Time_of_Purchase]]</f>
        <v>743</v>
      </c>
      <c r="Y941" t="b">
        <v>1</v>
      </c>
      <c r="Z941" t="b">
        <v>1</v>
      </c>
      <c r="AA941" t="s">
        <v>40</v>
      </c>
      <c r="AB941" t="s">
        <v>41</v>
      </c>
      <c r="AC941">
        <v>4</v>
      </c>
    </row>
    <row r="942" spans="1:29" x14ac:dyDescent="0.25">
      <c r="A942" t="s">
        <v>1944</v>
      </c>
      <c r="B942">
        <v>32</v>
      </c>
      <c r="C942" t="s">
        <v>29</v>
      </c>
      <c r="D942" t="s">
        <v>44</v>
      </c>
      <c r="E942" t="s">
        <v>76</v>
      </c>
      <c r="F942" t="s">
        <v>32</v>
      </c>
      <c r="G942" t="s">
        <v>30</v>
      </c>
      <c r="H942" t="s">
        <v>1945</v>
      </c>
      <c r="I942" t="s">
        <v>107</v>
      </c>
      <c r="J942" s="1">
        <v>485.77</v>
      </c>
      <c r="K942">
        <v>10</v>
      </c>
      <c r="L942" t="s">
        <v>35</v>
      </c>
      <c r="M942">
        <v>1</v>
      </c>
      <c r="N942">
        <v>2</v>
      </c>
      <c r="O942">
        <v>0</v>
      </c>
      <c r="P942" t="s">
        <v>59</v>
      </c>
      <c r="Q942" t="s">
        <v>50</v>
      </c>
      <c r="R942">
        <v>2</v>
      </c>
      <c r="S942">
        <v>6</v>
      </c>
      <c r="T942" t="s">
        <v>36</v>
      </c>
      <c r="U942" t="s">
        <v>38</v>
      </c>
      <c r="V942" t="s">
        <v>86</v>
      </c>
      <c r="W942" s="2">
        <v>45630</v>
      </c>
      <c r="X942" s="4">
        <f ca="1">TODAY()-DATASET[[#This Row],[Time_of_Purchase]]</f>
        <v>504</v>
      </c>
      <c r="Y942" t="b">
        <v>0</v>
      </c>
      <c r="Z942" t="b">
        <v>0</v>
      </c>
      <c r="AA942" t="s">
        <v>74</v>
      </c>
      <c r="AB942" t="s">
        <v>41</v>
      </c>
      <c r="AC942">
        <v>6</v>
      </c>
    </row>
    <row r="943" spans="1:29" x14ac:dyDescent="0.25">
      <c r="A943" t="s">
        <v>1946</v>
      </c>
      <c r="B943">
        <v>37</v>
      </c>
      <c r="C943" t="s">
        <v>29</v>
      </c>
      <c r="D943" t="s">
        <v>30</v>
      </c>
      <c r="E943" t="s">
        <v>69</v>
      </c>
      <c r="F943" t="s">
        <v>45</v>
      </c>
      <c r="G943" t="s">
        <v>44</v>
      </c>
      <c r="H943" t="s">
        <v>1947</v>
      </c>
      <c r="I943" t="s">
        <v>101</v>
      </c>
      <c r="J943" s="1">
        <v>173.43</v>
      </c>
      <c r="K943">
        <v>4</v>
      </c>
      <c r="L943" t="s">
        <v>48</v>
      </c>
      <c r="M943">
        <v>3</v>
      </c>
      <c r="N943">
        <v>3</v>
      </c>
      <c r="O943">
        <v>0</v>
      </c>
      <c r="P943" t="s">
        <v>49</v>
      </c>
      <c r="Q943" t="s">
        <v>50</v>
      </c>
      <c r="R943">
        <v>2</v>
      </c>
      <c r="S943">
        <v>1</v>
      </c>
      <c r="T943" t="s">
        <v>59</v>
      </c>
      <c r="U943" t="s">
        <v>79</v>
      </c>
      <c r="V943" t="s">
        <v>51</v>
      </c>
      <c r="W943" s="2">
        <v>45439</v>
      </c>
      <c r="X943" s="4">
        <f ca="1">TODAY()-DATASET[[#This Row],[Time_of_Purchase]]</f>
        <v>695</v>
      </c>
      <c r="Y943" t="b">
        <v>1</v>
      </c>
      <c r="Z943" t="b">
        <v>1</v>
      </c>
      <c r="AA943" t="s">
        <v>40</v>
      </c>
      <c r="AB943" t="s">
        <v>41</v>
      </c>
      <c r="AC943">
        <v>14</v>
      </c>
    </row>
    <row r="944" spans="1:29" x14ac:dyDescent="0.25">
      <c r="A944" t="s">
        <v>1948</v>
      </c>
      <c r="B944">
        <v>29</v>
      </c>
      <c r="C944" t="s">
        <v>29</v>
      </c>
      <c r="D944" t="s">
        <v>30</v>
      </c>
      <c r="E944" t="s">
        <v>69</v>
      </c>
      <c r="F944" t="s">
        <v>45</v>
      </c>
      <c r="G944" t="s">
        <v>30</v>
      </c>
      <c r="H944" t="s">
        <v>1949</v>
      </c>
      <c r="I944" t="s">
        <v>123</v>
      </c>
      <c r="J944" s="1">
        <v>462.96</v>
      </c>
      <c r="K944">
        <v>2</v>
      </c>
      <c r="L944" t="s">
        <v>78</v>
      </c>
      <c r="M944">
        <v>4</v>
      </c>
      <c r="N944">
        <v>2</v>
      </c>
      <c r="O944">
        <v>0</v>
      </c>
      <c r="P944" t="s">
        <v>44</v>
      </c>
      <c r="Q944" t="s">
        <v>85</v>
      </c>
      <c r="R944">
        <v>2</v>
      </c>
      <c r="S944">
        <v>6</v>
      </c>
      <c r="T944" t="s">
        <v>44</v>
      </c>
      <c r="U944" t="s">
        <v>38</v>
      </c>
      <c r="V944" t="s">
        <v>86</v>
      </c>
      <c r="W944" s="2">
        <v>45474</v>
      </c>
      <c r="X944" s="4">
        <f ca="1">TODAY()-DATASET[[#This Row],[Time_of_Purchase]]</f>
        <v>660</v>
      </c>
      <c r="Y944" t="b">
        <v>1</v>
      </c>
      <c r="Z944" t="b">
        <v>0</v>
      </c>
      <c r="AA944" t="s">
        <v>74</v>
      </c>
      <c r="AB944" t="s">
        <v>41</v>
      </c>
      <c r="AC944">
        <v>3</v>
      </c>
    </row>
    <row r="945" spans="1:29" x14ac:dyDescent="0.25">
      <c r="A945" t="s">
        <v>1950</v>
      </c>
      <c r="B945">
        <v>36</v>
      </c>
      <c r="C945" t="s">
        <v>43</v>
      </c>
      <c r="D945" t="s">
        <v>44</v>
      </c>
      <c r="E945" t="s">
        <v>76</v>
      </c>
      <c r="F945" t="s">
        <v>45</v>
      </c>
      <c r="G945" t="s">
        <v>30</v>
      </c>
      <c r="H945" t="s">
        <v>1951</v>
      </c>
      <c r="I945" t="s">
        <v>93</v>
      </c>
      <c r="J945" s="1">
        <v>203.13</v>
      </c>
      <c r="K945">
        <v>10</v>
      </c>
      <c r="L945" t="s">
        <v>78</v>
      </c>
      <c r="M945">
        <v>4</v>
      </c>
      <c r="N945">
        <v>3</v>
      </c>
      <c r="O945">
        <v>2</v>
      </c>
      <c r="P945" t="s">
        <v>36</v>
      </c>
      <c r="Q945" t="s">
        <v>37</v>
      </c>
      <c r="R945">
        <v>1</v>
      </c>
      <c r="S945">
        <v>5</v>
      </c>
      <c r="T945" t="s">
        <v>44</v>
      </c>
      <c r="U945" t="s">
        <v>38</v>
      </c>
      <c r="V945" t="s">
        <v>61</v>
      </c>
      <c r="W945" s="2">
        <v>45519</v>
      </c>
      <c r="X945" s="4">
        <f ca="1">TODAY()-DATASET[[#This Row],[Time_of_Purchase]]</f>
        <v>615</v>
      </c>
      <c r="Y945" t="b">
        <v>1</v>
      </c>
      <c r="Z945" t="b">
        <v>0</v>
      </c>
      <c r="AA945" t="s">
        <v>62</v>
      </c>
      <c r="AB945" t="s">
        <v>53</v>
      </c>
      <c r="AC945">
        <v>6</v>
      </c>
    </row>
    <row r="946" spans="1:29" x14ac:dyDescent="0.25">
      <c r="A946" t="s">
        <v>1952</v>
      </c>
      <c r="B946">
        <v>50</v>
      </c>
      <c r="C946" t="s">
        <v>29</v>
      </c>
      <c r="D946" t="s">
        <v>44</v>
      </c>
      <c r="E946" t="s">
        <v>31</v>
      </c>
      <c r="F946" t="s">
        <v>56</v>
      </c>
      <c r="G946" t="s">
        <v>44</v>
      </c>
      <c r="H946" t="s">
        <v>1953</v>
      </c>
      <c r="I946" t="s">
        <v>126</v>
      </c>
      <c r="J946" s="1">
        <v>443.11</v>
      </c>
      <c r="K946">
        <v>9</v>
      </c>
      <c r="L946" t="s">
        <v>48</v>
      </c>
      <c r="M946">
        <v>1</v>
      </c>
      <c r="N946">
        <v>2</v>
      </c>
      <c r="O946">
        <v>1</v>
      </c>
      <c r="P946" t="s">
        <v>36</v>
      </c>
      <c r="Q946" t="s">
        <v>85</v>
      </c>
      <c r="R946">
        <v>0</v>
      </c>
      <c r="S946">
        <v>10</v>
      </c>
      <c r="T946" t="s">
        <v>59</v>
      </c>
      <c r="U946" t="s">
        <v>38</v>
      </c>
      <c r="V946" t="s">
        <v>66</v>
      </c>
      <c r="W946" s="2">
        <v>45310</v>
      </c>
      <c r="X946" s="4">
        <f ca="1">TODAY()-DATASET[[#This Row],[Time_of_Purchase]]</f>
        <v>824</v>
      </c>
      <c r="Y946" t="b">
        <v>1</v>
      </c>
      <c r="Z946" t="b">
        <v>1</v>
      </c>
      <c r="AA946" t="s">
        <v>52</v>
      </c>
      <c r="AB946" t="s">
        <v>41</v>
      </c>
      <c r="AC946">
        <v>1</v>
      </c>
    </row>
    <row r="947" spans="1:29" x14ac:dyDescent="0.25">
      <c r="A947" t="s">
        <v>1954</v>
      </c>
      <c r="B947">
        <v>31</v>
      </c>
      <c r="C947" t="s">
        <v>88</v>
      </c>
      <c r="D947" t="s">
        <v>44</v>
      </c>
      <c r="E947" t="s">
        <v>76</v>
      </c>
      <c r="F947" t="s">
        <v>45</v>
      </c>
      <c r="G947" t="s">
        <v>44</v>
      </c>
      <c r="H947" t="s">
        <v>1955</v>
      </c>
      <c r="I947" t="s">
        <v>142</v>
      </c>
      <c r="J947" s="1">
        <v>254.83</v>
      </c>
      <c r="K947">
        <v>2</v>
      </c>
      <c r="L947" t="s">
        <v>35</v>
      </c>
      <c r="M947">
        <v>1</v>
      </c>
      <c r="N947">
        <v>2</v>
      </c>
      <c r="O947">
        <v>1</v>
      </c>
      <c r="P947" t="s">
        <v>36</v>
      </c>
      <c r="Q947" t="s">
        <v>37</v>
      </c>
      <c r="R947">
        <v>1</v>
      </c>
      <c r="S947">
        <v>2</v>
      </c>
      <c r="T947" t="s">
        <v>59</v>
      </c>
      <c r="U947" t="s">
        <v>79</v>
      </c>
      <c r="V947" t="s">
        <v>39</v>
      </c>
      <c r="W947" s="2">
        <v>45553</v>
      </c>
      <c r="X947" s="4">
        <f ca="1">TODAY()-DATASET[[#This Row],[Time_of_Purchase]]</f>
        <v>581</v>
      </c>
      <c r="Y947" t="b">
        <v>0</v>
      </c>
      <c r="Z947" t="b">
        <v>0</v>
      </c>
      <c r="AA947" t="s">
        <v>52</v>
      </c>
      <c r="AB947" t="s">
        <v>53</v>
      </c>
      <c r="AC947">
        <v>1</v>
      </c>
    </row>
    <row r="948" spans="1:29" x14ac:dyDescent="0.25">
      <c r="A948" t="s">
        <v>1956</v>
      </c>
      <c r="B948">
        <v>29</v>
      </c>
      <c r="C948" t="s">
        <v>29</v>
      </c>
      <c r="D948" t="s">
        <v>44</v>
      </c>
      <c r="E948" t="s">
        <v>55</v>
      </c>
      <c r="F948" t="s">
        <v>56</v>
      </c>
      <c r="G948" t="s">
        <v>30</v>
      </c>
      <c r="H948" t="s">
        <v>1957</v>
      </c>
      <c r="I948" t="s">
        <v>98</v>
      </c>
      <c r="J948" s="1">
        <v>336.89</v>
      </c>
      <c r="K948">
        <v>4</v>
      </c>
      <c r="L948" t="s">
        <v>78</v>
      </c>
      <c r="M948">
        <v>2</v>
      </c>
      <c r="N948">
        <v>1</v>
      </c>
      <c r="O948">
        <v>2</v>
      </c>
      <c r="P948" t="s">
        <v>49</v>
      </c>
      <c r="Q948" t="s">
        <v>85</v>
      </c>
      <c r="R948">
        <v>1</v>
      </c>
      <c r="S948">
        <v>7</v>
      </c>
      <c r="T948" t="s">
        <v>44</v>
      </c>
      <c r="U948" t="s">
        <v>60</v>
      </c>
      <c r="V948" t="s">
        <v>39</v>
      </c>
      <c r="W948" s="2">
        <v>45460</v>
      </c>
      <c r="X948" s="4">
        <f ca="1">TODAY()-DATASET[[#This Row],[Time_of_Purchase]]</f>
        <v>674</v>
      </c>
      <c r="Y948" t="b">
        <v>0</v>
      </c>
      <c r="Z948" t="b">
        <v>0</v>
      </c>
      <c r="AA948" t="s">
        <v>74</v>
      </c>
      <c r="AB948" t="s">
        <v>67</v>
      </c>
      <c r="AC948">
        <v>9</v>
      </c>
    </row>
    <row r="949" spans="1:29" x14ac:dyDescent="0.25">
      <c r="A949" t="s">
        <v>1958</v>
      </c>
      <c r="B949">
        <v>26</v>
      </c>
      <c r="C949" t="s">
        <v>43</v>
      </c>
      <c r="D949" t="s">
        <v>30</v>
      </c>
      <c r="E949" t="s">
        <v>31</v>
      </c>
      <c r="F949" t="s">
        <v>32</v>
      </c>
      <c r="G949" t="s">
        <v>30</v>
      </c>
      <c r="H949" t="s">
        <v>1959</v>
      </c>
      <c r="I949" t="s">
        <v>123</v>
      </c>
      <c r="J949" s="1">
        <v>337.17</v>
      </c>
      <c r="K949">
        <v>8</v>
      </c>
      <c r="L949" t="s">
        <v>48</v>
      </c>
      <c r="M949">
        <v>5</v>
      </c>
      <c r="N949">
        <v>5</v>
      </c>
      <c r="O949">
        <v>0</v>
      </c>
      <c r="P949" t="s">
        <v>59</v>
      </c>
      <c r="Q949" t="s">
        <v>50</v>
      </c>
      <c r="R949">
        <v>1</v>
      </c>
      <c r="S949">
        <v>6</v>
      </c>
      <c r="T949" t="s">
        <v>49</v>
      </c>
      <c r="U949" t="s">
        <v>38</v>
      </c>
      <c r="V949" t="s">
        <v>39</v>
      </c>
      <c r="W949" s="2">
        <v>45499</v>
      </c>
      <c r="X949" s="4">
        <f ca="1">TODAY()-DATASET[[#This Row],[Time_of_Purchase]]</f>
        <v>635</v>
      </c>
      <c r="Y949" t="b">
        <v>0</v>
      </c>
      <c r="Z949" t="b">
        <v>1</v>
      </c>
      <c r="AA949" t="s">
        <v>52</v>
      </c>
      <c r="AB949" t="s">
        <v>41</v>
      </c>
      <c r="AC949">
        <v>3</v>
      </c>
    </row>
    <row r="950" spans="1:29" x14ac:dyDescent="0.25">
      <c r="A950" t="s">
        <v>1960</v>
      </c>
      <c r="B950">
        <v>22</v>
      </c>
      <c r="C950" t="s">
        <v>29</v>
      </c>
      <c r="D950" t="s">
        <v>44</v>
      </c>
      <c r="E950" t="s">
        <v>55</v>
      </c>
      <c r="F950" t="s">
        <v>45</v>
      </c>
      <c r="G950" t="s">
        <v>44</v>
      </c>
      <c r="H950" t="s">
        <v>1961</v>
      </c>
      <c r="I950" t="s">
        <v>47</v>
      </c>
      <c r="J950" s="1">
        <v>429.24</v>
      </c>
      <c r="K950">
        <v>2</v>
      </c>
      <c r="L950" t="s">
        <v>78</v>
      </c>
      <c r="M950">
        <v>2</v>
      </c>
      <c r="N950">
        <v>2</v>
      </c>
      <c r="O950">
        <v>2</v>
      </c>
      <c r="P950" t="s">
        <v>49</v>
      </c>
      <c r="Q950" t="s">
        <v>85</v>
      </c>
      <c r="R950">
        <v>0</v>
      </c>
      <c r="S950">
        <v>3</v>
      </c>
      <c r="T950" t="s">
        <v>36</v>
      </c>
      <c r="U950" t="s">
        <v>79</v>
      </c>
      <c r="V950" t="s">
        <v>86</v>
      </c>
      <c r="W950" s="2">
        <v>45362</v>
      </c>
      <c r="X950" s="4">
        <f ca="1">TODAY()-DATASET[[#This Row],[Time_of_Purchase]]</f>
        <v>772</v>
      </c>
      <c r="Y950" t="b">
        <v>0</v>
      </c>
      <c r="Z950" t="b">
        <v>0</v>
      </c>
      <c r="AA950" t="s">
        <v>74</v>
      </c>
      <c r="AB950" t="s">
        <v>41</v>
      </c>
      <c r="AC950">
        <v>13</v>
      </c>
    </row>
    <row r="951" spans="1:29" x14ac:dyDescent="0.25">
      <c r="A951" t="s">
        <v>1962</v>
      </c>
      <c r="B951">
        <v>35</v>
      </c>
      <c r="C951" t="s">
        <v>29</v>
      </c>
      <c r="D951" t="s">
        <v>44</v>
      </c>
      <c r="E951" t="s">
        <v>31</v>
      </c>
      <c r="F951" t="s">
        <v>45</v>
      </c>
      <c r="G951" t="s">
        <v>44</v>
      </c>
      <c r="H951" t="s">
        <v>1963</v>
      </c>
      <c r="I951" t="s">
        <v>117</v>
      </c>
      <c r="J951" s="1">
        <v>197.7</v>
      </c>
      <c r="K951">
        <v>7</v>
      </c>
      <c r="L951" t="s">
        <v>35</v>
      </c>
      <c r="M951">
        <v>3</v>
      </c>
      <c r="N951">
        <v>5</v>
      </c>
      <c r="O951">
        <v>2</v>
      </c>
      <c r="P951" t="s">
        <v>44</v>
      </c>
      <c r="Q951" t="s">
        <v>37</v>
      </c>
      <c r="R951">
        <v>1</v>
      </c>
      <c r="S951">
        <v>6</v>
      </c>
      <c r="T951" t="s">
        <v>49</v>
      </c>
      <c r="U951" t="s">
        <v>79</v>
      </c>
      <c r="V951" t="s">
        <v>86</v>
      </c>
      <c r="W951" s="2">
        <v>45562</v>
      </c>
      <c r="X951" s="4">
        <f ca="1">TODAY()-DATASET[[#This Row],[Time_of_Purchase]]</f>
        <v>572</v>
      </c>
      <c r="Y951" t="b">
        <v>0</v>
      </c>
      <c r="Z951" t="b">
        <v>0</v>
      </c>
      <c r="AA951" t="s">
        <v>40</v>
      </c>
      <c r="AB951" t="s">
        <v>53</v>
      </c>
      <c r="AC951">
        <v>9</v>
      </c>
    </row>
    <row r="952" spans="1:29" x14ac:dyDescent="0.25">
      <c r="A952" t="s">
        <v>1964</v>
      </c>
      <c r="B952">
        <v>23</v>
      </c>
      <c r="C952" t="s">
        <v>43</v>
      </c>
      <c r="D952" t="s">
        <v>30</v>
      </c>
      <c r="E952" t="s">
        <v>31</v>
      </c>
      <c r="F952" t="s">
        <v>32</v>
      </c>
      <c r="G952" t="s">
        <v>30</v>
      </c>
      <c r="H952" t="s">
        <v>1965</v>
      </c>
      <c r="I952" t="s">
        <v>65</v>
      </c>
      <c r="J952" s="1">
        <v>336.96</v>
      </c>
      <c r="K952">
        <v>2</v>
      </c>
      <c r="L952" t="s">
        <v>48</v>
      </c>
      <c r="M952">
        <v>5</v>
      </c>
      <c r="N952">
        <v>2</v>
      </c>
      <c r="O952">
        <v>2</v>
      </c>
      <c r="P952" t="s">
        <v>44</v>
      </c>
      <c r="Q952" t="s">
        <v>50</v>
      </c>
      <c r="R952">
        <v>0</v>
      </c>
      <c r="S952">
        <v>7</v>
      </c>
      <c r="T952" t="s">
        <v>59</v>
      </c>
      <c r="U952" t="s">
        <v>38</v>
      </c>
      <c r="V952" t="s">
        <v>51</v>
      </c>
      <c r="W952" s="2">
        <v>45540</v>
      </c>
      <c r="X952" s="4">
        <f ca="1">TODAY()-DATASET[[#This Row],[Time_of_Purchase]]</f>
        <v>594</v>
      </c>
      <c r="Y952" t="b">
        <v>1</v>
      </c>
      <c r="Z952" t="b">
        <v>1</v>
      </c>
      <c r="AA952" t="s">
        <v>62</v>
      </c>
      <c r="AB952" t="s">
        <v>41</v>
      </c>
      <c r="AC952">
        <v>7</v>
      </c>
    </row>
    <row r="953" spans="1:29" x14ac:dyDescent="0.25">
      <c r="A953" t="s">
        <v>1966</v>
      </c>
      <c r="B953">
        <v>40</v>
      </c>
      <c r="C953" t="s">
        <v>29</v>
      </c>
      <c r="D953" t="s">
        <v>44</v>
      </c>
      <c r="E953" t="s">
        <v>31</v>
      </c>
      <c r="F953" t="s">
        <v>45</v>
      </c>
      <c r="G953" t="s">
        <v>44</v>
      </c>
      <c r="H953" t="s">
        <v>1967</v>
      </c>
      <c r="I953" t="s">
        <v>114</v>
      </c>
      <c r="J953" s="1">
        <v>489.81</v>
      </c>
      <c r="K953">
        <v>11</v>
      </c>
      <c r="L953" t="s">
        <v>35</v>
      </c>
      <c r="M953">
        <v>3</v>
      </c>
      <c r="N953">
        <v>2</v>
      </c>
      <c r="O953">
        <v>1</v>
      </c>
      <c r="P953" t="s">
        <v>59</v>
      </c>
      <c r="Q953" t="s">
        <v>85</v>
      </c>
      <c r="R953">
        <v>0</v>
      </c>
      <c r="S953">
        <v>1</v>
      </c>
      <c r="T953" t="s">
        <v>36</v>
      </c>
      <c r="U953" t="s">
        <v>38</v>
      </c>
      <c r="V953" t="s">
        <v>39</v>
      </c>
      <c r="W953" s="2">
        <v>45648</v>
      </c>
      <c r="X953" s="4">
        <f ca="1">TODAY()-DATASET[[#This Row],[Time_of_Purchase]]</f>
        <v>486</v>
      </c>
      <c r="Y953" t="b">
        <v>0</v>
      </c>
      <c r="Z953" t="b">
        <v>0</v>
      </c>
      <c r="AA953" t="s">
        <v>52</v>
      </c>
      <c r="AB953" t="s">
        <v>41</v>
      </c>
      <c r="AC953">
        <v>3</v>
      </c>
    </row>
    <row r="954" spans="1:29" x14ac:dyDescent="0.25">
      <c r="A954" t="s">
        <v>1968</v>
      </c>
      <c r="B954">
        <v>32</v>
      </c>
      <c r="C954" t="s">
        <v>29</v>
      </c>
      <c r="D954" t="s">
        <v>44</v>
      </c>
      <c r="E954" t="s">
        <v>55</v>
      </c>
      <c r="F954" t="s">
        <v>45</v>
      </c>
      <c r="G954" t="s">
        <v>30</v>
      </c>
      <c r="H954" t="s">
        <v>1969</v>
      </c>
      <c r="I954" t="s">
        <v>120</v>
      </c>
      <c r="J954" s="1">
        <v>455.55</v>
      </c>
      <c r="K954">
        <v>8</v>
      </c>
      <c r="L954" t="s">
        <v>35</v>
      </c>
      <c r="M954">
        <v>4</v>
      </c>
      <c r="N954">
        <v>4</v>
      </c>
      <c r="O954">
        <v>1</v>
      </c>
      <c r="P954" t="s">
        <v>44</v>
      </c>
      <c r="Q954" t="s">
        <v>37</v>
      </c>
      <c r="R954">
        <v>0</v>
      </c>
      <c r="S954">
        <v>6</v>
      </c>
      <c r="T954" t="s">
        <v>44</v>
      </c>
      <c r="U954" t="s">
        <v>79</v>
      </c>
      <c r="V954" t="s">
        <v>51</v>
      </c>
      <c r="W954" s="2">
        <v>45594</v>
      </c>
      <c r="X954" s="4">
        <f ca="1">TODAY()-DATASET[[#This Row],[Time_of_Purchase]]</f>
        <v>540</v>
      </c>
      <c r="Y954" t="b">
        <v>0</v>
      </c>
      <c r="Z954" t="b">
        <v>0</v>
      </c>
      <c r="AA954" t="s">
        <v>74</v>
      </c>
      <c r="AB954" t="s">
        <v>41</v>
      </c>
      <c r="AC954">
        <v>10</v>
      </c>
    </row>
    <row r="955" spans="1:29" x14ac:dyDescent="0.25">
      <c r="A955" t="s">
        <v>1970</v>
      </c>
      <c r="B955">
        <v>29</v>
      </c>
      <c r="C955" t="s">
        <v>43</v>
      </c>
      <c r="D955" t="s">
        <v>30</v>
      </c>
      <c r="E955" t="s">
        <v>76</v>
      </c>
      <c r="F955" t="s">
        <v>56</v>
      </c>
      <c r="G955" t="s">
        <v>30</v>
      </c>
      <c r="H955" t="s">
        <v>1971</v>
      </c>
      <c r="I955" t="s">
        <v>93</v>
      </c>
      <c r="J955" s="1">
        <v>266.61</v>
      </c>
      <c r="K955">
        <v>3</v>
      </c>
      <c r="L955" t="s">
        <v>78</v>
      </c>
      <c r="M955">
        <v>3</v>
      </c>
      <c r="N955">
        <v>1</v>
      </c>
      <c r="O955">
        <v>1</v>
      </c>
      <c r="P955" t="s">
        <v>49</v>
      </c>
      <c r="Q955" t="s">
        <v>85</v>
      </c>
      <c r="R955">
        <v>2</v>
      </c>
      <c r="S955">
        <v>8</v>
      </c>
      <c r="T955" t="s">
        <v>36</v>
      </c>
      <c r="U955" t="s">
        <v>38</v>
      </c>
      <c r="V955" t="s">
        <v>61</v>
      </c>
      <c r="W955" s="2">
        <v>45449</v>
      </c>
      <c r="X955" s="4">
        <f ca="1">TODAY()-DATASET[[#This Row],[Time_of_Purchase]]</f>
        <v>685</v>
      </c>
      <c r="Y955" t="b">
        <v>1</v>
      </c>
      <c r="Z955" t="b">
        <v>0</v>
      </c>
      <c r="AA955" t="s">
        <v>40</v>
      </c>
      <c r="AB955" t="s">
        <v>53</v>
      </c>
      <c r="AC955">
        <v>7</v>
      </c>
    </row>
    <row r="956" spans="1:29" x14ac:dyDescent="0.25">
      <c r="A956" t="s">
        <v>1972</v>
      </c>
      <c r="B956">
        <v>50</v>
      </c>
      <c r="C956" t="s">
        <v>212</v>
      </c>
      <c r="D956" t="s">
        <v>30</v>
      </c>
      <c r="E956" t="s">
        <v>31</v>
      </c>
      <c r="F956" t="s">
        <v>45</v>
      </c>
      <c r="G956" t="s">
        <v>44</v>
      </c>
      <c r="H956" t="s">
        <v>1973</v>
      </c>
      <c r="I956" t="s">
        <v>194</v>
      </c>
      <c r="J956" s="1">
        <v>460.88</v>
      </c>
      <c r="K956">
        <v>5</v>
      </c>
      <c r="L956" t="s">
        <v>35</v>
      </c>
      <c r="M956">
        <v>3</v>
      </c>
      <c r="N956">
        <v>4</v>
      </c>
      <c r="O956">
        <v>2</v>
      </c>
      <c r="P956" t="s">
        <v>36</v>
      </c>
      <c r="Q956" t="s">
        <v>50</v>
      </c>
      <c r="R956">
        <v>2</v>
      </c>
      <c r="S956">
        <v>4</v>
      </c>
      <c r="T956" t="s">
        <v>44</v>
      </c>
      <c r="U956" t="s">
        <v>38</v>
      </c>
      <c r="V956" t="s">
        <v>86</v>
      </c>
      <c r="W956" s="2">
        <v>45394</v>
      </c>
      <c r="X956" s="4">
        <f ca="1">TODAY()-DATASET[[#This Row],[Time_of_Purchase]]</f>
        <v>740</v>
      </c>
      <c r="Y956" t="b">
        <v>1</v>
      </c>
      <c r="Z956" t="b">
        <v>0</v>
      </c>
      <c r="AA956" t="s">
        <v>62</v>
      </c>
      <c r="AB956" t="s">
        <v>53</v>
      </c>
      <c r="AC956">
        <v>2</v>
      </c>
    </row>
    <row r="957" spans="1:29" x14ac:dyDescent="0.25">
      <c r="A957" t="s">
        <v>1974</v>
      </c>
      <c r="B957">
        <v>42</v>
      </c>
      <c r="C957" t="s">
        <v>43</v>
      </c>
      <c r="D957" t="s">
        <v>44</v>
      </c>
      <c r="E957" t="s">
        <v>55</v>
      </c>
      <c r="F957" t="s">
        <v>45</v>
      </c>
      <c r="G957" t="s">
        <v>30</v>
      </c>
      <c r="H957" t="s">
        <v>1975</v>
      </c>
      <c r="I957" t="s">
        <v>142</v>
      </c>
      <c r="J957" s="1">
        <v>361.4</v>
      </c>
      <c r="K957">
        <v>2</v>
      </c>
      <c r="L957" t="s">
        <v>48</v>
      </c>
      <c r="M957">
        <v>2</v>
      </c>
      <c r="N957">
        <v>5</v>
      </c>
      <c r="O957">
        <v>1</v>
      </c>
      <c r="P957" t="s">
        <v>49</v>
      </c>
      <c r="Q957" t="s">
        <v>37</v>
      </c>
      <c r="R957">
        <v>0</v>
      </c>
      <c r="S957">
        <v>5</v>
      </c>
      <c r="T957" t="s">
        <v>49</v>
      </c>
      <c r="U957" t="s">
        <v>79</v>
      </c>
      <c r="V957" t="s">
        <v>39</v>
      </c>
      <c r="W957" s="2">
        <v>45647</v>
      </c>
      <c r="X957" s="4">
        <f ca="1">TODAY()-DATASET[[#This Row],[Time_of_Purchase]]</f>
        <v>487</v>
      </c>
      <c r="Y957" t="b">
        <v>0</v>
      </c>
      <c r="Z957" t="b">
        <v>1</v>
      </c>
      <c r="AA957" t="s">
        <v>62</v>
      </c>
      <c r="AB957" t="s">
        <v>41</v>
      </c>
      <c r="AC957">
        <v>7</v>
      </c>
    </row>
    <row r="958" spans="1:29" x14ac:dyDescent="0.25">
      <c r="A958" t="s">
        <v>1976</v>
      </c>
      <c r="B958">
        <v>47</v>
      </c>
      <c r="C958" t="s">
        <v>29</v>
      </c>
      <c r="D958" t="s">
        <v>30</v>
      </c>
      <c r="E958" t="s">
        <v>76</v>
      </c>
      <c r="F958" t="s">
        <v>56</v>
      </c>
      <c r="G958" t="s">
        <v>30</v>
      </c>
      <c r="H958" t="s">
        <v>1977</v>
      </c>
      <c r="I958" t="s">
        <v>123</v>
      </c>
      <c r="J958" s="1">
        <v>51.86</v>
      </c>
      <c r="K958">
        <v>4</v>
      </c>
      <c r="L958" t="s">
        <v>35</v>
      </c>
      <c r="M958">
        <v>3</v>
      </c>
      <c r="N958">
        <v>5</v>
      </c>
      <c r="O958">
        <v>0.2</v>
      </c>
      <c r="P958" t="s">
        <v>49</v>
      </c>
      <c r="Q958" t="s">
        <v>50</v>
      </c>
      <c r="R958">
        <v>2</v>
      </c>
      <c r="S958">
        <v>6</v>
      </c>
      <c r="T958" t="s">
        <v>44</v>
      </c>
      <c r="U958" t="s">
        <v>38</v>
      </c>
      <c r="V958" t="s">
        <v>39</v>
      </c>
      <c r="W958" s="2">
        <v>45651</v>
      </c>
      <c r="X958" s="4">
        <f ca="1">TODAY()-DATASET[[#This Row],[Time_of_Purchase]]</f>
        <v>483</v>
      </c>
      <c r="Y958" t="b">
        <v>0</v>
      </c>
      <c r="Z958" t="b">
        <v>1</v>
      </c>
      <c r="AA958" t="s">
        <v>40</v>
      </c>
      <c r="AB958" t="s">
        <v>41</v>
      </c>
      <c r="AC958">
        <v>6</v>
      </c>
    </row>
    <row r="959" spans="1:29" x14ac:dyDescent="0.25">
      <c r="A959" t="s">
        <v>1978</v>
      </c>
      <c r="B959">
        <v>27</v>
      </c>
      <c r="C959" t="s">
        <v>43</v>
      </c>
      <c r="D959" t="s">
        <v>30</v>
      </c>
      <c r="E959" t="s">
        <v>31</v>
      </c>
      <c r="F959" t="s">
        <v>45</v>
      </c>
      <c r="G959" t="s">
        <v>30</v>
      </c>
      <c r="H959" t="s">
        <v>1979</v>
      </c>
      <c r="I959" t="s">
        <v>58</v>
      </c>
      <c r="J959" s="1">
        <v>310.16000000000003</v>
      </c>
      <c r="K959">
        <v>5</v>
      </c>
      <c r="L959" t="s">
        <v>35</v>
      </c>
      <c r="M959">
        <v>5</v>
      </c>
      <c r="N959">
        <v>3</v>
      </c>
      <c r="O959">
        <v>1</v>
      </c>
      <c r="P959" t="s">
        <v>36</v>
      </c>
      <c r="Q959" t="s">
        <v>37</v>
      </c>
      <c r="R959">
        <v>0</v>
      </c>
      <c r="S959">
        <v>4</v>
      </c>
      <c r="T959" t="s">
        <v>44</v>
      </c>
      <c r="U959" t="s">
        <v>79</v>
      </c>
      <c r="V959" t="s">
        <v>86</v>
      </c>
      <c r="W959" s="2">
        <v>45627</v>
      </c>
      <c r="X959" s="4">
        <f ca="1">TODAY()-DATASET[[#This Row],[Time_of_Purchase]]</f>
        <v>507</v>
      </c>
      <c r="Y959" t="b">
        <v>0</v>
      </c>
      <c r="Z959" t="b">
        <v>0</v>
      </c>
      <c r="AA959" t="s">
        <v>40</v>
      </c>
      <c r="AB959" t="s">
        <v>53</v>
      </c>
      <c r="AC959">
        <v>14</v>
      </c>
    </row>
    <row r="960" spans="1:29" x14ac:dyDescent="0.25">
      <c r="A960" t="s">
        <v>1980</v>
      </c>
      <c r="B960">
        <v>40</v>
      </c>
      <c r="C960" t="s">
        <v>29</v>
      </c>
      <c r="D960" t="s">
        <v>30</v>
      </c>
      <c r="E960" t="s">
        <v>69</v>
      </c>
      <c r="F960" t="s">
        <v>56</v>
      </c>
      <c r="G960" t="s">
        <v>30</v>
      </c>
      <c r="H960" t="s">
        <v>1981</v>
      </c>
      <c r="I960" t="s">
        <v>114</v>
      </c>
      <c r="J960" s="1">
        <v>300.73</v>
      </c>
      <c r="K960">
        <v>8</v>
      </c>
      <c r="L960" t="s">
        <v>78</v>
      </c>
      <c r="M960">
        <v>4</v>
      </c>
      <c r="N960">
        <v>2</v>
      </c>
      <c r="O960">
        <v>1</v>
      </c>
      <c r="P960" t="s">
        <v>59</v>
      </c>
      <c r="Q960" t="s">
        <v>37</v>
      </c>
      <c r="R960">
        <v>2</v>
      </c>
      <c r="S960">
        <v>9</v>
      </c>
      <c r="T960" t="s">
        <v>44</v>
      </c>
      <c r="U960" t="s">
        <v>79</v>
      </c>
      <c r="V960" t="s">
        <v>86</v>
      </c>
      <c r="W960" s="2">
        <v>45382</v>
      </c>
      <c r="X960" s="4">
        <f ca="1">TODAY()-DATASET[[#This Row],[Time_of_Purchase]]</f>
        <v>752</v>
      </c>
      <c r="Y960" t="b">
        <v>1</v>
      </c>
      <c r="Z960" t="b">
        <v>1</v>
      </c>
      <c r="AA960" t="s">
        <v>40</v>
      </c>
      <c r="AB960" t="s">
        <v>41</v>
      </c>
      <c r="AC960">
        <v>10</v>
      </c>
    </row>
    <row r="961" spans="1:29" x14ac:dyDescent="0.25">
      <c r="A961" t="s">
        <v>1982</v>
      </c>
      <c r="B961">
        <v>28</v>
      </c>
      <c r="C961" t="s">
        <v>29</v>
      </c>
      <c r="D961" t="s">
        <v>44</v>
      </c>
      <c r="E961" t="s">
        <v>31</v>
      </c>
      <c r="F961" t="s">
        <v>45</v>
      </c>
      <c r="G961" t="s">
        <v>30</v>
      </c>
      <c r="H961" t="s">
        <v>1983</v>
      </c>
      <c r="I961" t="s">
        <v>114</v>
      </c>
      <c r="J961" s="1">
        <v>356.87</v>
      </c>
      <c r="K961">
        <v>12</v>
      </c>
      <c r="L961" t="s">
        <v>35</v>
      </c>
      <c r="M961">
        <v>1</v>
      </c>
      <c r="N961">
        <v>4</v>
      </c>
      <c r="O961">
        <v>0</v>
      </c>
      <c r="P961" t="s">
        <v>44</v>
      </c>
      <c r="Q961" t="s">
        <v>50</v>
      </c>
      <c r="R961">
        <v>1</v>
      </c>
      <c r="S961">
        <v>9</v>
      </c>
      <c r="T961" t="s">
        <v>49</v>
      </c>
      <c r="U961" t="s">
        <v>60</v>
      </c>
      <c r="V961" t="s">
        <v>61</v>
      </c>
      <c r="W961" s="2">
        <v>45577</v>
      </c>
      <c r="X961" s="4">
        <f ca="1">TODAY()-DATASET[[#This Row],[Time_of_Purchase]]</f>
        <v>557</v>
      </c>
      <c r="Y961" t="b">
        <v>0</v>
      </c>
      <c r="Z961" t="b">
        <v>1</v>
      </c>
      <c r="AA961" t="s">
        <v>62</v>
      </c>
      <c r="AB961" t="s">
        <v>53</v>
      </c>
      <c r="AC961">
        <v>10</v>
      </c>
    </row>
    <row r="962" spans="1:29" x14ac:dyDescent="0.25">
      <c r="A962" t="s">
        <v>1984</v>
      </c>
      <c r="B962">
        <v>28</v>
      </c>
      <c r="C962" t="s">
        <v>43</v>
      </c>
      <c r="D962" t="s">
        <v>30</v>
      </c>
      <c r="E962" t="s">
        <v>69</v>
      </c>
      <c r="F962" t="s">
        <v>45</v>
      </c>
      <c r="G962" t="s">
        <v>30</v>
      </c>
      <c r="H962" t="s">
        <v>1985</v>
      </c>
      <c r="I962" t="s">
        <v>183</v>
      </c>
      <c r="J962" s="1">
        <v>82.37</v>
      </c>
      <c r="K962">
        <v>6</v>
      </c>
      <c r="L962" t="s">
        <v>35</v>
      </c>
      <c r="M962">
        <v>1</v>
      </c>
      <c r="N962">
        <v>1</v>
      </c>
      <c r="O962">
        <v>1</v>
      </c>
      <c r="P962" t="s">
        <v>49</v>
      </c>
      <c r="Q962" t="s">
        <v>50</v>
      </c>
      <c r="R962">
        <v>0</v>
      </c>
      <c r="S962">
        <v>4</v>
      </c>
      <c r="T962" t="s">
        <v>49</v>
      </c>
      <c r="U962" t="s">
        <v>60</v>
      </c>
      <c r="V962" t="s">
        <v>39</v>
      </c>
      <c r="W962" s="2">
        <v>45651</v>
      </c>
      <c r="X962" s="4">
        <f ca="1">TODAY()-DATASET[[#This Row],[Time_of_Purchase]]</f>
        <v>483</v>
      </c>
      <c r="Y962" t="b">
        <v>0</v>
      </c>
      <c r="Z962" t="b">
        <v>0</v>
      </c>
      <c r="AA962" t="s">
        <v>62</v>
      </c>
      <c r="AB962" t="s">
        <v>53</v>
      </c>
      <c r="AC962">
        <v>2</v>
      </c>
    </row>
    <row r="963" spans="1:29" x14ac:dyDescent="0.25">
      <c r="A963" t="s">
        <v>1986</v>
      </c>
      <c r="B963">
        <v>29</v>
      </c>
      <c r="C963" t="s">
        <v>29</v>
      </c>
      <c r="D963" t="s">
        <v>44</v>
      </c>
      <c r="E963" t="s">
        <v>76</v>
      </c>
      <c r="F963" t="s">
        <v>32</v>
      </c>
      <c r="G963" t="s">
        <v>44</v>
      </c>
      <c r="H963" t="s">
        <v>1696</v>
      </c>
      <c r="I963" t="s">
        <v>183</v>
      </c>
      <c r="J963" s="1">
        <v>372.6</v>
      </c>
      <c r="K963">
        <v>3</v>
      </c>
      <c r="L963" t="s">
        <v>35</v>
      </c>
      <c r="M963">
        <v>4</v>
      </c>
      <c r="N963">
        <v>5</v>
      </c>
      <c r="O963">
        <v>1</v>
      </c>
      <c r="P963" t="s">
        <v>44</v>
      </c>
      <c r="Q963" t="s">
        <v>85</v>
      </c>
      <c r="R963">
        <v>2</v>
      </c>
      <c r="S963">
        <v>6</v>
      </c>
      <c r="T963" t="s">
        <v>59</v>
      </c>
      <c r="U963" t="s">
        <v>38</v>
      </c>
      <c r="V963" t="s">
        <v>51</v>
      </c>
      <c r="W963" s="2">
        <v>45302</v>
      </c>
      <c r="X963" s="4">
        <f ca="1">TODAY()-DATASET[[#This Row],[Time_of_Purchase]]</f>
        <v>832</v>
      </c>
      <c r="Y963" t="b">
        <v>1</v>
      </c>
      <c r="Z963" t="b">
        <v>1</v>
      </c>
      <c r="AA963" t="s">
        <v>74</v>
      </c>
      <c r="AB963" t="s">
        <v>67</v>
      </c>
      <c r="AC963">
        <v>10</v>
      </c>
    </row>
    <row r="964" spans="1:29" x14ac:dyDescent="0.25">
      <c r="A964" t="s">
        <v>1987</v>
      </c>
      <c r="B964">
        <v>29</v>
      </c>
      <c r="C964" t="s">
        <v>29</v>
      </c>
      <c r="D964" t="s">
        <v>30</v>
      </c>
      <c r="E964" t="s">
        <v>69</v>
      </c>
      <c r="F964" t="s">
        <v>45</v>
      </c>
      <c r="G964" t="s">
        <v>44</v>
      </c>
      <c r="H964" t="s">
        <v>1988</v>
      </c>
      <c r="I964" t="s">
        <v>101</v>
      </c>
      <c r="J964" s="1">
        <v>78.319999999999993</v>
      </c>
      <c r="K964">
        <v>9</v>
      </c>
      <c r="L964" t="s">
        <v>78</v>
      </c>
      <c r="M964">
        <v>2</v>
      </c>
      <c r="N964">
        <v>4</v>
      </c>
      <c r="O964">
        <v>2</v>
      </c>
      <c r="P964" t="s">
        <v>59</v>
      </c>
      <c r="Q964" t="s">
        <v>37</v>
      </c>
      <c r="R964">
        <v>2</v>
      </c>
      <c r="S964">
        <v>10</v>
      </c>
      <c r="T964" t="s">
        <v>59</v>
      </c>
      <c r="U964" t="s">
        <v>60</v>
      </c>
      <c r="V964" t="s">
        <v>51</v>
      </c>
      <c r="W964" s="2">
        <v>45502</v>
      </c>
      <c r="X964" s="4">
        <f ca="1">TODAY()-DATASET[[#This Row],[Time_of_Purchase]]</f>
        <v>632</v>
      </c>
      <c r="Y964" t="b">
        <v>0</v>
      </c>
      <c r="Z964" t="b">
        <v>1</v>
      </c>
      <c r="AA964" t="s">
        <v>40</v>
      </c>
      <c r="AB964" t="s">
        <v>53</v>
      </c>
      <c r="AC964">
        <v>7</v>
      </c>
    </row>
    <row r="965" spans="1:29" x14ac:dyDescent="0.25">
      <c r="A965" t="s">
        <v>1989</v>
      </c>
      <c r="B965">
        <v>32</v>
      </c>
      <c r="C965" t="s">
        <v>29</v>
      </c>
      <c r="D965" t="s">
        <v>44</v>
      </c>
      <c r="E965" t="s">
        <v>55</v>
      </c>
      <c r="F965" t="s">
        <v>56</v>
      </c>
      <c r="G965" t="s">
        <v>44</v>
      </c>
      <c r="H965" t="s">
        <v>1990</v>
      </c>
      <c r="I965" t="s">
        <v>123</v>
      </c>
      <c r="J965" s="1">
        <v>71.72</v>
      </c>
      <c r="K965">
        <v>12</v>
      </c>
      <c r="L965" t="s">
        <v>78</v>
      </c>
      <c r="M965">
        <v>3</v>
      </c>
      <c r="N965">
        <v>5</v>
      </c>
      <c r="O965">
        <v>1</v>
      </c>
      <c r="P965" t="s">
        <v>44</v>
      </c>
      <c r="Q965" t="s">
        <v>37</v>
      </c>
      <c r="R965">
        <v>2</v>
      </c>
      <c r="S965">
        <v>5</v>
      </c>
      <c r="T965" t="s">
        <v>59</v>
      </c>
      <c r="U965" t="s">
        <v>38</v>
      </c>
      <c r="V965" t="s">
        <v>51</v>
      </c>
      <c r="W965" s="2">
        <v>45302</v>
      </c>
      <c r="X965" s="4">
        <f ca="1">TODAY()-DATASET[[#This Row],[Time_of_Purchase]]</f>
        <v>832</v>
      </c>
      <c r="Y965" t="b">
        <v>1</v>
      </c>
      <c r="Z965" t="b">
        <v>1</v>
      </c>
      <c r="AA965" t="s">
        <v>52</v>
      </c>
      <c r="AB965" t="s">
        <v>67</v>
      </c>
      <c r="AC965">
        <v>13</v>
      </c>
    </row>
    <row r="966" spans="1:29" x14ac:dyDescent="0.25">
      <c r="A966" t="s">
        <v>1991</v>
      </c>
      <c r="B966">
        <v>39</v>
      </c>
      <c r="C966" t="s">
        <v>29</v>
      </c>
      <c r="D966" t="s">
        <v>44</v>
      </c>
      <c r="E966" t="s">
        <v>55</v>
      </c>
      <c r="F966" t="s">
        <v>45</v>
      </c>
      <c r="G966" t="s">
        <v>44</v>
      </c>
      <c r="H966" t="s">
        <v>1992</v>
      </c>
      <c r="I966" t="s">
        <v>98</v>
      </c>
      <c r="J966" s="1">
        <v>241.1</v>
      </c>
      <c r="K966">
        <v>12</v>
      </c>
      <c r="L966" t="s">
        <v>48</v>
      </c>
      <c r="M966">
        <v>1</v>
      </c>
      <c r="N966">
        <v>5</v>
      </c>
      <c r="O966">
        <v>2</v>
      </c>
      <c r="P966" t="s">
        <v>36</v>
      </c>
      <c r="Q966" t="s">
        <v>50</v>
      </c>
      <c r="R966">
        <v>2</v>
      </c>
      <c r="S966">
        <v>2</v>
      </c>
      <c r="T966" t="s">
        <v>49</v>
      </c>
      <c r="U966" t="s">
        <v>79</v>
      </c>
      <c r="V966" t="s">
        <v>39</v>
      </c>
      <c r="W966" s="2">
        <v>45503</v>
      </c>
      <c r="X966" s="4">
        <f ca="1">TODAY()-DATASET[[#This Row],[Time_of_Purchase]]</f>
        <v>631</v>
      </c>
      <c r="Y966" t="b">
        <v>0</v>
      </c>
      <c r="Z966" t="b">
        <v>1</v>
      </c>
      <c r="AA966" t="s">
        <v>74</v>
      </c>
      <c r="AB966" t="s">
        <v>41</v>
      </c>
      <c r="AC966">
        <v>8</v>
      </c>
    </row>
    <row r="967" spans="1:29" x14ac:dyDescent="0.25">
      <c r="A967" t="s">
        <v>1993</v>
      </c>
      <c r="B967">
        <v>22</v>
      </c>
      <c r="C967" t="s">
        <v>43</v>
      </c>
      <c r="D967" t="s">
        <v>30</v>
      </c>
      <c r="E967" t="s">
        <v>31</v>
      </c>
      <c r="F967" t="s">
        <v>32</v>
      </c>
      <c r="G967" t="s">
        <v>44</v>
      </c>
      <c r="H967" t="s">
        <v>1994</v>
      </c>
      <c r="I967" t="s">
        <v>194</v>
      </c>
      <c r="J967" s="1">
        <v>96.86</v>
      </c>
      <c r="K967">
        <v>9</v>
      </c>
      <c r="L967" t="s">
        <v>35</v>
      </c>
      <c r="M967">
        <v>5</v>
      </c>
      <c r="N967">
        <v>5</v>
      </c>
      <c r="O967">
        <v>0</v>
      </c>
      <c r="P967" t="s">
        <v>36</v>
      </c>
      <c r="Q967" t="s">
        <v>50</v>
      </c>
      <c r="R967">
        <v>2</v>
      </c>
      <c r="S967">
        <v>10</v>
      </c>
      <c r="T967" t="s">
        <v>49</v>
      </c>
      <c r="U967" t="s">
        <v>79</v>
      </c>
      <c r="V967" t="s">
        <v>61</v>
      </c>
      <c r="W967" s="2">
        <v>45501</v>
      </c>
      <c r="X967" s="4">
        <f ca="1">TODAY()-DATASET[[#This Row],[Time_of_Purchase]]</f>
        <v>633</v>
      </c>
      <c r="Y967" t="b">
        <v>0</v>
      </c>
      <c r="Z967" t="b">
        <v>1</v>
      </c>
      <c r="AA967" t="s">
        <v>52</v>
      </c>
      <c r="AB967" t="s">
        <v>53</v>
      </c>
      <c r="AC967">
        <v>7</v>
      </c>
    </row>
    <row r="968" spans="1:29" x14ac:dyDescent="0.25">
      <c r="A968" t="s">
        <v>1995</v>
      </c>
      <c r="B968">
        <v>48</v>
      </c>
      <c r="C968" t="s">
        <v>43</v>
      </c>
      <c r="D968" t="s">
        <v>30</v>
      </c>
      <c r="E968" t="s">
        <v>76</v>
      </c>
      <c r="F968" t="s">
        <v>56</v>
      </c>
      <c r="G968" t="s">
        <v>44</v>
      </c>
      <c r="H968" t="s">
        <v>1996</v>
      </c>
      <c r="I968" t="s">
        <v>47</v>
      </c>
      <c r="J968" s="1">
        <v>276.25</v>
      </c>
      <c r="K968">
        <v>11</v>
      </c>
      <c r="L968" t="s">
        <v>48</v>
      </c>
      <c r="M968">
        <v>2</v>
      </c>
      <c r="N968">
        <v>1</v>
      </c>
      <c r="O968">
        <v>2</v>
      </c>
      <c r="P968" t="s">
        <v>44</v>
      </c>
      <c r="Q968" t="s">
        <v>50</v>
      </c>
      <c r="R968">
        <v>2</v>
      </c>
      <c r="S968">
        <v>4</v>
      </c>
      <c r="T968" t="s">
        <v>36</v>
      </c>
      <c r="U968" t="s">
        <v>60</v>
      </c>
      <c r="V968" t="s">
        <v>86</v>
      </c>
      <c r="W968" s="2">
        <v>45607</v>
      </c>
      <c r="X968" s="4">
        <f ca="1">TODAY()-DATASET[[#This Row],[Time_of_Purchase]]</f>
        <v>527</v>
      </c>
      <c r="Y968" t="b">
        <v>1</v>
      </c>
      <c r="Z968" t="b">
        <v>1</v>
      </c>
      <c r="AA968" t="s">
        <v>62</v>
      </c>
      <c r="AB968" t="s">
        <v>67</v>
      </c>
      <c r="AC968">
        <v>8</v>
      </c>
    </row>
    <row r="969" spans="1:29" x14ac:dyDescent="0.25">
      <c r="A969" t="s">
        <v>1997</v>
      </c>
      <c r="B969">
        <v>29</v>
      </c>
      <c r="C969" t="s">
        <v>43</v>
      </c>
      <c r="D969" t="s">
        <v>30</v>
      </c>
      <c r="E969" t="s">
        <v>69</v>
      </c>
      <c r="F969" t="s">
        <v>56</v>
      </c>
      <c r="G969" t="s">
        <v>30</v>
      </c>
      <c r="H969" t="s">
        <v>1998</v>
      </c>
      <c r="I969" t="s">
        <v>58</v>
      </c>
      <c r="J969" s="1">
        <v>318.45</v>
      </c>
      <c r="K969">
        <v>10</v>
      </c>
      <c r="L969" t="s">
        <v>48</v>
      </c>
      <c r="M969">
        <v>2</v>
      </c>
      <c r="N969">
        <v>1</v>
      </c>
      <c r="O969">
        <v>2</v>
      </c>
      <c r="P969" t="s">
        <v>36</v>
      </c>
      <c r="Q969" t="s">
        <v>37</v>
      </c>
      <c r="R969">
        <v>2</v>
      </c>
      <c r="S969">
        <v>4</v>
      </c>
      <c r="T969" t="s">
        <v>44</v>
      </c>
      <c r="U969" t="s">
        <v>60</v>
      </c>
      <c r="V969" t="s">
        <v>66</v>
      </c>
      <c r="W969" s="2">
        <v>45590</v>
      </c>
      <c r="X969" s="4">
        <f ca="1">TODAY()-DATASET[[#This Row],[Time_of_Purchase]]</f>
        <v>544</v>
      </c>
      <c r="Y969" t="b">
        <v>0</v>
      </c>
      <c r="Z969" t="b">
        <v>1</v>
      </c>
      <c r="AA969" t="s">
        <v>74</v>
      </c>
      <c r="AB969" t="s">
        <v>41</v>
      </c>
      <c r="AC969">
        <v>5</v>
      </c>
    </row>
    <row r="970" spans="1:29" x14ac:dyDescent="0.25">
      <c r="A970" t="s">
        <v>1999</v>
      </c>
      <c r="B970">
        <v>41</v>
      </c>
      <c r="C970" t="s">
        <v>29</v>
      </c>
      <c r="D970" t="s">
        <v>44</v>
      </c>
      <c r="E970" t="s">
        <v>31</v>
      </c>
      <c r="F970" t="s">
        <v>45</v>
      </c>
      <c r="G970" t="s">
        <v>44</v>
      </c>
      <c r="H970" t="s">
        <v>2000</v>
      </c>
      <c r="I970" t="s">
        <v>101</v>
      </c>
      <c r="J970" s="1">
        <v>117.03</v>
      </c>
      <c r="K970">
        <v>6</v>
      </c>
      <c r="L970" t="s">
        <v>78</v>
      </c>
      <c r="M970">
        <v>3</v>
      </c>
      <c r="N970">
        <v>2</v>
      </c>
      <c r="O970">
        <v>0</v>
      </c>
      <c r="P970" t="s">
        <v>36</v>
      </c>
      <c r="Q970" t="s">
        <v>85</v>
      </c>
      <c r="R970">
        <v>2</v>
      </c>
      <c r="S970">
        <v>9</v>
      </c>
      <c r="T970" t="s">
        <v>49</v>
      </c>
      <c r="U970" t="s">
        <v>38</v>
      </c>
      <c r="V970" t="s">
        <v>86</v>
      </c>
      <c r="W970" s="2">
        <v>45555</v>
      </c>
      <c r="X970" s="4">
        <f ca="1">TODAY()-DATASET[[#This Row],[Time_of_Purchase]]</f>
        <v>579</v>
      </c>
      <c r="Y970" t="b">
        <v>0</v>
      </c>
      <c r="Z970" t="b">
        <v>0</v>
      </c>
      <c r="AA970" t="s">
        <v>62</v>
      </c>
      <c r="AB970" t="s">
        <v>53</v>
      </c>
      <c r="AC970">
        <v>5</v>
      </c>
    </row>
    <row r="971" spans="1:29" x14ac:dyDescent="0.25">
      <c r="A971" t="s">
        <v>2001</v>
      </c>
      <c r="B971">
        <v>50</v>
      </c>
      <c r="C971" t="s">
        <v>29</v>
      </c>
      <c r="D971" t="s">
        <v>30</v>
      </c>
      <c r="E971" t="s">
        <v>31</v>
      </c>
      <c r="F971" t="s">
        <v>56</v>
      </c>
      <c r="G971" t="s">
        <v>44</v>
      </c>
      <c r="H971" t="s">
        <v>2002</v>
      </c>
      <c r="I971" t="s">
        <v>126</v>
      </c>
      <c r="J971" s="1">
        <v>490.41</v>
      </c>
      <c r="K971">
        <v>7</v>
      </c>
      <c r="L971" t="s">
        <v>78</v>
      </c>
      <c r="M971">
        <v>3</v>
      </c>
      <c r="N971">
        <v>5</v>
      </c>
      <c r="O971">
        <v>1</v>
      </c>
      <c r="P971" t="s">
        <v>49</v>
      </c>
      <c r="Q971" t="s">
        <v>85</v>
      </c>
      <c r="R971">
        <v>1</v>
      </c>
      <c r="S971">
        <v>10</v>
      </c>
      <c r="T971" t="s">
        <v>59</v>
      </c>
      <c r="U971" t="s">
        <v>38</v>
      </c>
      <c r="V971" t="s">
        <v>66</v>
      </c>
      <c r="W971" s="2">
        <v>45587</v>
      </c>
      <c r="X971" s="4">
        <f ca="1">TODAY()-DATASET[[#This Row],[Time_of_Purchase]]</f>
        <v>547</v>
      </c>
      <c r="Y971" t="b">
        <v>1</v>
      </c>
      <c r="Z971" t="b">
        <v>0</v>
      </c>
      <c r="AA971" t="s">
        <v>74</v>
      </c>
      <c r="AB971" t="s">
        <v>53</v>
      </c>
      <c r="AC971">
        <v>5</v>
      </c>
    </row>
    <row r="972" spans="1:29" x14ac:dyDescent="0.25">
      <c r="A972" t="s">
        <v>2003</v>
      </c>
      <c r="B972">
        <v>48</v>
      </c>
      <c r="C972" t="s">
        <v>43</v>
      </c>
      <c r="D972" t="s">
        <v>30</v>
      </c>
      <c r="E972" t="s">
        <v>76</v>
      </c>
      <c r="F972" t="s">
        <v>32</v>
      </c>
      <c r="G972" t="s">
        <v>44</v>
      </c>
      <c r="H972" t="s">
        <v>2004</v>
      </c>
      <c r="I972" t="s">
        <v>142</v>
      </c>
      <c r="J972" s="1">
        <v>476.42</v>
      </c>
      <c r="K972">
        <v>7</v>
      </c>
      <c r="L972" t="s">
        <v>48</v>
      </c>
      <c r="M972">
        <v>1</v>
      </c>
      <c r="N972">
        <v>1</v>
      </c>
      <c r="O972">
        <v>1</v>
      </c>
      <c r="P972" t="s">
        <v>44</v>
      </c>
      <c r="Q972" t="s">
        <v>85</v>
      </c>
      <c r="R972">
        <v>0</v>
      </c>
      <c r="S972">
        <v>2</v>
      </c>
      <c r="T972" t="s">
        <v>44</v>
      </c>
      <c r="U972" t="s">
        <v>79</v>
      </c>
      <c r="V972" t="s">
        <v>61</v>
      </c>
      <c r="W972" s="2">
        <v>45544</v>
      </c>
      <c r="X972" s="4">
        <f ca="1">TODAY()-DATASET[[#This Row],[Time_of_Purchase]]</f>
        <v>590</v>
      </c>
      <c r="Y972" t="b">
        <v>1</v>
      </c>
      <c r="Z972" t="b">
        <v>0</v>
      </c>
      <c r="AA972" t="s">
        <v>40</v>
      </c>
      <c r="AB972" t="s">
        <v>53</v>
      </c>
      <c r="AC972">
        <v>2</v>
      </c>
    </row>
    <row r="973" spans="1:29" x14ac:dyDescent="0.25">
      <c r="A973" t="s">
        <v>2005</v>
      </c>
      <c r="B973">
        <v>29</v>
      </c>
      <c r="C973" t="s">
        <v>29</v>
      </c>
      <c r="D973" t="s">
        <v>44</v>
      </c>
      <c r="E973" t="s">
        <v>76</v>
      </c>
      <c r="F973" t="s">
        <v>56</v>
      </c>
      <c r="G973" t="s">
        <v>44</v>
      </c>
      <c r="H973" t="s">
        <v>2006</v>
      </c>
      <c r="I973" t="s">
        <v>188</v>
      </c>
      <c r="J973" s="1">
        <v>392.27</v>
      </c>
      <c r="K973">
        <v>5</v>
      </c>
      <c r="L973" t="s">
        <v>35</v>
      </c>
      <c r="M973">
        <v>4</v>
      </c>
      <c r="N973">
        <v>5</v>
      </c>
      <c r="O973">
        <v>1</v>
      </c>
      <c r="P973" t="s">
        <v>44</v>
      </c>
      <c r="Q973" t="s">
        <v>50</v>
      </c>
      <c r="R973">
        <v>0</v>
      </c>
      <c r="S973">
        <v>2</v>
      </c>
      <c r="T973" t="s">
        <v>59</v>
      </c>
      <c r="U973" t="s">
        <v>38</v>
      </c>
      <c r="V973" t="s">
        <v>66</v>
      </c>
      <c r="W973" s="2">
        <v>45490</v>
      </c>
      <c r="X973" s="4">
        <f ca="1">TODAY()-DATASET[[#This Row],[Time_of_Purchase]]</f>
        <v>644</v>
      </c>
      <c r="Y973" t="b">
        <v>1</v>
      </c>
      <c r="Z973" t="b">
        <v>0</v>
      </c>
      <c r="AA973" t="s">
        <v>52</v>
      </c>
      <c r="AB973" t="s">
        <v>41</v>
      </c>
      <c r="AC973">
        <v>7</v>
      </c>
    </row>
    <row r="974" spans="1:29" x14ac:dyDescent="0.25">
      <c r="A974" t="s">
        <v>2007</v>
      </c>
      <c r="B974">
        <v>36</v>
      </c>
      <c r="C974" t="s">
        <v>43</v>
      </c>
      <c r="D974" t="s">
        <v>44</v>
      </c>
      <c r="E974" t="s">
        <v>55</v>
      </c>
      <c r="F974" t="s">
        <v>32</v>
      </c>
      <c r="G974" t="s">
        <v>30</v>
      </c>
      <c r="H974" t="s">
        <v>2008</v>
      </c>
      <c r="I974" t="s">
        <v>107</v>
      </c>
      <c r="J974" s="1">
        <v>207.24</v>
      </c>
      <c r="K974">
        <v>9</v>
      </c>
      <c r="L974" t="s">
        <v>78</v>
      </c>
      <c r="M974">
        <v>2</v>
      </c>
      <c r="N974">
        <v>2</v>
      </c>
      <c r="O974">
        <v>0</v>
      </c>
      <c r="P974" t="s">
        <v>59</v>
      </c>
      <c r="Q974" t="s">
        <v>50</v>
      </c>
      <c r="R974">
        <v>0</v>
      </c>
      <c r="S974">
        <v>6</v>
      </c>
      <c r="T974" t="s">
        <v>36</v>
      </c>
      <c r="U974" t="s">
        <v>79</v>
      </c>
      <c r="V974" t="s">
        <v>61</v>
      </c>
      <c r="W974" s="2">
        <v>45424</v>
      </c>
      <c r="X974" s="4">
        <f ca="1">TODAY()-DATASET[[#This Row],[Time_of_Purchase]]</f>
        <v>710</v>
      </c>
      <c r="Y974" t="b">
        <v>1</v>
      </c>
      <c r="Z974" t="b">
        <v>0</v>
      </c>
      <c r="AA974" t="s">
        <v>62</v>
      </c>
      <c r="AB974" t="s">
        <v>41</v>
      </c>
      <c r="AC974">
        <v>3</v>
      </c>
    </row>
    <row r="975" spans="1:29" x14ac:dyDescent="0.25">
      <c r="A975" t="s">
        <v>2009</v>
      </c>
      <c r="B975">
        <v>43</v>
      </c>
      <c r="C975" t="s">
        <v>43</v>
      </c>
      <c r="D975" t="s">
        <v>44</v>
      </c>
      <c r="E975" t="s">
        <v>76</v>
      </c>
      <c r="F975" t="s">
        <v>45</v>
      </c>
      <c r="G975" t="s">
        <v>30</v>
      </c>
      <c r="H975" t="s">
        <v>2010</v>
      </c>
      <c r="I975" t="s">
        <v>34</v>
      </c>
      <c r="J975" s="1">
        <v>141.63</v>
      </c>
      <c r="K975">
        <v>3</v>
      </c>
      <c r="L975" t="s">
        <v>78</v>
      </c>
      <c r="M975">
        <v>4</v>
      </c>
      <c r="N975">
        <v>1</v>
      </c>
      <c r="O975">
        <v>1</v>
      </c>
      <c r="P975" t="s">
        <v>36</v>
      </c>
      <c r="Q975" t="s">
        <v>37</v>
      </c>
      <c r="R975">
        <v>1</v>
      </c>
      <c r="S975">
        <v>8</v>
      </c>
      <c r="T975" t="s">
        <v>59</v>
      </c>
      <c r="U975" t="s">
        <v>60</v>
      </c>
      <c r="V975" t="s">
        <v>86</v>
      </c>
      <c r="W975" s="2">
        <v>45576</v>
      </c>
      <c r="X975" s="4">
        <f ca="1">TODAY()-DATASET[[#This Row],[Time_of_Purchase]]</f>
        <v>558</v>
      </c>
      <c r="Y975" t="b">
        <v>1</v>
      </c>
      <c r="Z975" t="b">
        <v>1</v>
      </c>
      <c r="AA975" t="s">
        <v>74</v>
      </c>
      <c r="AB975" t="s">
        <v>67</v>
      </c>
      <c r="AC975">
        <v>11</v>
      </c>
    </row>
    <row r="976" spans="1:29" x14ac:dyDescent="0.25">
      <c r="A976" t="s">
        <v>2011</v>
      </c>
      <c r="B976">
        <v>30</v>
      </c>
      <c r="C976" t="s">
        <v>43</v>
      </c>
      <c r="D976" t="s">
        <v>44</v>
      </c>
      <c r="E976" t="s">
        <v>69</v>
      </c>
      <c r="F976" t="s">
        <v>32</v>
      </c>
      <c r="G976" t="s">
        <v>44</v>
      </c>
      <c r="H976" t="s">
        <v>2012</v>
      </c>
      <c r="I976" t="s">
        <v>65</v>
      </c>
      <c r="J976" s="1">
        <v>244.47</v>
      </c>
      <c r="K976">
        <v>5</v>
      </c>
      <c r="L976" t="s">
        <v>78</v>
      </c>
      <c r="M976">
        <v>3</v>
      </c>
      <c r="N976">
        <v>4</v>
      </c>
      <c r="O976">
        <v>1</v>
      </c>
      <c r="P976" t="s">
        <v>44</v>
      </c>
      <c r="Q976" t="s">
        <v>85</v>
      </c>
      <c r="R976">
        <v>1</v>
      </c>
      <c r="S976">
        <v>5</v>
      </c>
      <c r="T976" t="s">
        <v>59</v>
      </c>
      <c r="U976" t="s">
        <v>60</v>
      </c>
      <c r="V976" t="s">
        <v>86</v>
      </c>
      <c r="W976" s="2">
        <v>45466</v>
      </c>
      <c r="X976" s="4">
        <f ca="1">TODAY()-DATASET[[#This Row],[Time_of_Purchase]]</f>
        <v>668</v>
      </c>
      <c r="Y976" t="b">
        <v>0</v>
      </c>
      <c r="Z976" t="b">
        <v>0</v>
      </c>
      <c r="AA976" t="s">
        <v>62</v>
      </c>
      <c r="AB976" t="s">
        <v>41</v>
      </c>
      <c r="AC976">
        <v>4</v>
      </c>
    </row>
    <row r="977" spans="1:29" x14ac:dyDescent="0.25">
      <c r="A977" t="s">
        <v>2013</v>
      </c>
      <c r="B977">
        <v>24</v>
      </c>
      <c r="C977" t="s">
        <v>43</v>
      </c>
      <c r="D977" t="s">
        <v>44</v>
      </c>
      <c r="E977" t="s">
        <v>31</v>
      </c>
      <c r="F977" t="s">
        <v>56</v>
      </c>
      <c r="G977" t="s">
        <v>44</v>
      </c>
      <c r="H977" t="s">
        <v>2014</v>
      </c>
      <c r="I977" t="s">
        <v>34</v>
      </c>
      <c r="J977" s="1">
        <v>251.63</v>
      </c>
      <c r="K977">
        <v>9</v>
      </c>
      <c r="L977" t="s">
        <v>78</v>
      </c>
      <c r="M977">
        <v>3</v>
      </c>
      <c r="N977">
        <v>1</v>
      </c>
      <c r="O977">
        <v>0</v>
      </c>
      <c r="P977" t="s">
        <v>59</v>
      </c>
      <c r="Q977" t="s">
        <v>50</v>
      </c>
      <c r="R977">
        <v>0</v>
      </c>
      <c r="S977">
        <v>2</v>
      </c>
      <c r="T977" t="s">
        <v>44</v>
      </c>
      <c r="U977" t="s">
        <v>79</v>
      </c>
      <c r="V977" t="s">
        <v>39</v>
      </c>
      <c r="W977" s="2">
        <v>45527</v>
      </c>
      <c r="X977" s="4">
        <f ca="1">TODAY()-DATASET[[#This Row],[Time_of_Purchase]]</f>
        <v>607</v>
      </c>
      <c r="Y977" t="b">
        <v>1</v>
      </c>
      <c r="Z977" t="b">
        <v>1</v>
      </c>
      <c r="AA977" t="s">
        <v>40</v>
      </c>
      <c r="AB977" t="s">
        <v>67</v>
      </c>
      <c r="AC977">
        <v>10</v>
      </c>
    </row>
    <row r="978" spans="1:29" x14ac:dyDescent="0.25">
      <c r="A978" t="s">
        <v>2015</v>
      </c>
      <c r="B978">
        <v>30</v>
      </c>
      <c r="C978" t="s">
        <v>43</v>
      </c>
      <c r="D978" t="s">
        <v>30</v>
      </c>
      <c r="E978" t="s">
        <v>76</v>
      </c>
      <c r="F978" t="s">
        <v>32</v>
      </c>
      <c r="G978" t="s">
        <v>30</v>
      </c>
      <c r="H978" t="s">
        <v>2016</v>
      </c>
      <c r="I978" t="s">
        <v>126</v>
      </c>
      <c r="J978" s="1">
        <v>431.78</v>
      </c>
      <c r="K978">
        <v>12</v>
      </c>
      <c r="L978" t="s">
        <v>78</v>
      </c>
      <c r="M978">
        <v>1</v>
      </c>
      <c r="N978">
        <v>3</v>
      </c>
      <c r="O978">
        <v>1</v>
      </c>
      <c r="P978" t="s">
        <v>49</v>
      </c>
      <c r="Q978" t="s">
        <v>85</v>
      </c>
      <c r="R978">
        <v>1</v>
      </c>
      <c r="S978">
        <v>8</v>
      </c>
      <c r="T978" t="s">
        <v>59</v>
      </c>
      <c r="U978" t="s">
        <v>60</v>
      </c>
      <c r="V978" t="s">
        <v>51</v>
      </c>
      <c r="W978" s="2">
        <v>45337</v>
      </c>
      <c r="X978" s="4">
        <f ca="1">TODAY()-DATASET[[#This Row],[Time_of_Purchase]]</f>
        <v>797</v>
      </c>
      <c r="Y978" t="b">
        <v>1</v>
      </c>
      <c r="Z978" t="b">
        <v>0</v>
      </c>
      <c r="AA978" t="s">
        <v>62</v>
      </c>
      <c r="AB978" t="s">
        <v>41</v>
      </c>
      <c r="AC978">
        <v>7</v>
      </c>
    </row>
    <row r="979" spans="1:29" x14ac:dyDescent="0.25">
      <c r="A979" t="s">
        <v>2017</v>
      </c>
      <c r="B979">
        <v>37</v>
      </c>
      <c r="C979" t="s">
        <v>29</v>
      </c>
      <c r="D979" t="s">
        <v>30</v>
      </c>
      <c r="E979" t="s">
        <v>31</v>
      </c>
      <c r="F979" t="s">
        <v>56</v>
      </c>
      <c r="G979" t="s">
        <v>44</v>
      </c>
      <c r="H979" t="s">
        <v>2018</v>
      </c>
      <c r="I979" t="s">
        <v>246</v>
      </c>
      <c r="J979" s="1">
        <v>303.08999999999997</v>
      </c>
      <c r="K979">
        <v>2</v>
      </c>
      <c r="L979" t="s">
        <v>78</v>
      </c>
      <c r="M979">
        <v>2</v>
      </c>
      <c r="N979">
        <v>5</v>
      </c>
      <c r="O979">
        <v>1</v>
      </c>
      <c r="P979" t="s">
        <v>36</v>
      </c>
      <c r="Q979" t="s">
        <v>85</v>
      </c>
      <c r="R979">
        <v>2</v>
      </c>
      <c r="S979">
        <v>9</v>
      </c>
      <c r="T979" t="s">
        <v>36</v>
      </c>
      <c r="U979" t="s">
        <v>38</v>
      </c>
      <c r="V979" t="s">
        <v>66</v>
      </c>
      <c r="W979" s="2">
        <v>45301</v>
      </c>
      <c r="X979" s="4">
        <f ca="1">TODAY()-DATASET[[#This Row],[Time_of_Purchase]]</f>
        <v>833</v>
      </c>
      <c r="Y979" t="b">
        <v>0</v>
      </c>
      <c r="Z979" t="b">
        <v>0</v>
      </c>
      <c r="AA979" t="s">
        <v>62</v>
      </c>
      <c r="AB979" t="s">
        <v>41</v>
      </c>
      <c r="AC979">
        <v>11</v>
      </c>
    </row>
    <row r="980" spans="1:29" x14ac:dyDescent="0.25">
      <c r="A980" t="s">
        <v>2019</v>
      </c>
      <c r="B980">
        <v>40</v>
      </c>
      <c r="C980" t="s">
        <v>43</v>
      </c>
      <c r="D980" t="s">
        <v>44</v>
      </c>
      <c r="E980" t="s">
        <v>31</v>
      </c>
      <c r="F980" t="s">
        <v>32</v>
      </c>
      <c r="G980" t="s">
        <v>44</v>
      </c>
      <c r="H980" t="s">
        <v>2020</v>
      </c>
      <c r="I980" t="s">
        <v>194</v>
      </c>
      <c r="J980" s="1">
        <v>341.24</v>
      </c>
      <c r="K980">
        <v>9</v>
      </c>
      <c r="L980" t="s">
        <v>35</v>
      </c>
      <c r="M980">
        <v>5</v>
      </c>
      <c r="N980">
        <v>5</v>
      </c>
      <c r="O980">
        <v>2</v>
      </c>
      <c r="P980" t="s">
        <v>59</v>
      </c>
      <c r="Q980" t="s">
        <v>37</v>
      </c>
      <c r="R980">
        <v>1</v>
      </c>
      <c r="S980">
        <v>3</v>
      </c>
      <c r="T980" t="s">
        <v>36</v>
      </c>
      <c r="U980" t="s">
        <v>38</v>
      </c>
      <c r="V980" t="s">
        <v>39</v>
      </c>
      <c r="W980" s="2">
        <v>45614</v>
      </c>
      <c r="X980" s="4">
        <f ca="1">TODAY()-DATASET[[#This Row],[Time_of_Purchase]]</f>
        <v>520</v>
      </c>
      <c r="Y980" t="b">
        <v>1</v>
      </c>
      <c r="Z980" t="b">
        <v>0</v>
      </c>
      <c r="AA980" t="s">
        <v>40</v>
      </c>
      <c r="AB980" t="s">
        <v>53</v>
      </c>
      <c r="AC980">
        <v>4</v>
      </c>
    </row>
    <row r="981" spans="1:29" x14ac:dyDescent="0.25">
      <c r="A981" t="s">
        <v>2021</v>
      </c>
      <c r="B981">
        <v>30</v>
      </c>
      <c r="C981" t="s">
        <v>29</v>
      </c>
      <c r="D981" t="s">
        <v>30</v>
      </c>
      <c r="E981" t="s">
        <v>76</v>
      </c>
      <c r="F981" t="s">
        <v>56</v>
      </c>
      <c r="G981" t="s">
        <v>44</v>
      </c>
      <c r="H981" t="s">
        <v>2022</v>
      </c>
      <c r="I981" t="s">
        <v>117</v>
      </c>
      <c r="J981" s="1">
        <v>211.39</v>
      </c>
      <c r="K981">
        <v>10</v>
      </c>
      <c r="L981" t="s">
        <v>78</v>
      </c>
      <c r="M981">
        <v>4</v>
      </c>
      <c r="N981">
        <v>5</v>
      </c>
      <c r="O981">
        <v>1</v>
      </c>
      <c r="P981" t="s">
        <v>49</v>
      </c>
      <c r="Q981" t="s">
        <v>50</v>
      </c>
      <c r="R981">
        <v>0</v>
      </c>
      <c r="S981">
        <v>1</v>
      </c>
      <c r="T981" t="s">
        <v>59</v>
      </c>
      <c r="U981" t="s">
        <v>79</v>
      </c>
      <c r="V981" t="s">
        <v>66</v>
      </c>
      <c r="W981" s="2">
        <v>45422</v>
      </c>
      <c r="X981" s="4">
        <f ca="1">TODAY()-DATASET[[#This Row],[Time_of_Purchase]]</f>
        <v>712</v>
      </c>
      <c r="Y981" t="b">
        <v>1</v>
      </c>
      <c r="Z981" t="b">
        <v>0</v>
      </c>
      <c r="AA981" t="s">
        <v>74</v>
      </c>
      <c r="AB981" t="s">
        <v>67</v>
      </c>
      <c r="AC981">
        <v>1</v>
      </c>
    </row>
    <row r="982" spans="1:29" x14ac:dyDescent="0.25">
      <c r="A982" t="s">
        <v>2023</v>
      </c>
      <c r="B982">
        <v>39</v>
      </c>
      <c r="C982" t="s">
        <v>29</v>
      </c>
      <c r="D982" t="s">
        <v>30</v>
      </c>
      <c r="E982" t="s">
        <v>31</v>
      </c>
      <c r="F982" t="s">
        <v>32</v>
      </c>
      <c r="G982" t="s">
        <v>30</v>
      </c>
      <c r="H982" t="s">
        <v>1328</v>
      </c>
      <c r="I982" t="s">
        <v>117</v>
      </c>
      <c r="J982" s="1">
        <v>379.21</v>
      </c>
      <c r="K982">
        <v>9</v>
      </c>
      <c r="L982" t="s">
        <v>35</v>
      </c>
      <c r="M982">
        <v>1</v>
      </c>
      <c r="N982">
        <v>5</v>
      </c>
      <c r="O982">
        <v>1</v>
      </c>
      <c r="P982" t="s">
        <v>59</v>
      </c>
      <c r="Q982" t="s">
        <v>37</v>
      </c>
      <c r="R982">
        <v>1</v>
      </c>
      <c r="S982">
        <v>1</v>
      </c>
      <c r="T982" t="s">
        <v>44</v>
      </c>
      <c r="U982" t="s">
        <v>60</v>
      </c>
      <c r="V982" t="s">
        <v>51</v>
      </c>
      <c r="W982" s="2">
        <v>45553</v>
      </c>
      <c r="X982" s="4">
        <f ca="1">TODAY()-DATASET[[#This Row],[Time_of_Purchase]]</f>
        <v>581</v>
      </c>
      <c r="Y982" t="b">
        <v>1</v>
      </c>
      <c r="Z982" t="b">
        <v>1</v>
      </c>
      <c r="AA982" t="s">
        <v>62</v>
      </c>
      <c r="AB982" t="s">
        <v>41</v>
      </c>
      <c r="AC982">
        <v>1</v>
      </c>
    </row>
    <row r="983" spans="1:29" x14ac:dyDescent="0.25">
      <c r="A983" t="s">
        <v>2024</v>
      </c>
      <c r="B983">
        <v>46</v>
      </c>
      <c r="C983" t="s">
        <v>29</v>
      </c>
      <c r="D983" t="s">
        <v>44</v>
      </c>
      <c r="E983" t="s">
        <v>69</v>
      </c>
      <c r="F983" t="s">
        <v>56</v>
      </c>
      <c r="G983" t="s">
        <v>44</v>
      </c>
      <c r="H983" t="s">
        <v>2025</v>
      </c>
      <c r="I983" t="s">
        <v>93</v>
      </c>
      <c r="J983" s="1">
        <v>309.52999999999997</v>
      </c>
      <c r="K983">
        <v>8</v>
      </c>
      <c r="L983" t="s">
        <v>35</v>
      </c>
      <c r="M983">
        <v>2</v>
      </c>
      <c r="N983">
        <v>1</v>
      </c>
      <c r="O983">
        <v>1</v>
      </c>
      <c r="P983" t="s">
        <v>36</v>
      </c>
      <c r="Q983" t="s">
        <v>85</v>
      </c>
      <c r="R983">
        <v>2</v>
      </c>
      <c r="S983">
        <v>6</v>
      </c>
      <c r="T983" t="s">
        <v>36</v>
      </c>
      <c r="U983" t="s">
        <v>60</v>
      </c>
      <c r="V983" t="s">
        <v>86</v>
      </c>
      <c r="W983" s="2">
        <v>45396</v>
      </c>
      <c r="X983" s="4">
        <f ca="1">TODAY()-DATASET[[#This Row],[Time_of_Purchase]]</f>
        <v>738</v>
      </c>
      <c r="Y983" t="b">
        <v>0</v>
      </c>
      <c r="Z983" t="b">
        <v>1</v>
      </c>
      <c r="AA983" t="s">
        <v>74</v>
      </c>
      <c r="AB983" t="s">
        <v>53</v>
      </c>
      <c r="AC983">
        <v>5</v>
      </c>
    </row>
    <row r="984" spans="1:29" x14ac:dyDescent="0.25">
      <c r="A984" t="s">
        <v>2026</v>
      </c>
      <c r="B984">
        <v>48</v>
      </c>
      <c r="C984" t="s">
        <v>43</v>
      </c>
      <c r="D984" t="s">
        <v>30</v>
      </c>
      <c r="E984" t="s">
        <v>76</v>
      </c>
      <c r="F984" t="s">
        <v>56</v>
      </c>
      <c r="G984" t="s">
        <v>44</v>
      </c>
      <c r="H984" t="s">
        <v>2027</v>
      </c>
      <c r="I984" t="s">
        <v>82</v>
      </c>
      <c r="J984" s="1">
        <v>359.45</v>
      </c>
      <c r="K984">
        <v>6</v>
      </c>
      <c r="L984" t="s">
        <v>78</v>
      </c>
      <c r="M984">
        <v>4</v>
      </c>
      <c r="N984">
        <v>1</v>
      </c>
      <c r="O984">
        <v>2</v>
      </c>
      <c r="P984" t="s">
        <v>59</v>
      </c>
      <c r="Q984" t="s">
        <v>50</v>
      </c>
      <c r="R984">
        <v>1</v>
      </c>
      <c r="S984">
        <v>8</v>
      </c>
      <c r="T984" t="s">
        <v>49</v>
      </c>
      <c r="U984" t="s">
        <v>79</v>
      </c>
      <c r="V984" t="s">
        <v>66</v>
      </c>
      <c r="W984" s="2">
        <v>45357</v>
      </c>
      <c r="X984" s="4">
        <f ca="1">TODAY()-DATASET[[#This Row],[Time_of_Purchase]]</f>
        <v>777</v>
      </c>
      <c r="Y984" t="b">
        <v>0</v>
      </c>
      <c r="Z984" t="b">
        <v>0</v>
      </c>
      <c r="AA984" t="s">
        <v>62</v>
      </c>
      <c r="AB984" t="s">
        <v>53</v>
      </c>
      <c r="AC984">
        <v>11</v>
      </c>
    </row>
    <row r="985" spans="1:29" x14ac:dyDescent="0.25">
      <c r="A985" t="s">
        <v>2028</v>
      </c>
      <c r="B985">
        <v>20</v>
      </c>
      <c r="C985" t="s">
        <v>29</v>
      </c>
      <c r="D985" t="s">
        <v>44</v>
      </c>
      <c r="E985" t="s">
        <v>69</v>
      </c>
      <c r="F985" t="s">
        <v>45</v>
      </c>
      <c r="G985" t="s">
        <v>30</v>
      </c>
      <c r="H985" t="s">
        <v>2029</v>
      </c>
      <c r="I985" t="s">
        <v>107</v>
      </c>
      <c r="J985" s="1">
        <v>479.62</v>
      </c>
      <c r="K985">
        <v>8</v>
      </c>
      <c r="L985" t="s">
        <v>48</v>
      </c>
      <c r="M985">
        <v>3</v>
      </c>
      <c r="N985">
        <v>1</v>
      </c>
      <c r="O985">
        <v>2</v>
      </c>
      <c r="P985" t="s">
        <v>44</v>
      </c>
      <c r="Q985" t="s">
        <v>50</v>
      </c>
      <c r="R985">
        <v>1</v>
      </c>
      <c r="S985">
        <v>3</v>
      </c>
      <c r="T985" t="s">
        <v>59</v>
      </c>
      <c r="U985" t="s">
        <v>38</v>
      </c>
      <c r="V985" t="s">
        <v>66</v>
      </c>
      <c r="W985" s="2">
        <v>45401</v>
      </c>
      <c r="X985" s="4">
        <f ca="1">TODAY()-DATASET[[#This Row],[Time_of_Purchase]]</f>
        <v>733</v>
      </c>
      <c r="Y985" t="b">
        <v>0</v>
      </c>
      <c r="Z985" t="b">
        <v>0</v>
      </c>
      <c r="AA985" t="s">
        <v>74</v>
      </c>
      <c r="AB985" t="s">
        <v>67</v>
      </c>
      <c r="AC985">
        <v>10</v>
      </c>
    </row>
    <row r="986" spans="1:29" x14ac:dyDescent="0.25">
      <c r="A986" t="s">
        <v>2030</v>
      </c>
      <c r="B986">
        <v>34</v>
      </c>
      <c r="C986" t="s">
        <v>43</v>
      </c>
      <c r="D986" t="s">
        <v>44</v>
      </c>
      <c r="E986" t="s">
        <v>31</v>
      </c>
      <c r="F986" t="s">
        <v>32</v>
      </c>
      <c r="G986" t="s">
        <v>30</v>
      </c>
      <c r="H986" t="s">
        <v>2031</v>
      </c>
      <c r="I986" t="s">
        <v>117</v>
      </c>
      <c r="J986" s="1">
        <v>208.6</v>
      </c>
      <c r="K986">
        <v>2</v>
      </c>
      <c r="L986" t="s">
        <v>35</v>
      </c>
      <c r="M986">
        <v>5</v>
      </c>
      <c r="N986">
        <v>1</v>
      </c>
      <c r="O986">
        <v>2</v>
      </c>
      <c r="P986" t="s">
        <v>36</v>
      </c>
      <c r="Q986" t="s">
        <v>37</v>
      </c>
      <c r="R986">
        <v>0</v>
      </c>
      <c r="S986">
        <v>5</v>
      </c>
      <c r="T986" t="s">
        <v>44</v>
      </c>
      <c r="U986" t="s">
        <v>60</v>
      </c>
      <c r="V986" t="s">
        <v>39</v>
      </c>
      <c r="W986" s="2">
        <v>45351</v>
      </c>
      <c r="X986" s="4">
        <f ca="1">TODAY()-DATASET[[#This Row],[Time_of_Purchase]]</f>
        <v>783</v>
      </c>
      <c r="Y986" t="b">
        <v>1</v>
      </c>
      <c r="Z986" t="b">
        <v>1</v>
      </c>
      <c r="AA986" t="s">
        <v>62</v>
      </c>
      <c r="AB986" t="s">
        <v>53</v>
      </c>
      <c r="AC986">
        <v>3</v>
      </c>
    </row>
    <row r="987" spans="1:29" x14ac:dyDescent="0.25">
      <c r="A987" t="s">
        <v>2032</v>
      </c>
      <c r="B987">
        <v>50</v>
      </c>
      <c r="C987" t="s">
        <v>29</v>
      </c>
      <c r="D987" t="s">
        <v>30</v>
      </c>
      <c r="E987" t="s">
        <v>55</v>
      </c>
      <c r="F987" t="s">
        <v>56</v>
      </c>
      <c r="G987" t="s">
        <v>44</v>
      </c>
      <c r="H987" t="s">
        <v>2033</v>
      </c>
      <c r="I987" t="s">
        <v>120</v>
      </c>
      <c r="J987" s="1">
        <v>180.21</v>
      </c>
      <c r="K987">
        <v>2</v>
      </c>
      <c r="L987" t="s">
        <v>35</v>
      </c>
      <c r="M987">
        <v>5</v>
      </c>
      <c r="N987">
        <v>5</v>
      </c>
      <c r="O987">
        <v>0</v>
      </c>
      <c r="P987" t="s">
        <v>36</v>
      </c>
      <c r="Q987" t="s">
        <v>85</v>
      </c>
      <c r="R987">
        <v>1</v>
      </c>
      <c r="S987">
        <v>1</v>
      </c>
      <c r="T987" t="s">
        <v>49</v>
      </c>
      <c r="U987" t="s">
        <v>79</v>
      </c>
      <c r="V987" t="s">
        <v>86</v>
      </c>
      <c r="W987" s="2">
        <v>45313</v>
      </c>
      <c r="X987" s="4">
        <f ca="1">TODAY()-DATASET[[#This Row],[Time_of_Purchase]]</f>
        <v>821</v>
      </c>
      <c r="Y987" t="b">
        <v>0</v>
      </c>
      <c r="Z987" t="b">
        <v>1</v>
      </c>
      <c r="AA987" t="s">
        <v>40</v>
      </c>
      <c r="AB987" t="s">
        <v>67</v>
      </c>
      <c r="AC987">
        <v>14</v>
      </c>
    </row>
    <row r="988" spans="1:29" x14ac:dyDescent="0.25">
      <c r="A988" t="s">
        <v>2034</v>
      </c>
      <c r="B988">
        <v>25</v>
      </c>
      <c r="C988" t="s">
        <v>43</v>
      </c>
      <c r="D988" t="s">
        <v>30</v>
      </c>
      <c r="E988" t="s">
        <v>55</v>
      </c>
      <c r="F988" t="s">
        <v>45</v>
      </c>
      <c r="G988" t="s">
        <v>44</v>
      </c>
      <c r="H988" t="s">
        <v>2035</v>
      </c>
      <c r="I988" t="s">
        <v>117</v>
      </c>
      <c r="J988" s="1">
        <v>197.9</v>
      </c>
      <c r="K988">
        <v>3</v>
      </c>
      <c r="L988" t="s">
        <v>35</v>
      </c>
      <c r="M988">
        <v>2</v>
      </c>
      <c r="N988">
        <v>1</v>
      </c>
      <c r="O988">
        <v>2</v>
      </c>
      <c r="P988" t="s">
        <v>49</v>
      </c>
      <c r="Q988" t="s">
        <v>50</v>
      </c>
      <c r="R988">
        <v>0</v>
      </c>
      <c r="S988">
        <v>8</v>
      </c>
      <c r="T988" t="s">
        <v>44</v>
      </c>
      <c r="U988" t="s">
        <v>79</v>
      </c>
      <c r="V988" t="s">
        <v>61</v>
      </c>
      <c r="W988" s="2">
        <v>45309</v>
      </c>
      <c r="X988" s="4">
        <f ca="1">TODAY()-DATASET[[#This Row],[Time_of_Purchase]]</f>
        <v>825</v>
      </c>
      <c r="Y988" t="b">
        <v>1</v>
      </c>
      <c r="Z988" t="b">
        <v>1</v>
      </c>
      <c r="AA988" t="s">
        <v>52</v>
      </c>
      <c r="AB988" t="s">
        <v>53</v>
      </c>
      <c r="AC988">
        <v>14</v>
      </c>
    </row>
    <row r="989" spans="1:29" x14ac:dyDescent="0.25">
      <c r="A989" t="s">
        <v>2036</v>
      </c>
      <c r="B989">
        <v>49</v>
      </c>
      <c r="C989" t="s">
        <v>43</v>
      </c>
      <c r="D989" t="s">
        <v>30</v>
      </c>
      <c r="E989" t="s">
        <v>55</v>
      </c>
      <c r="F989" t="s">
        <v>32</v>
      </c>
      <c r="G989" t="s">
        <v>44</v>
      </c>
      <c r="H989" t="s">
        <v>2037</v>
      </c>
      <c r="I989" t="s">
        <v>65</v>
      </c>
      <c r="J989" s="1">
        <v>362.3</v>
      </c>
      <c r="K989">
        <v>7</v>
      </c>
      <c r="L989" t="s">
        <v>78</v>
      </c>
      <c r="M989">
        <v>4</v>
      </c>
      <c r="N989">
        <v>2</v>
      </c>
      <c r="O989">
        <v>0.2</v>
      </c>
      <c r="P989" t="s">
        <v>59</v>
      </c>
      <c r="Q989" t="s">
        <v>50</v>
      </c>
      <c r="R989">
        <v>0</v>
      </c>
      <c r="S989">
        <v>4</v>
      </c>
      <c r="T989" t="s">
        <v>59</v>
      </c>
      <c r="U989" t="s">
        <v>38</v>
      </c>
      <c r="V989" t="s">
        <v>66</v>
      </c>
      <c r="W989" s="2">
        <v>45565</v>
      </c>
      <c r="X989" s="4">
        <f ca="1">TODAY()-DATASET[[#This Row],[Time_of_Purchase]]</f>
        <v>569</v>
      </c>
      <c r="Y989" t="b">
        <v>1</v>
      </c>
      <c r="Z989" t="b">
        <v>1</v>
      </c>
      <c r="AA989" t="s">
        <v>74</v>
      </c>
      <c r="AB989" t="s">
        <v>53</v>
      </c>
      <c r="AC989">
        <v>6</v>
      </c>
    </row>
    <row r="990" spans="1:29" x14ac:dyDescent="0.25">
      <c r="A990" t="s">
        <v>2038</v>
      </c>
      <c r="B990">
        <v>25</v>
      </c>
      <c r="C990" t="s">
        <v>29</v>
      </c>
      <c r="D990" t="s">
        <v>44</v>
      </c>
      <c r="E990" t="s">
        <v>76</v>
      </c>
      <c r="F990" t="s">
        <v>32</v>
      </c>
      <c r="G990" t="s">
        <v>44</v>
      </c>
      <c r="H990" t="s">
        <v>2039</v>
      </c>
      <c r="I990" t="s">
        <v>142</v>
      </c>
      <c r="J990" s="1">
        <v>159.53</v>
      </c>
      <c r="K990">
        <v>11</v>
      </c>
      <c r="L990" t="s">
        <v>35</v>
      </c>
      <c r="M990">
        <v>3</v>
      </c>
      <c r="N990">
        <v>4</v>
      </c>
      <c r="O990">
        <v>2</v>
      </c>
      <c r="P990" t="s">
        <v>59</v>
      </c>
      <c r="Q990" t="s">
        <v>85</v>
      </c>
      <c r="R990">
        <v>0</v>
      </c>
      <c r="S990">
        <v>3</v>
      </c>
      <c r="T990" t="s">
        <v>59</v>
      </c>
      <c r="U990" t="s">
        <v>79</v>
      </c>
      <c r="V990" t="s">
        <v>86</v>
      </c>
      <c r="W990" s="2">
        <v>45409</v>
      </c>
      <c r="X990" s="4">
        <f ca="1">TODAY()-DATASET[[#This Row],[Time_of_Purchase]]</f>
        <v>725</v>
      </c>
      <c r="Y990" t="b">
        <v>1</v>
      </c>
      <c r="Z990" t="b">
        <v>1</v>
      </c>
      <c r="AA990" t="s">
        <v>62</v>
      </c>
      <c r="AB990" t="s">
        <v>67</v>
      </c>
      <c r="AC990">
        <v>7</v>
      </c>
    </row>
    <row r="991" spans="1:29" x14ac:dyDescent="0.25">
      <c r="A991" t="s">
        <v>2040</v>
      </c>
      <c r="B991">
        <v>40</v>
      </c>
      <c r="C991" t="s">
        <v>29</v>
      </c>
      <c r="D991" t="s">
        <v>44</v>
      </c>
      <c r="E991" t="s">
        <v>69</v>
      </c>
      <c r="F991" t="s">
        <v>45</v>
      </c>
      <c r="G991" t="s">
        <v>44</v>
      </c>
      <c r="H991" t="s">
        <v>2041</v>
      </c>
      <c r="I991" t="s">
        <v>246</v>
      </c>
      <c r="J991" s="1">
        <v>149.52000000000001</v>
      </c>
      <c r="K991">
        <v>9</v>
      </c>
      <c r="L991" t="s">
        <v>48</v>
      </c>
      <c r="M991">
        <v>2</v>
      </c>
      <c r="N991">
        <v>5</v>
      </c>
      <c r="O991">
        <v>1</v>
      </c>
      <c r="P991" t="s">
        <v>36</v>
      </c>
      <c r="Q991" t="s">
        <v>37</v>
      </c>
      <c r="R991">
        <v>0</v>
      </c>
      <c r="S991">
        <v>6</v>
      </c>
      <c r="T991" t="s">
        <v>36</v>
      </c>
      <c r="U991" t="s">
        <v>60</v>
      </c>
      <c r="V991" t="s">
        <v>86</v>
      </c>
      <c r="W991" s="2">
        <v>45361</v>
      </c>
      <c r="X991" s="4">
        <f ca="1">TODAY()-DATASET[[#This Row],[Time_of_Purchase]]</f>
        <v>773</v>
      </c>
      <c r="Y991" t="b">
        <v>0</v>
      </c>
      <c r="Z991" t="b">
        <v>0</v>
      </c>
      <c r="AA991" t="s">
        <v>52</v>
      </c>
      <c r="AB991" t="s">
        <v>41</v>
      </c>
      <c r="AC991">
        <v>8</v>
      </c>
    </row>
    <row r="992" spans="1:29" x14ac:dyDescent="0.25">
      <c r="A992" t="s">
        <v>2042</v>
      </c>
      <c r="B992">
        <v>19</v>
      </c>
      <c r="C992" t="s">
        <v>29</v>
      </c>
      <c r="D992" t="s">
        <v>44</v>
      </c>
      <c r="E992" t="s">
        <v>69</v>
      </c>
      <c r="F992" t="s">
        <v>32</v>
      </c>
      <c r="G992" t="s">
        <v>44</v>
      </c>
      <c r="H992" t="s">
        <v>2043</v>
      </c>
      <c r="I992" t="s">
        <v>126</v>
      </c>
      <c r="J992" s="1">
        <v>206.32</v>
      </c>
      <c r="K992">
        <v>5</v>
      </c>
      <c r="L992" t="s">
        <v>78</v>
      </c>
      <c r="M992">
        <v>3</v>
      </c>
      <c r="N992">
        <v>3</v>
      </c>
      <c r="O992">
        <v>1</v>
      </c>
      <c r="P992" t="s">
        <v>59</v>
      </c>
      <c r="Q992" t="s">
        <v>50</v>
      </c>
      <c r="R992">
        <v>0</v>
      </c>
      <c r="S992">
        <v>4</v>
      </c>
      <c r="T992" t="s">
        <v>36</v>
      </c>
      <c r="U992" t="s">
        <v>79</v>
      </c>
      <c r="V992" t="s">
        <v>51</v>
      </c>
      <c r="W992" s="2">
        <v>45577</v>
      </c>
      <c r="X992" s="4">
        <f ca="1">TODAY()-DATASET[[#This Row],[Time_of_Purchase]]</f>
        <v>557</v>
      </c>
      <c r="Y992" t="b">
        <v>1</v>
      </c>
      <c r="Z992" t="b">
        <v>0</v>
      </c>
      <c r="AA992" t="s">
        <v>52</v>
      </c>
      <c r="AB992" t="s">
        <v>67</v>
      </c>
      <c r="AC992">
        <v>12</v>
      </c>
    </row>
    <row r="993" spans="1:29" x14ac:dyDescent="0.25">
      <c r="A993" t="s">
        <v>2044</v>
      </c>
      <c r="B993">
        <v>40</v>
      </c>
      <c r="C993" t="s">
        <v>88</v>
      </c>
      <c r="D993" t="s">
        <v>44</v>
      </c>
      <c r="E993" t="s">
        <v>55</v>
      </c>
      <c r="F993" t="s">
        <v>32</v>
      </c>
      <c r="G993" t="s">
        <v>44</v>
      </c>
      <c r="H993" t="s">
        <v>2045</v>
      </c>
      <c r="I993" t="s">
        <v>123</v>
      </c>
      <c r="J993" s="1">
        <v>308.58</v>
      </c>
      <c r="K993">
        <v>11</v>
      </c>
      <c r="L993" t="s">
        <v>78</v>
      </c>
      <c r="M993">
        <v>2</v>
      </c>
      <c r="N993">
        <v>5</v>
      </c>
      <c r="O993">
        <v>2</v>
      </c>
      <c r="P993" t="s">
        <v>49</v>
      </c>
      <c r="Q993" t="s">
        <v>50</v>
      </c>
      <c r="R993">
        <v>0</v>
      </c>
      <c r="S993">
        <v>7</v>
      </c>
      <c r="T993" t="s">
        <v>49</v>
      </c>
      <c r="U993" t="s">
        <v>60</v>
      </c>
      <c r="V993" t="s">
        <v>61</v>
      </c>
      <c r="W993" s="2">
        <v>45433</v>
      </c>
      <c r="X993" s="4">
        <f ca="1">TODAY()-DATASET[[#This Row],[Time_of_Purchase]]</f>
        <v>701</v>
      </c>
      <c r="Y993" t="b">
        <v>0</v>
      </c>
      <c r="Z993" t="b">
        <v>1</v>
      </c>
      <c r="AA993" t="s">
        <v>40</v>
      </c>
      <c r="AB993" t="s">
        <v>67</v>
      </c>
      <c r="AC993">
        <v>12</v>
      </c>
    </row>
    <row r="994" spans="1:29" x14ac:dyDescent="0.25">
      <c r="A994" t="s">
        <v>2046</v>
      </c>
      <c r="B994">
        <v>22</v>
      </c>
      <c r="C994" t="s">
        <v>29</v>
      </c>
      <c r="D994" t="s">
        <v>44</v>
      </c>
      <c r="E994" t="s">
        <v>55</v>
      </c>
      <c r="F994" t="s">
        <v>45</v>
      </c>
      <c r="G994" t="s">
        <v>30</v>
      </c>
      <c r="H994" t="s">
        <v>2047</v>
      </c>
      <c r="I994" t="s">
        <v>158</v>
      </c>
      <c r="J994" s="1">
        <v>91.34</v>
      </c>
      <c r="K994">
        <v>5</v>
      </c>
      <c r="L994" t="s">
        <v>78</v>
      </c>
      <c r="M994">
        <v>2</v>
      </c>
      <c r="N994">
        <v>1</v>
      </c>
      <c r="O994">
        <v>1</v>
      </c>
      <c r="P994" t="s">
        <v>36</v>
      </c>
      <c r="Q994" t="s">
        <v>50</v>
      </c>
      <c r="R994">
        <v>0</v>
      </c>
      <c r="S994">
        <v>1</v>
      </c>
      <c r="T994" t="s">
        <v>36</v>
      </c>
      <c r="U994" t="s">
        <v>60</v>
      </c>
      <c r="V994" t="s">
        <v>61</v>
      </c>
      <c r="W994" s="2">
        <v>45301</v>
      </c>
      <c r="X994" s="4">
        <f ca="1">TODAY()-DATASET[[#This Row],[Time_of_Purchase]]</f>
        <v>833</v>
      </c>
      <c r="Y994" t="b">
        <v>1</v>
      </c>
      <c r="Z994" t="b">
        <v>1</v>
      </c>
      <c r="AA994" t="s">
        <v>62</v>
      </c>
      <c r="AB994" t="s">
        <v>67</v>
      </c>
      <c r="AC994">
        <v>6</v>
      </c>
    </row>
    <row r="995" spans="1:29" x14ac:dyDescent="0.25">
      <c r="A995" t="s">
        <v>2048</v>
      </c>
      <c r="B995">
        <v>25</v>
      </c>
      <c r="C995" t="s">
        <v>29</v>
      </c>
      <c r="D995" t="s">
        <v>44</v>
      </c>
      <c r="E995" t="s">
        <v>76</v>
      </c>
      <c r="F995" t="s">
        <v>45</v>
      </c>
      <c r="G995" t="s">
        <v>30</v>
      </c>
      <c r="H995" t="s">
        <v>2049</v>
      </c>
      <c r="I995" t="s">
        <v>98</v>
      </c>
      <c r="J995" s="1">
        <v>455.44</v>
      </c>
      <c r="K995">
        <v>7</v>
      </c>
      <c r="L995" t="s">
        <v>35</v>
      </c>
      <c r="M995">
        <v>4</v>
      </c>
      <c r="N995">
        <v>2</v>
      </c>
      <c r="O995">
        <v>1</v>
      </c>
      <c r="P995" t="s">
        <v>59</v>
      </c>
      <c r="Q995" t="s">
        <v>85</v>
      </c>
      <c r="R995">
        <v>2</v>
      </c>
      <c r="S995">
        <v>3</v>
      </c>
      <c r="T995" t="s">
        <v>59</v>
      </c>
      <c r="U995" t="s">
        <v>60</v>
      </c>
      <c r="V995" t="s">
        <v>66</v>
      </c>
      <c r="W995" s="2">
        <v>45419</v>
      </c>
      <c r="X995" s="4">
        <f ca="1">TODAY()-DATASET[[#This Row],[Time_of_Purchase]]</f>
        <v>715</v>
      </c>
      <c r="Y995" t="b">
        <v>0</v>
      </c>
      <c r="Z995" t="b">
        <v>0</v>
      </c>
      <c r="AA995" t="s">
        <v>40</v>
      </c>
      <c r="AB995" t="s">
        <v>41</v>
      </c>
      <c r="AC995">
        <v>3</v>
      </c>
    </row>
    <row r="996" spans="1:29" x14ac:dyDescent="0.25">
      <c r="A996" t="s">
        <v>2050</v>
      </c>
      <c r="B996">
        <v>32</v>
      </c>
      <c r="C996" t="s">
        <v>29</v>
      </c>
      <c r="D996" t="s">
        <v>44</v>
      </c>
      <c r="E996" t="s">
        <v>76</v>
      </c>
      <c r="F996" t="s">
        <v>56</v>
      </c>
      <c r="G996" t="s">
        <v>30</v>
      </c>
      <c r="H996" t="s">
        <v>2051</v>
      </c>
      <c r="I996" t="s">
        <v>123</v>
      </c>
      <c r="J996" s="1">
        <v>468.16</v>
      </c>
      <c r="K996">
        <v>8</v>
      </c>
      <c r="L996" t="s">
        <v>78</v>
      </c>
      <c r="M996">
        <v>3</v>
      </c>
      <c r="N996">
        <v>5</v>
      </c>
      <c r="O996">
        <v>1</v>
      </c>
      <c r="P996" t="s">
        <v>59</v>
      </c>
      <c r="Q996" t="s">
        <v>37</v>
      </c>
      <c r="R996">
        <v>1</v>
      </c>
      <c r="S996">
        <v>5</v>
      </c>
      <c r="T996" t="s">
        <v>44</v>
      </c>
      <c r="U996" t="s">
        <v>79</v>
      </c>
      <c r="V996" t="s">
        <v>39</v>
      </c>
      <c r="W996" s="2">
        <v>45313</v>
      </c>
      <c r="X996" s="4">
        <f ca="1">TODAY()-DATASET[[#This Row],[Time_of_Purchase]]</f>
        <v>821</v>
      </c>
      <c r="Y996" t="b">
        <v>0</v>
      </c>
      <c r="Z996" t="b">
        <v>0</v>
      </c>
      <c r="AA996" t="s">
        <v>74</v>
      </c>
      <c r="AB996" t="s">
        <v>53</v>
      </c>
      <c r="AC996">
        <v>2</v>
      </c>
    </row>
    <row r="997" spans="1:29" x14ac:dyDescent="0.25">
      <c r="A997" t="s">
        <v>2052</v>
      </c>
      <c r="B997">
        <v>44</v>
      </c>
      <c r="C997" t="s">
        <v>29</v>
      </c>
      <c r="D997" t="s">
        <v>44</v>
      </c>
      <c r="E997" t="s">
        <v>76</v>
      </c>
      <c r="F997" t="s">
        <v>32</v>
      </c>
      <c r="G997" t="s">
        <v>44</v>
      </c>
      <c r="H997" t="s">
        <v>2053</v>
      </c>
      <c r="I997" t="s">
        <v>93</v>
      </c>
      <c r="J997" s="1">
        <v>463.67</v>
      </c>
      <c r="K997">
        <v>5</v>
      </c>
      <c r="L997" t="s">
        <v>78</v>
      </c>
      <c r="M997">
        <v>2</v>
      </c>
      <c r="N997">
        <v>4</v>
      </c>
      <c r="O997">
        <v>0.3</v>
      </c>
      <c r="P997" t="s">
        <v>44</v>
      </c>
      <c r="Q997" t="s">
        <v>50</v>
      </c>
      <c r="R997">
        <v>2</v>
      </c>
      <c r="S997">
        <v>4</v>
      </c>
      <c r="T997" t="s">
        <v>36</v>
      </c>
      <c r="U997" t="s">
        <v>38</v>
      </c>
      <c r="V997" t="s">
        <v>51</v>
      </c>
      <c r="W997" s="2">
        <v>45480</v>
      </c>
      <c r="X997" s="4">
        <f ca="1">TODAY()-DATASET[[#This Row],[Time_of_Purchase]]</f>
        <v>654</v>
      </c>
      <c r="Y997" t="b">
        <v>1</v>
      </c>
      <c r="Z997" t="b">
        <v>0</v>
      </c>
      <c r="AA997" t="s">
        <v>40</v>
      </c>
      <c r="AB997" t="s">
        <v>53</v>
      </c>
      <c r="AC997">
        <v>5</v>
      </c>
    </row>
    <row r="998" spans="1:29" x14ac:dyDescent="0.25">
      <c r="A998" t="s">
        <v>2054</v>
      </c>
      <c r="B998">
        <v>50</v>
      </c>
      <c r="C998" t="s">
        <v>29</v>
      </c>
      <c r="D998" t="s">
        <v>44</v>
      </c>
      <c r="E998" t="s">
        <v>55</v>
      </c>
      <c r="F998" t="s">
        <v>45</v>
      </c>
      <c r="G998" t="s">
        <v>30</v>
      </c>
      <c r="H998" t="s">
        <v>2055</v>
      </c>
      <c r="I998" t="s">
        <v>34</v>
      </c>
      <c r="J998" s="1">
        <v>69.78</v>
      </c>
      <c r="K998">
        <v>9</v>
      </c>
      <c r="L998" t="s">
        <v>35</v>
      </c>
      <c r="M998">
        <v>4</v>
      </c>
      <c r="N998">
        <v>3</v>
      </c>
      <c r="O998">
        <v>2</v>
      </c>
      <c r="P998" t="s">
        <v>59</v>
      </c>
      <c r="Q998" t="s">
        <v>85</v>
      </c>
      <c r="R998">
        <v>0</v>
      </c>
      <c r="S998">
        <v>6</v>
      </c>
      <c r="T998" t="s">
        <v>59</v>
      </c>
      <c r="U998" t="s">
        <v>38</v>
      </c>
      <c r="V998" t="s">
        <v>86</v>
      </c>
      <c r="W998" s="2">
        <v>45379</v>
      </c>
      <c r="X998" s="4">
        <f ca="1">TODAY()-DATASET[[#This Row],[Time_of_Purchase]]</f>
        <v>755</v>
      </c>
      <c r="Y998" t="b">
        <v>1</v>
      </c>
      <c r="Z998" t="b">
        <v>0</v>
      </c>
      <c r="AA998" t="s">
        <v>52</v>
      </c>
      <c r="AB998" t="s">
        <v>41</v>
      </c>
      <c r="AC998">
        <v>9</v>
      </c>
    </row>
    <row r="999" spans="1:29" x14ac:dyDescent="0.25">
      <c r="A999" t="s">
        <v>2056</v>
      </c>
      <c r="B999">
        <v>26</v>
      </c>
      <c r="C999" t="s">
        <v>43</v>
      </c>
      <c r="D999" t="s">
        <v>44</v>
      </c>
      <c r="E999" t="s">
        <v>31</v>
      </c>
      <c r="F999" t="s">
        <v>32</v>
      </c>
      <c r="G999" t="s">
        <v>44</v>
      </c>
      <c r="H999" t="s">
        <v>2057</v>
      </c>
      <c r="I999" t="s">
        <v>47</v>
      </c>
      <c r="J999" s="1">
        <v>453.37</v>
      </c>
      <c r="K999">
        <v>10</v>
      </c>
      <c r="L999" t="s">
        <v>35</v>
      </c>
      <c r="M999">
        <v>1</v>
      </c>
      <c r="N999">
        <v>1</v>
      </c>
      <c r="O999">
        <v>2</v>
      </c>
      <c r="P999" t="s">
        <v>59</v>
      </c>
      <c r="Q999" t="s">
        <v>85</v>
      </c>
      <c r="R999">
        <v>0</v>
      </c>
      <c r="S999">
        <v>6</v>
      </c>
      <c r="T999" t="s">
        <v>44</v>
      </c>
      <c r="U999" t="s">
        <v>79</v>
      </c>
      <c r="V999" t="s">
        <v>39</v>
      </c>
      <c r="W999" s="2">
        <v>45362</v>
      </c>
      <c r="X999" s="4">
        <f ca="1">TODAY()-DATASET[[#This Row],[Time_of_Purchase]]</f>
        <v>772</v>
      </c>
      <c r="Y999" t="b">
        <v>1</v>
      </c>
      <c r="Z999" t="b">
        <v>1</v>
      </c>
      <c r="AA999" t="s">
        <v>52</v>
      </c>
      <c r="AB999" t="s">
        <v>67</v>
      </c>
      <c r="AC999">
        <v>9</v>
      </c>
    </row>
    <row r="1000" spans="1:29" x14ac:dyDescent="0.25">
      <c r="A1000" t="s">
        <v>2058</v>
      </c>
      <c r="B1000">
        <v>21</v>
      </c>
      <c r="C1000" t="s">
        <v>29</v>
      </c>
      <c r="D1000" t="s">
        <v>44</v>
      </c>
      <c r="E1000" t="s">
        <v>69</v>
      </c>
      <c r="F1000" t="s">
        <v>32</v>
      </c>
      <c r="G1000" t="s">
        <v>30</v>
      </c>
      <c r="H1000" t="s">
        <v>2059</v>
      </c>
      <c r="I1000" t="s">
        <v>123</v>
      </c>
      <c r="J1000" s="1">
        <v>106.15</v>
      </c>
      <c r="K1000">
        <v>12</v>
      </c>
      <c r="L1000" t="s">
        <v>48</v>
      </c>
      <c r="M1000">
        <v>4</v>
      </c>
      <c r="N1000">
        <v>4</v>
      </c>
      <c r="O1000">
        <v>0.3</v>
      </c>
      <c r="P1000" t="s">
        <v>59</v>
      </c>
      <c r="Q1000" t="s">
        <v>37</v>
      </c>
      <c r="R1000">
        <v>0</v>
      </c>
      <c r="S1000">
        <v>5</v>
      </c>
      <c r="T1000" t="s">
        <v>49</v>
      </c>
      <c r="U1000" t="s">
        <v>79</v>
      </c>
      <c r="V1000" t="s">
        <v>86</v>
      </c>
      <c r="W1000" s="2">
        <v>45381</v>
      </c>
      <c r="X1000" s="4">
        <f ca="1">TODAY()-DATASET[[#This Row],[Time_of_Purchase]]</f>
        <v>753</v>
      </c>
      <c r="Y1000" t="b">
        <v>1</v>
      </c>
      <c r="Z1000" t="b">
        <v>1</v>
      </c>
      <c r="AA1000" t="s">
        <v>62</v>
      </c>
      <c r="AB1000" t="s">
        <v>53</v>
      </c>
      <c r="AC1000">
        <v>8</v>
      </c>
    </row>
    <row r="1001" spans="1:29" x14ac:dyDescent="0.25">
      <c r="A1001" t="s">
        <v>2060</v>
      </c>
      <c r="B1001">
        <v>21</v>
      </c>
      <c r="C1001" t="s">
        <v>29</v>
      </c>
      <c r="D1001" t="s">
        <v>30</v>
      </c>
      <c r="E1001" t="s">
        <v>55</v>
      </c>
      <c r="F1001" t="s">
        <v>45</v>
      </c>
      <c r="G1001" t="s">
        <v>44</v>
      </c>
      <c r="H1001" t="s">
        <v>2061</v>
      </c>
      <c r="I1001" t="s">
        <v>104</v>
      </c>
      <c r="J1001" s="1">
        <v>378.47</v>
      </c>
      <c r="K1001">
        <v>6</v>
      </c>
      <c r="L1001" t="s">
        <v>78</v>
      </c>
      <c r="M1001">
        <v>5</v>
      </c>
      <c r="N1001">
        <v>2</v>
      </c>
      <c r="O1001">
        <v>0.33</v>
      </c>
      <c r="P1001" t="s">
        <v>49</v>
      </c>
      <c r="Q1001" t="s">
        <v>50</v>
      </c>
      <c r="R1001">
        <v>1</v>
      </c>
      <c r="S1001">
        <v>10</v>
      </c>
      <c r="T1001" t="s">
        <v>59</v>
      </c>
      <c r="U1001" t="s">
        <v>38</v>
      </c>
      <c r="V1001" t="s">
        <v>66</v>
      </c>
      <c r="W1001" s="2">
        <v>45634</v>
      </c>
      <c r="X1001" s="4">
        <f ca="1">TODAY()-DATASET[[#This Row],[Time_of_Purchase]]</f>
        <v>500</v>
      </c>
      <c r="Y1001" t="b">
        <v>0</v>
      </c>
      <c r="Z1001" t="b">
        <v>0</v>
      </c>
      <c r="AA1001" t="s">
        <v>74</v>
      </c>
      <c r="AB1001" t="s">
        <v>67</v>
      </c>
      <c r="AC1001">
        <v>2</v>
      </c>
    </row>
    <row r="1003" spans="1:29" x14ac:dyDescent="0.25">
      <c r="A1003">
        <f>COUNTA(A2:A1001)</f>
        <v>1000</v>
      </c>
      <c r="J1003" s="1">
        <f>AVERAGE(J2:J1001)</f>
        <v>275.06388000000004</v>
      </c>
      <c r="S1003" s="3">
        <f>AVERAGE(S2:S1001)</f>
        <v>5.399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A93AD-2B7A-48E7-9493-6D54E0CEE10C}">
  <dimension ref="A1:I1001"/>
  <sheetViews>
    <sheetView workbookViewId="0">
      <selection activeCell="H6" sqref="H6"/>
    </sheetView>
  </sheetViews>
  <sheetFormatPr defaultRowHeight="15" x14ac:dyDescent="0.25"/>
  <cols>
    <col min="1" max="1" width="16" customWidth="1"/>
    <col min="2" max="2" width="11.140625" customWidth="1"/>
    <col min="3" max="3" width="13" customWidth="1"/>
    <col min="4" max="4" width="12.28515625" style="5" customWidth="1"/>
    <col min="5" max="5" width="10.42578125" customWidth="1"/>
    <col min="6" max="6" width="10.140625" customWidth="1"/>
    <col min="7" max="7" width="10.7109375" customWidth="1"/>
    <col min="8" max="8" width="13" style="3" customWidth="1"/>
    <col min="9" max="9" width="22" customWidth="1"/>
  </cols>
  <sheetData>
    <row r="1" spans="1:9" s="6" customFormat="1" x14ac:dyDescent="0.25">
      <c r="A1" s="7" t="s">
        <v>0</v>
      </c>
      <c r="B1" s="7" t="s">
        <v>2062</v>
      </c>
      <c r="C1" s="7" t="s">
        <v>2063</v>
      </c>
      <c r="D1" s="8" t="s">
        <v>2064</v>
      </c>
      <c r="E1" s="6" t="s">
        <v>2065</v>
      </c>
      <c r="F1" s="6" t="s">
        <v>2066</v>
      </c>
      <c r="G1" s="6" t="s">
        <v>2067</v>
      </c>
      <c r="H1" s="18" t="s">
        <v>2085</v>
      </c>
      <c r="I1" s="6" t="s">
        <v>2086</v>
      </c>
    </row>
    <row r="2" spans="1:9" x14ac:dyDescent="0.25">
      <c r="A2" s="9" t="s">
        <v>28</v>
      </c>
      <c r="B2" s="9">
        <v>780</v>
      </c>
      <c r="C2" s="9">
        <v>4</v>
      </c>
      <c r="D2" s="10">
        <v>333.8</v>
      </c>
      <c r="E2">
        <f>IF(B2 &lt;= _xlfn.PERCENTILE.INC($B$2:$B$1001, 0.2), 5,
 IF(B2 &lt;= _xlfn.PERCENTILE.INC($B$2:$B$1001, 0.4), 4,
 IF(B2 &lt;= _xlfn.PERCENTILE.INC($B$2:$B$1001, 0.6), 3,
 IF(B2 &lt;= _xlfn.PERCENTILE.INC($B$2:$B$1001, 0.8), 2, 1))))</f>
        <v>1</v>
      </c>
      <c r="F2">
        <f>IF(C2 &gt;= _xlfn.PERCENTILE.INC($C$2:$C$1001, 0.8), 5,
 IF(C2 &gt;= _xlfn.PERCENTILE.INC($C$2:$C$1001, 0.6), 4,
 IF(C2 &gt;= _xlfn.PERCENTILE.INC($C$2:$C$1001, 0.4), 3,
 IF(C2 &gt;= _xlfn.PERCENTILE.INC($C$2:$C$1001, 0.2), 2, 1))))</f>
        <v>2</v>
      </c>
      <c r="G2">
        <f>IF(D2 &gt;= _xlfn.PERCENTILE.INC($D$2:$D$1001, 0.8), 5,
 IF(D2 &gt;= _xlfn.PERCENTILE.INC($D$2:$D$1001, 0.6), 4,
 IF(D2 &gt;= _xlfn.PERCENTILE.INC($D$2:$D$1001, 0.4), 3,
 IF(D2 &gt;= _xlfn.PERCENTILE.INC($D$2:$D$1001, 0.2), 2, 1))))</f>
        <v>4</v>
      </c>
      <c r="H2" s="3" t="str">
        <f>TEXT(E2,"0") &amp; TEXT(F2,"0") &amp; TEXT(G2,"0")</f>
        <v>124</v>
      </c>
      <c r="I2" t="str">
        <f>IF(AND(E2&gt;=4, F2&gt;=4, G2&gt;=4), "Champion",
 IF(AND(F2&gt;=4, G2&gt;=4), "Loyal Customer",
 IF(AND(E2&gt;=4, F2&gt;=3), "Potential Loyalist",
 IF(G2&gt;=4, "Big Spender",
 IF(AND(E2&lt;=2, F2&lt;=2), "At Risk",
 IF(E2&lt;=2, "About To Sleep",
 IF(AND(F2&lt;=2, G2&lt;=2), "Lost Customer", "Others")))))))</f>
        <v>Big Spender</v>
      </c>
    </row>
    <row r="3" spans="1:9" x14ac:dyDescent="0.25">
      <c r="A3" s="9" t="s">
        <v>42</v>
      </c>
      <c r="B3" s="9">
        <v>734</v>
      </c>
      <c r="C3" s="9">
        <v>11</v>
      </c>
      <c r="D3" s="10">
        <v>222.22</v>
      </c>
      <c r="E3">
        <f t="shared" ref="E3:E66" si="0">IF(B3 &lt;= _xlfn.PERCENTILE.INC($B$2:$B$1001, 0.2), 5,
 IF(B3 &lt;= _xlfn.PERCENTILE.INC($B$2:$B$1001, 0.4), 4,
 IF(B3 &lt;= _xlfn.PERCENTILE.INC($B$2:$B$1001, 0.6), 3,
 IF(B3 &lt;= _xlfn.PERCENTILE.INC($B$2:$B$1001, 0.8), 2, 1))))</f>
        <v>2</v>
      </c>
      <c r="F3">
        <f t="shared" ref="F3:F66" si="1">IF(C3 &gt;= _xlfn.PERCENTILE.INC($C$2:$C$1001, 0.8), 5,
 IF(C3 &gt;= _xlfn.PERCENTILE.INC($C$2:$C$1001, 0.6), 4,
 IF(C3 &gt;= _xlfn.PERCENTILE.INC($C$2:$C$1001, 0.4), 3,
 IF(C3 &gt;= _xlfn.PERCENTILE.INC($C$2:$C$1001, 0.2), 2, 1))))</f>
        <v>5</v>
      </c>
      <c r="G3">
        <f t="shared" ref="G3:G66" si="2">IF(D3 &gt;= _xlfn.PERCENTILE.INC($D$2:$D$1001, 0.8), 5,
 IF(D3 &gt;= _xlfn.PERCENTILE.INC($D$2:$D$1001, 0.6), 4,
 IF(D3 &gt;= _xlfn.PERCENTILE.INC($D$2:$D$1001, 0.4), 3,
 IF(D3 &gt;= _xlfn.PERCENTILE.INC($D$2:$D$1001, 0.2), 2, 1))))</f>
        <v>2</v>
      </c>
      <c r="H3" s="3" t="str">
        <f t="shared" ref="H3:H66" si="3">TEXT(E3,"0") &amp; TEXT(F3,"0") &amp; TEXT(G3,"0")</f>
        <v>252</v>
      </c>
      <c r="I3" t="str">
        <f t="shared" ref="I3:I66" si="4">IF(AND(E3&gt;=4, F3&gt;=4, G3&gt;=4), "Champion",
 IF(AND(F3&gt;=4, G3&gt;=4), "Loyal Customer",
 IF(AND(E3&gt;=4, F3&gt;=3), "Potential Loyalist",
 IF(G3&gt;=4, "Big Spender",
 IF(AND(E3&lt;=2, F3&lt;=2), "At Risk",
 IF(E3&lt;=2, "About To Sleep",
 IF(AND(F3&lt;=2, G3&lt;=2), "Lost Customer", "Others")))))))</f>
        <v>About To Sleep</v>
      </c>
    </row>
    <row r="4" spans="1:9" x14ac:dyDescent="0.25">
      <c r="A4" s="9" t="s">
        <v>54</v>
      </c>
      <c r="B4" s="9">
        <v>766</v>
      </c>
      <c r="C4" s="9">
        <v>2</v>
      </c>
      <c r="D4" s="10">
        <v>426.22</v>
      </c>
      <c r="E4">
        <f t="shared" si="0"/>
        <v>1</v>
      </c>
      <c r="F4">
        <f t="shared" si="1"/>
        <v>1</v>
      </c>
      <c r="G4">
        <f t="shared" si="2"/>
        <v>5</v>
      </c>
      <c r="H4" s="3" t="str">
        <f t="shared" si="3"/>
        <v>115</v>
      </c>
      <c r="I4" t="str">
        <f t="shared" si="4"/>
        <v>Big Spender</v>
      </c>
    </row>
    <row r="5" spans="1:9" x14ac:dyDescent="0.25">
      <c r="A5" s="9" t="s">
        <v>63</v>
      </c>
      <c r="B5" s="9">
        <v>563</v>
      </c>
      <c r="C5" s="9">
        <v>6</v>
      </c>
      <c r="D5" s="10">
        <v>101.31</v>
      </c>
      <c r="E5">
        <f t="shared" si="0"/>
        <v>4</v>
      </c>
      <c r="F5">
        <f t="shared" si="1"/>
        <v>3</v>
      </c>
      <c r="G5">
        <f t="shared" si="2"/>
        <v>1</v>
      </c>
      <c r="H5" s="3" t="str">
        <f t="shared" si="3"/>
        <v>431</v>
      </c>
      <c r="I5" t="str">
        <f t="shared" si="4"/>
        <v>Potential Loyalist</v>
      </c>
    </row>
    <row r="6" spans="1:9" x14ac:dyDescent="0.25">
      <c r="A6" s="9" t="s">
        <v>68</v>
      </c>
      <c r="B6" s="9">
        <v>811</v>
      </c>
      <c r="C6" s="9">
        <v>6</v>
      </c>
      <c r="D6" s="10">
        <v>211.7</v>
      </c>
      <c r="E6">
        <f t="shared" si="0"/>
        <v>1</v>
      </c>
      <c r="F6">
        <f t="shared" si="1"/>
        <v>3</v>
      </c>
      <c r="G6">
        <f t="shared" si="2"/>
        <v>2</v>
      </c>
      <c r="H6" s="3" t="str">
        <f t="shared" si="3"/>
        <v>132</v>
      </c>
      <c r="I6" t="str">
        <f t="shared" si="4"/>
        <v>About To Sleep</v>
      </c>
    </row>
    <row r="7" spans="1:9" x14ac:dyDescent="0.25">
      <c r="A7" s="9" t="s">
        <v>72</v>
      </c>
      <c r="B7" s="9">
        <v>762</v>
      </c>
      <c r="C7" s="9">
        <v>8</v>
      </c>
      <c r="D7" s="10">
        <v>487.95</v>
      </c>
      <c r="E7">
        <f t="shared" si="0"/>
        <v>1</v>
      </c>
      <c r="F7">
        <f t="shared" si="1"/>
        <v>4</v>
      </c>
      <c r="G7">
        <f t="shared" si="2"/>
        <v>5</v>
      </c>
      <c r="H7" s="3" t="str">
        <f t="shared" si="3"/>
        <v>145</v>
      </c>
      <c r="I7" t="str">
        <f t="shared" si="4"/>
        <v>Loyal Customer</v>
      </c>
    </row>
    <row r="8" spans="1:9" x14ac:dyDescent="0.25">
      <c r="A8" s="9" t="s">
        <v>75</v>
      </c>
      <c r="B8" s="9">
        <v>766</v>
      </c>
      <c r="C8" s="9">
        <v>12</v>
      </c>
      <c r="D8" s="10">
        <v>486.4</v>
      </c>
      <c r="E8">
        <f t="shared" si="0"/>
        <v>1</v>
      </c>
      <c r="F8">
        <f t="shared" si="1"/>
        <v>5</v>
      </c>
      <c r="G8">
        <f t="shared" si="2"/>
        <v>5</v>
      </c>
      <c r="H8" s="3" t="str">
        <f t="shared" si="3"/>
        <v>155</v>
      </c>
      <c r="I8" t="str">
        <f t="shared" si="4"/>
        <v>Loyal Customer</v>
      </c>
    </row>
    <row r="9" spans="1:9" x14ac:dyDescent="0.25">
      <c r="A9" s="9" t="s">
        <v>80</v>
      </c>
      <c r="B9" s="9">
        <v>764</v>
      </c>
      <c r="C9" s="9">
        <v>6</v>
      </c>
      <c r="D9" s="10">
        <v>218.06</v>
      </c>
      <c r="E9">
        <f t="shared" si="0"/>
        <v>1</v>
      </c>
      <c r="F9">
        <f t="shared" si="1"/>
        <v>3</v>
      </c>
      <c r="G9">
        <f t="shared" si="2"/>
        <v>2</v>
      </c>
      <c r="H9" s="3" t="str">
        <f t="shared" si="3"/>
        <v>132</v>
      </c>
      <c r="I9" t="str">
        <f t="shared" si="4"/>
        <v>About To Sleep</v>
      </c>
    </row>
    <row r="10" spans="1:9" x14ac:dyDescent="0.25">
      <c r="A10" s="9" t="s">
        <v>83</v>
      </c>
      <c r="B10" s="9">
        <v>679</v>
      </c>
      <c r="C10" s="9">
        <v>8</v>
      </c>
      <c r="D10" s="10">
        <v>201.96</v>
      </c>
      <c r="E10">
        <f t="shared" si="0"/>
        <v>3</v>
      </c>
      <c r="F10">
        <f t="shared" si="1"/>
        <v>4</v>
      </c>
      <c r="G10">
        <f t="shared" si="2"/>
        <v>2</v>
      </c>
      <c r="H10" s="3" t="str">
        <f t="shared" si="3"/>
        <v>342</v>
      </c>
      <c r="I10" t="str">
        <f t="shared" si="4"/>
        <v>Others</v>
      </c>
    </row>
    <row r="11" spans="1:9" x14ac:dyDescent="0.25">
      <c r="A11" s="9" t="s">
        <v>87</v>
      </c>
      <c r="B11" s="9">
        <v>560</v>
      </c>
      <c r="C11" s="9">
        <v>7</v>
      </c>
      <c r="D11" s="10">
        <v>418.83</v>
      </c>
      <c r="E11">
        <f t="shared" si="0"/>
        <v>4</v>
      </c>
      <c r="F11">
        <f t="shared" si="1"/>
        <v>3</v>
      </c>
      <c r="G11">
        <f t="shared" si="2"/>
        <v>5</v>
      </c>
      <c r="H11" s="3" t="str">
        <f t="shared" si="3"/>
        <v>435</v>
      </c>
      <c r="I11" t="str">
        <f t="shared" si="4"/>
        <v>Potential Loyalist</v>
      </c>
    </row>
    <row r="12" spans="1:9" x14ac:dyDescent="0.25">
      <c r="A12" s="9" t="s">
        <v>91</v>
      </c>
      <c r="B12" s="9">
        <v>657</v>
      </c>
      <c r="C12" s="9">
        <v>12</v>
      </c>
      <c r="D12" s="10">
        <v>389.7</v>
      </c>
      <c r="E12">
        <f t="shared" si="0"/>
        <v>3</v>
      </c>
      <c r="F12">
        <f t="shared" si="1"/>
        <v>5</v>
      </c>
      <c r="G12">
        <f t="shared" si="2"/>
        <v>4</v>
      </c>
      <c r="H12" s="3" t="str">
        <f t="shared" si="3"/>
        <v>354</v>
      </c>
      <c r="I12" t="str">
        <f t="shared" si="4"/>
        <v>Loyal Customer</v>
      </c>
    </row>
    <row r="13" spans="1:9" x14ac:dyDescent="0.25">
      <c r="A13" s="9" t="s">
        <v>94</v>
      </c>
      <c r="B13" s="9">
        <v>479</v>
      </c>
      <c r="C13" s="9">
        <v>5</v>
      </c>
      <c r="D13" s="10">
        <v>238.93</v>
      </c>
      <c r="E13">
        <f t="shared" si="0"/>
        <v>5</v>
      </c>
      <c r="F13">
        <f t="shared" si="1"/>
        <v>2</v>
      </c>
      <c r="G13">
        <f t="shared" si="2"/>
        <v>3</v>
      </c>
      <c r="H13" s="3" t="str">
        <f>TEXT(E13,"0") &amp; TEXT(F13,"0") &amp; TEXT(G13,"0")</f>
        <v>523</v>
      </c>
      <c r="I13" t="str">
        <f t="shared" si="4"/>
        <v>Others</v>
      </c>
    </row>
    <row r="14" spans="1:9" x14ac:dyDescent="0.25">
      <c r="A14" s="9" t="s">
        <v>96</v>
      </c>
      <c r="B14" s="9">
        <v>623</v>
      </c>
      <c r="C14" s="9">
        <v>7</v>
      </c>
      <c r="D14" s="10">
        <v>61.22</v>
      </c>
      <c r="E14">
        <f t="shared" si="0"/>
        <v>4</v>
      </c>
      <c r="F14">
        <f t="shared" si="1"/>
        <v>3</v>
      </c>
      <c r="G14">
        <f t="shared" si="2"/>
        <v>1</v>
      </c>
      <c r="H14" s="3" t="str">
        <f t="shared" si="3"/>
        <v>431</v>
      </c>
      <c r="I14" t="str">
        <f t="shared" si="4"/>
        <v>Potential Loyalist</v>
      </c>
    </row>
    <row r="15" spans="1:9" x14ac:dyDescent="0.25">
      <c r="A15" s="9" t="s">
        <v>99</v>
      </c>
      <c r="B15" s="9">
        <v>643</v>
      </c>
      <c r="C15" s="9">
        <v>4</v>
      </c>
      <c r="D15" s="10">
        <v>79.81</v>
      </c>
      <c r="E15">
        <f t="shared" si="0"/>
        <v>3</v>
      </c>
      <c r="F15">
        <f t="shared" si="1"/>
        <v>2</v>
      </c>
      <c r="G15">
        <f t="shared" si="2"/>
        <v>1</v>
      </c>
      <c r="H15" s="3" t="str">
        <f t="shared" si="3"/>
        <v>321</v>
      </c>
      <c r="I15" t="str">
        <f t="shared" si="4"/>
        <v>Lost Customer</v>
      </c>
    </row>
    <row r="16" spans="1:9" x14ac:dyDescent="0.25">
      <c r="A16" s="9" t="s">
        <v>102</v>
      </c>
      <c r="B16" s="9">
        <v>492</v>
      </c>
      <c r="C16" s="9">
        <v>2</v>
      </c>
      <c r="D16" s="10">
        <v>58.51</v>
      </c>
      <c r="E16">
        <f t="shared" si="0"/>
        <v>5</v>
      </c>
      <c r="F16">
        <f t="shared" si="1"/>
        <v>1</v>
      </c>
      <c r="G16">
        <f t="shared" si="2"/>
        <v>1</v>
      </c>
      <c r="H16" s="3" t="str">
        <f t="shared" si="3"/>
        <v>511</v>
      </c>
      <c r="I16" t="str">
        <f t="shared" si="4"/>
        <v>Lost Customer</v>
      </c>
    </row>
    <row r="17" spans="1:9" x14ac:dyDescent="0.25">
      <c r="A17" s="9" t="s">
        <v>105</v>
      </c>
      <c r="B17" s="9">
        <v>617</v>
      </c>
      <c r="C17" s="9">
        <v>3</v>
      </c>
      <c r="D17" s="10">
        <v>109.29</v>
      </c>
      <c r="E17">
        <f t="shared" si="0"/>
        <v>4</v>
      </c>
      <c r="F17">
        <f t="shared" si="1"/>
        <v>1</v>
      </c>
      <c r="G17">
        <f>IF(D17 &gt;= _xlfn.PERCENTILE.INC($D$2:$D$1001, 0.8), 5,
 IF(D17 &gt;= _xlfn.PERCENTILE.INC($D$2:$D$1001, 0.6), 4,
 IF(D17 &gt;= _xlfn.PERCENTILE.INC($D$2:$D$1001, 0.4), 3,
 IF(D17 &gt;= _xlfn.PERCENTILE.INC($D$2:$D$1001, 0.2), 2, 1))))</f>
        <v>1</v>
      </c>
      <c r="H17" s="3" t="str">
        <f t="shared" si="3"/>
        <v>411</v>
      </c>
      <c r="I17" t="str">
        <f t="shared" si="4"/>
        <v>Lost Customer</v>
      </c>
    </row>
    <row r="18" spans="1:9" x14ac:dyDescent="0.25">
      <c r="A18" s="9" t="s">
        <v>108</v>
      </c>
      <c r="B18" s="9">
        <v>549</v>
      </c>
      <c r="C18" s="9">
        <v>6</v>
      </c>
      <c r="D18" s="10">
        <v>356.45</v>
      </c>
      <c r="E18">
        <f t="shared" si="0"/>
        <v>5</v>
      </c>
      <c r="F18">
        <f t="shared" si="1"/>
        <v>3</v>
      </c>
      <c r="G18">
        <f t="shared" si="2"/>
        <v>4</v>
      </c>
      <c r="H18" s="3" t="str">
        <f t="shared" si="3"/>
        <v>534</v>
      </c>
      <c r="I18" t="str">
        <f t="shared" si="4"/>
        <v>Potential Loyalist</v>
      </c>
    </row>
    <row r="19" spans="1:9" x14ac:dyDescent="0.25">
      <c r="A19" s="9" t="s">
        <v>110</v>
      </c>
      <c r="B19" s="9">
        <v>497</v>
      </c>
      <c r="C19" s="9">
        <v>10</v>
      </c>
      <c r="D19" s="10">
        <v>236.99</v>
      </c>
      <c r="E19">
        <f t="shared" si="0"/>
        <v>5</v>
      </c>
      <c r="F19">
        <f t="shared" si="1"/>
        <v>5</v>
      </c>
      <c r="G19">
        <f t="shared" si="2"/>
        <v>3</v>
      </c>
      <c r="H19" s="3" t="str">
        <f t="shared" si="3"/>
        <v>553</v>
      </c>
      <c r="I19" t="str">
        <f t="shared" si="4"/>
        <v>Potential Loyalist</v>
      </c>
    </row>
    <row r="20" spans="1:9" x14ac:dyDescent="0.25">
      <c r="A20" s="9" t="s">
        <v>112</v>
      </c>
      <c r="B20" s="9">
        <v>636</v>
      </c>
      <c r="C20" s="9">
        <v>10</v>
      </c>
      <c r="D20" s="10">
        <v>454.39</v>
      </c>
      <c r="E20">
        <f t="shared" si="0"/>
        <v>3</v>
      </c>
      <c r="F20">
        <f t="shared" si="1"/>
        <v>5</v>
      </c>
      <c r="G20">
        <f t="shared" si="2"/>
        <v>5</v>
      </c>
      <c r="H20" s="3" t="str">
        <f t="shared" si="3"/>
        <v>355</v>
      </c>
      <c r="I20" t="str">
        <f t="shared" si="4"/>
        <v>Loyal Customer</v>
      </c>
    </row>
    <row r="21" spans="1:9" x14ac:dyDescent="0.25">
      <c r="A21" s="9" t="s">
        <v>115</v>
      </c>
      <c r="B21" s="9">
        <v>651</v>
      </c>
      <c r="C21" s="9">
        <v>10</v>
      </c>
      <c r="D21" s="10">
        <v>490.75</v>
      </c>
      <c r="E21">
        <f t="shared" si="0"/>
        <v>3</v>
      </c>
      <c r="F21">
        <f t="shared" si="1"/>
        <v>5</v>
      </c>
      <c r="G21">
        <f t="shared" si="2"/>
        <v>5</v>
      </c>
      <c r="H21" s="3" t="str">
        <f t="shared" si="3"/>
        <v>355</v>
      </c>
      <c r="I21" t="str">
        <f t="shared" si="4"/>
        <v>Loyal Customer</v>
      </c>
    </row>
    <row r="22" spans="1:9" x14ac:dyDescent="0.25">
      <c r="A22" s="9" t="s">
        <v>118</v>
      </c>
      <c r="B22" s="9">
        <v>636</v>
      </c>
      <c r="C22" s="9">
        <v>7</v>
      </c>
      <c r="D22" s="10">
        <v>463.07</v>
      </c>
      <c r="E22">
        <f t="shared" si="0"/>
        <v>3</v>
      </c>
      <c r="F22">
        <f t="shared" si="1"/>
        <v>3</v>
      </c>
      <c r="G22">
        <f t="shared" si="2"/>
        <v>5</v>
      </c>
      <c r="H22" s="3" t="str">
        <f t="shared" si="3"/>
        <v>335</v>
      </c>
      <c r="I22" t="str">
        <f t="shared" si="4"/>
        <v>Big Spender</v>
      </c>
    </row>
    <row r="23" spans="1:9" x14ac:dyDescent="0.25">
      <c r="A23" s="9" t="s">
        <v>121</v>
      </c>
      <c r="B23" s="9">
        <v>628</v>
      </c>
      <c r="C23" s="9">
        <v>5</v>
      </c>
      <c r="D23" s="10">
        <v>56.74</v>
      </c>
      <c r="E23">
        <f t="shared" si="0"/>
        <v>3</v>
      </c>
      <c r="F23">
        <f t="shared" si="1"/>
        <v>2</v>
      </c>
      <c r="G23">
        <f t="shared" si="2"/>
        <v>1</v>
      </c>
      <c r="H23" s="3" t="str">
        <f t="shared" si="3"/>
        <v>321</v>
      </c>
      <c r="I23" t="str">
        <f t="shared" si="4"/>
        <v>Lost Customer</v>
      </c>
    </row>
    <row r="24" spans="1:9" x14ac:dyDescent="0.25">
      <c r="A24" s="9" t="s">
        <v>124</v>
      </c>
      <c r="B24" s="9">
        <v>785</v>
      </c>
      <c r="C24" s="9">
        <v>7</v>
      </c>
      <c r="D24" s="10">
        <v>371.32</v>
      </c>
      <c r="E24">
        <f t="shared" si="0"/>
        <v>1</v>
      </c>
      <c r="F24">
        <f t="shared" si="1"/>
        <v>3</v>
      </c>
      <c r="G24">
        <f t="shared" si="2"/>
        <v>4</v>
      </c>
      <c r="H24" s="3" t="str">
        <f t="shared" si="3"/>
        <v>134</v>
      </c>
      <c r="I24" t="str">
        <f t="shared" si="4"/>
        <v>Big Spender</v>
      </c>
    </row>
    <row r="25" spans="1:9" x14ac:dyDescent="0.25">
      <c r="A25" s="9" t="s">
        <v>127</v>
      </c>
      <c r="B25" s="9">
        <v>649</v>
      </c>
      <c r="C25" s="9">
        <v>7</v>
      </c>
      <c r="D25" s="10">
        <v>461</v>
      </c>
      <c r="E25">
        <f t="shared" si="0"/>
        <v>3</v>
      </c>
      <c r="F25">
        <f t="shared" si="1"/>
        <v>3</v>
      </c>
      <c r="G25">
        <f t="shared" si="2"/>
        <v>5</v>
      </c>
      <c r="H25" s="3" t="str">
        <f t="shared" si="3"/>
        <v>335</v>
      </c>
      <c r="I25" t="str">
        <f t="shared" si="4"/>
        <v>Big Spender</v>
      </c>
    </row>
    <row r="26" spans="1:9" x14ac:dyDescent="0.25">
      <c r="A26" s="9" t="s">
        <v>129</v>
      </c>
      <c r="B26" s="9">
        <v>481</v>
      </c>
      <c r="C26" s="9">
        <v>6</v>
      </c>
      <c r="D26" s="10">
        <v>253.37</v>
      </c>
      <c r="E26">
        <f t="shared" si="0"/>
        <v>5</v>
      </c>
      <c r="F26">
        <f t="shared" si="1"/>
        <v>3</v>
      </c>
      <c r="G26">
        <f t="shared" si="2"/>
        <v>3</v>
      </c>
      <c r="H26" s="3" t="str">
        <f t="shared" si="3"/>
        <v>533</v>
      </c>
      <c r="I26" t="str">
        <f t="shared" si="4"/>
        <v>Potential Loyalist</v>
      </c>
    </row>
    <row r="27" spans="1:9" x14ac:dyDescent="0.25">
      <c r="A27" s="9" t="s">
        <v>131</v>
      </c>
      <c r="B27" s="9">
        <v>689</v>
      </c>
      <c r="C27" s="9">
        <v>3</v>
      </c>
      <c r="D27" s="10">
        <v>136.53</v>
      </c>
      <c r="E27">
        <f t="shared" si="0"/>
        <v>3</v>
      </c>
      <c r="F27">
        <f t="shared" si="1"/>
        <v>1</v>
      </c>
      <c r="G27">
        <f t="shared" si="2"/>
        <v>1</v>
      </c>
      <c r="H27" s="3" t="str">
        <f t="shared" si="3"/>
        <v>311</v>
      </c>
      <c r="I27" t="str">
        <f t="shared" si="4"/>
        <v>Lost Customer</v>
      </c>
    </row>
    <row r="28" spans="1:9" x14ac:dyDescent="0.25">
      <c r="A28" s="9" t="s">
        <v>133</v>
      </c>
      <c r="B28" s="9">
        <v>593</v>
      </c>
      <c r="C28" s="9">
        <v>10</v>
      </c>
      <c r="D28" s="10">
        <v>489.05</v>
      </c>
      <c r="E28">
        <f t="shared" si="0"/>
        <v>4</v>
      </c>
      <c r="F28">
        <f t="shared" si="1"/>
        <v>5</v>
      </c>
      <c r="G28">
        <f t="shared" si="2"/>
        <v>5</v>
      </c>
      <c r="H28" s="3" t="str">
        <f t="shared" si="3"/>
        <v>455</v>
      </c>
      <c r="I28" t="str">
        <f t="shared" si="4"/>
        <v>Champion</v>
      </c>
    </row>
    <row r="29" spans="1:9" x14ac:dyDescent="0.25">
      <c r="A29" s="9" t="s">
        <v>136</v>
      </c>
      <c r="B29" s="9">
        <v>635</v>
      </c>
      <c r="C29" s="9">
        <v>10</v>
      </c>
      <c r="D29" s="10">
        <v>81.91</v>
      </c>
      <c r="E29">
        <f t="shared" si="0"/>
        <v>3</v>
      </c>
      <c r="F29">
        <f t="shared" si="1"/>
        <v>5</v>
      </c>
      <c r="G29">
        <f t="shared" si="2"/>
        <v>1</v>
      </c>
      <c r="H29" s="3" t="str">
        <f t="shared" si="3"/>
        <v>351</v>
      </c>
      <c r="I29" t="str">
        <f t="shared" si="4"/>
        <v>Others</v>
      </c>
    </row>
    <row r="30" spans="1:9" x14ac:dyDescent="0.25">
      <c r="A30" s="9" t="s">
        <v>138</v>
      </c>
      <c r="B30" s="9">
        <v>520</v>
      </c>
      <c r="C30" s="9">
        <v>2</v>
      </c>
      <c r="D30" s="10">
        <v>135.80000000000001</v>
      </c>
      <c r="E30">
        <f t="shared" si="0"/>
        <v>5</v>
      </c>
      <c r="F30">
        <f t="shared" si="1"/>
        <v>1</v>
      </c>
      <c r="G30">
        <f t="shared" si="2"/>
        <v>1</v>
      </c>
      <c r="H30" s="3" t="str">
        <f t="shared" si="3"/>
        <v>511</v>
      </c>
      <c r="I30" t="str">
        <f t="shared" si="4"/>
        <v>Lost Customer</v>
      </c>
    </row>
    <row r="31" spans="1:9" x14ac:dyDescent="0.25">
      <c r="A31" s="9" t="s">
        <v>140</v>
      </c>
      <c r="B31" s="9">
        <v>653</v>
      </c>
      <c r="C31" s="9">
        <v>12</v>
      </c>
      <c r="D31" s="10">
        <v>382.24</v>
      </c>
      <c r="E31">
        <f t="shared" si="0"/>
        <v>3</v>
      </c>
      <c r="F31">
        <f t="shared" si="1"/>
        <v>5</v>
      </c>
      <c r="G31">
        <f t="shared" si="2"/>
        <v>4</v>
      </c>
      <c r="H31" s="3" t="str">
        <f t="shared" si="3"/>
        <v>354</v>
      </c>
      <c r="I31" t="str">
        <f t="shared" si="4"/>
        <v>Loyal Customer</v>
      </c>
    </row>
    <row r="32" spans="1:9" x14ac:dyDescent="0.25">
      <c r="A32" s="9" t="s">
        <v>143</v>
      </c>
      <c r="B32" s="9">
        <v>800</v>
      </c>
      <c r="C32" s="9">
        <v>5</v>
      </c>
      <c r="D32" s="10">
        <v>354.7</v>
      </c>
      <c r="E32">
        <f t="shared" si="0"/>
        <v>1</v>
      </c>
      <c r="F32">
        <f t="shared" si="1"/>
        <v>2</v>
      </c>
      <c r="G32">
        <f t="shared" si="2"/>
        <v>4</v>
      </c>
      <c r="H32" s="3" t="str">
        <f t="shared" si="3"/>
        <v>124</v>
      </c>
      <c r="I32" t="str">
        <f t="shared" si="4"/>
        <v>Big Spender</v>
      </c>
    </row>
    <row r="33" spans="1:9" x14ac:dyDescent="0.25">
      <c r="A33" s="9" t="s">
        <v>145</v>
      </c>
      <c r="B33" s="9">
        <v>660</v>
      </c>
      <c r="C33" s="9">
        <v>6</v>
      </c>
      <c r="D33" s="10">
        <v>433.82</v>
      </c>
      <c r="E33">
        <f t="shared" si="0"/>
        <v>3</v>
      </c>
      <c r="F33">
        <f t="shared" si="1"/>
        <v>3</v>
      </c>
      <c r="G33">
        <f t="shared" si="2"/>
        <v>5</v>
      </c>
      <c r="H33" s="3" t="str">
        <f t="shared" si="3"/>
        <v>335</v>
      </c>
      <c r="I33" t="str">
        <f t="shared" si="4"/>
        <v>Big Spender</v>
      </c>
    </row>
    <row r="34" spans="1:9" x14ac:dyDescent="0.25">
      <c r="A34" s="9" t="s">
        <v>147</v>
      </c>
      <c r="B34" s="9">
        <v>815</v>
      </c>
      <c r="C34" s="9">
        <v>5</v>
      </c>
      <c r="D34" s="10">
        <v>282.13</v>
      </c>
      <c r="E34">
        <f t="shared" si="0"/>
        <v>1</v>
      </c>
      <c r="F34">
        <f t="shared" si="1"/>
        <v>2</v>
      </c>
      <c r="G34">
        <f t="shared" si="2"/>
        <v>3</v>
      </c>
      <c r="H34" s="3" t="str">
        <f t="shared" si="3"/>
        <v>123</v>
      </c>
      <c r="I34" t="str">
        <f t="shared" si="4"/>
        <v>At Risk</v>
      </c>
    </row>
    <row r="35" spans="1:9" x14ac:dyDescent="0.25">
      <c r="A35" s="9" t="s">
        <v>150</v>
      </c>
      <c r="B35" s="9">
        <v>674</v>
      </c>
      <c r="C35" s="9">
        <v>10</v>
      </c>
      <c r="D35" s="10">
        <v>454.38</v>
      </c>
      <c r="E35">
        <f t="shared" si="0"/>
        <v>3</v>
      </c>
      <c r="F35">
        <f t="shared" si="1"/>
        <v>5</v>
      </c>
      <c r="G35">
        <f t="shared" si="2"/>
        <v>5</v>
      </c>
      <c r="H35" s="3" t="str">
        <f t="shared" si="3"/>
        <v>355</v>
      </c>
      <c r="I35" t="str">
        <f t="shared" si="4"/>
        <v>Loyal Customer</v>
      </c>
    </row>
    <row r="36" spans="1:9" x14ac:dyDescent="0.25">
      <c r="A36" s="9" t="s">
        <v>152</v>
      </c>
      <c r="B36" s="9">
        <v>681</v>
      </c>
      <c r="C36" s="9">
        <v>7</v>
      </c>
      <c r="D36" s="10">
        <v>138.88</v>
      </c>
      <c r="E36">
        <f t="shared" si="0"/>
        <v>3</v>
      </c>
      <c r="F36">
        <f t="shared" si="1"/>
        <v>3</v>
      </c>
      <c r="G36">
        <f t="shared" si="2"/>
        <v>2</v>
      </c>
      <c r="H36" s="3" t="str">
        <f t="shared" si="3"/>
        <v>332</v>
      </c>
      <c r="I36" t="str">
        <f t="shared" si="4"/>
        <v>Others</v>
      </c>
    </row>
    <row r="37" spans="1:9" x14ac:dyDescent="0.25">
      <c r="A37" s="9" t="s">
        <v>154</v>
      </c>
      <c r="B37" s="9">
        <v>699</v>
      </c>
      <c r="C37" s="9">
        <v>6</v>
      </c>
      <c r="D37" s="10">
        <v>52.34</v>
      </c>
      <c r="E37">
        <f t="shared" si="0"/>
        <v>2</v>
      </c>
      <c r="F37">
        <f t="shared" si="1"/>
        <v>3</v>
      </c>
      <c r="G37">
        <f t="shared" si="2"/>
        <v>1</v>
      </c>
      <c r="H37" s="3" t="str">
        <f t="shared" si="3"/>
        <v>231</v>
      </c>
      <c r="I37" t="str">
        <f t="shared" si="4"/>
        <v>About To Sleep</v>
      </c>
    </row>
    <row r="38" spans="1:9" x14ac:dyDescent="0.25">
      <c r="A38" s="9" t="s">
        <v>156</v>
      </c>
      <c r="B38" s="9">
        <v>596</v>
      </c>
      <c r="C38" s="9">
        <v>7</v>
      </c>
      <c r="D38" s="10">
        <v>338.2</v>
      </c>
      <c r="E38">
        <f t="shared" si="0"/>
        <v>4</v>
      </c>
      <c r="F38">
        <f t="shared" si="1"/>
        <v>3</v>
      </c>
      <c r="G38">
        <f t="shared" si="2"/>
        <v>4</v>
      </c>
      <c r="H38" s="3" t="str">
        <f t="shared" si="3"/>
        <v>434</v>
      </c>
      <c r="I38" t="str">
        <f t="shared" si="4"/>
        <v>Potential Loyalist</v>
      </c>
    </row>
    <row r="39" spans="1:9" x14ac:dyDescent="0.25">
      <c r="A39" s="9" t="s">
        <v>159</v>
      </c>
      <c r="B39" s="9">
        <v>777</v>
      </c>
      <c r="C39" s="9">
        <v>3</v>
      </c>
      <c r="D39" s="10">
        <v>263.14999999999998</v>
      </c>
      <c r="E39">
        <f t="shared" si="0"/>
        <v>1</v>
      </c>
      <c r="F39">
        <f t="shared" si="1"/>
        <v>1</v>
      </c>
      <c r="G39">
        <f t="shared" si="2"/>
        <v>3</v>
      </c>
      <c r="H39" s="3" t="str">
        <f t="shared" si="3"/>
        <v>113</v>
      </c>
      <c r="I39" t="str">
        <f t="shared" si="4"/>
        <v>At Risk</v>
      </c>
    </row>
    <row r="40" spans="1:9" x14ac:dyDescent="0.25">
      <c r="A40" s="9" t="s">
        <v>161</v>
      </c>
      <c r="B40" s="9">
        <v>584</v>
      </c>
      <c r="C40" s="9">
        <v>2</v>
      </c>
      <c r="D40" s="10">
        <v>371.58</v>
      </c>
      <c r="E40">
        <f t="shared" si="0"/>
        <v>4</v>
      </c>
      <c r="F40">
        <f t="shared" si="1"/>
        <v>1</v>
      </c>
      <c r="G40">
        <f t="shared" si="2"/>
        <v>4</v>
      </c>
      <c r="H40" s="3" t="str">
        <f t="shared" si="3"/>
        <v>414</v>
      </c>
      <c r="I40" t="str">
        <f t="shared" si="4"/>
        <v>Big Spender</v>
      </c>
    </row>
    <row r="41" spans="1:9" x14ac:dyDescent="0.25">
      <c r="A41" s="9" t="s">
        <v>163</v>
      </c>
      <c r="B41" s="9">
        <v>500</v>
      </c>
      <c r="C41" s="9">
        <v>2</v>
      </c>
      <c r="D41" s="10">
        <v>353.4</v>
      </c>
      <c r="E41">
        <f t="shared" si="0"/>
        <v>5</v>
      </c>
      <c r="F41">
        <f t="shared" si="1"/>
        <v>1</v>
      </c>
      <c r="G41">
        <f t="shared" si="2"/>
        <v>4</v>
      </c>
      <c r="H41" s="3" t="str">
        <f t="shared" si="3"/>
        <v>514</v>
      </c>
      <c r="I41" t="str">
        <f t="shared" si="4"/>
        <v>Big Spender</v>
      </c>
    </row>
    <row r="42" spans="1:9" x14ac:dyDescent="0.25">
      <c r="A42" s="9" t="s">
        <v>165</v>
      </c>
      <c r="B42" s="9">
        <v>546</v>
      </c>
      <c r="C42" s="9">
        <v>5</v>
      </c>
      <c r="D42" s="10">
        <v>329.41</v>
      </c>
      <c r="E42">
        <f t="shared" si="0"/>
        <v>5</v>
      </c>
      <c r="F42">
        <f t="shared" si="1"/>
        <v>2</v>
      </c>
      <c r="G42">
        <f t="shared" si="2"/>
        <v>4</v>
      </c>
      <c r="H42" s="3" t="str">
        <f t="shared" si="3"/>
        <v>524</v>
      </c>
      <c r="I42" t="str">
        <f t="shared" si="4"/>
        <v>Big Spender</v>
      </c>
    </row>
    <row r="43" spans="1:9" x14ac:dyDescent="0.25">
      <c r="A43" s="9" t="s">
        <v>167</v>
      </c>
      <c r="B43" s="9">
        <v>519</v>
      </c>
      <c r="C43" s="9">
        <v>5</v>
      </c>
      <c r="D43" s="10">
        <v>54.46</v>
      </c>
      <c r="E43">
        <f t="shared" si="0"/>
        <v>5</v>
      </c>
      <c r="F43">
        <f t="shared" si="1"/>
        <v>2</v>
      </c>
      <c r="G43">
        <f t="shared" si="2"/>
        <v>1</v>
      </c>
      <c r="H43" s="3" t="str">
        <f t="shared" si="3"/>
        <v>521</v>
      </c>
      <c r="I43" t="str">
        <f t="shared" si="4"/>
        <v>Lost Customer</v>
      </c>
    </row>
    <row r="44" spans="1:9" x14ac:dyDescent="0.25">
      <c r="A44" s="9" t="s">
        <v>169</v>
      </c>
      <c r="B44" s="9">
        <v>635</v>
      </c>
      <c r="C44" s="9">
        <v>8</v>
      </c>
      <c r="D44" s="10">
        <v>257.12</v>
      </c>
      <c r="E44">
        <f t="shared" si="0"/>
        <v>3</v>
      </c>
      <c r="F44">
        <f t="shared" si="1"/>
        <v>4</v>
      </c>
      <c r="G44">
        <f t="shared" si="2"/>
        <v>3</v>
      </c>
      <c r="H44" s="3" t="str">
        <f t="shared" si="3"/>
        <v>343</v>
      </c>
      <c r="I44" t="str">
        <f t="shared" si="4"/>
        <v>Others</v>
      </c>
    </row>
    <row r="45" spans="1:9" x14ac:dyDescent="0.25">
      <c r="A45" s="9" t="s">
        <v>171</v>
      </c>
      <c r="B45" s="9">
        <v>778</v>
      </c>
      <c r="C45" s="9">
        <v>11</v>
      </c>
      <c r="D45" s="10">
        <v>293.04000000000002</v>
      </c>
      <c r="E45">
        <f t="shared" si="0"/>
        <v>1</v>
      </c>
      <c r="F45">
        <f t="shared" si="1"/>
        <v>5</v>
      </c>
      <c r="G45">
        <f t="shared" si="2"/>
        <v>3</v>
      </c>
      <c r="H45" s="3" t="str">
        <f t="shared" si="3"/>
        <v>153</v>
      </c>
      <c r="I45" t="str">
        <f t="shared" si="4"/>
        <v>About To Sleep</v>
      </c>
    </row>
    <row r="46" spans="1:9" x14ac:dyDescent="0.25">
      <c r="A46" s="9" t="s">
        <v>173</v>
      </c>
      <c r="B46" s="9">
        <v>523</v>
      </c>
      <c r="C46" s="9">
        <v>12</v>
      </c>
      <c r="D46" s="10">
        <v>110.4</v>
      </c>
      <c r="E46">
        <f t="shared" si="0"/>
        <v>5</v>
      </c>
      <c r="F46">
        <f t="shared" si="1"/>
        <v>5</v>
      </c>
      <c r="G46">
        <f t="shared" si="2"/>
        <v>1</v>
      </c>
      <c r="H46" s="3" t="str">
        <f t="shared" si="3"/>
        <v>551</v>
      </c>
      <c r="I46" t="str">
        <f t="shared" si="4"/>
        <v>Potential Loyalist</v>
      </c>
    </row>
    <row r="47" spans="1:9" x14ac:dyDescent="0.25">
      <c r="A47" s="9" t="s">
        <v>175</v>
      </c>
      <c r="B47" s="9">
        <v>482</v>
      </c>
      <c r="C47" s="9">
        <v>4</v>
      </c>
      <c r="D47" s="10">
        <v>76.27</v>
      </c>
      <c r="E47">
        <f t="shared" si="0"/>
        <v>5</v>
      </c>
      <c r="F47">
        <f t="shared" si="1"/>
        <v>2</v>
      </c>
      <c r="G47">
        <f t="shared" si="2"/>
        <v>1</v>
      </c>
      <c r="H47" s="3" t="str">
        <f t="shared" si="3"/>
        <v>521</v>
      </c>
      <c r="I47" t="str">
        <f t="shared" si="4"/>
        <v>Lost Customer</v>
      </c>
    </row>
    <row r="48" spans="1:9" x14ac:dyDescent="0.25">
      <c r="A48" s="9" t="s">
        <v>177</v>
      </c>
      <c r="B48" s="9">
        <v>624</v>
      </c>
      <c r="C48" s="9">
        <v>6</v>
      </c>
      <c r="D48" s="10">
        <v>392.08</v>
      </c>
      <c r="E48">
        <f t="shared" si="0"/>
        <v>4</v>
      </c>
      <c r="F48">
        <f t="shared" si="1"/>
        <v>3</v>
      </c>
      <c r="G48">
        <f t="shared" si="2"/>
        <v>4</v>
      </c>
      <c r="H48" s="3" t="str">
        <f t="shared" si="3"/>
        <v>434</v>
      </c>
      <c r="I48" t="str">
        <f t="shared" si="4"/>
        <v>Potential Loyalist</v>
      </c>
    </row>
    <row r="49" spans="1:9" x14ac:dyDescent="0.25">
      <c r="A49" s="9" t="s">
        <v>179</v>
      </c>
      <c r="B49" s="9">
        <v>603</v>
      </c>
      <c r="C49" s="9">
        <v>6</v>
      </c>
      <c r="D49" s="10">
        <v>51.22</v>
      </c>
      <c r="E49">
        <f t="shared" si="0"/>
        <v>4</v>
      </c>
      <c r="F49">
        <f t="shared" si="1"/>
        <v>3</v>
      </c>
      <c r="G49">
        <f t="shared" si="2"/>
        <v>1</v>
      </c>
      <c r="H49" s="3" t="str">
        <f t="shared" si="3"/>
        <v>431</v>
      </c>
      <c r="I49" t="str">
        <f t="shared" si="4"/>
        <v>Potential Loyalist</v>
      </c>
    </row>
    <row r="50" spans="1:9" x14ac:dyDescent="0.25">
      <c r="A50" s="9" t="s">
        <v>181</v>
      </c>
      <c r="B50" s="9">
        <v>611</v>
      </c>
      <c r="C50" s="9">
        <v>2</v>
      </c>
      <c r="D50" s="10">
        <v>227.57</v>
      </c>
      <c r="E50">
        <f t="shared" si="0"/>
        <v>4</v>
      </c>
      <c r="F50">
        <f t="shared" si="1"/>
        <v>1</v>
      </c>
      <c r="G50">
        <f t="shared" si="2"/>
        <v>2</v>
      </c>
      <c r="H50" s="3" t="str">
        <f t="shared" si="3"/>
        <v>412</v>
      </c>
      <c r="I50" t="str">
        <f t="shared" si="4"/>
        <v>Lost Customer</v>
      </c>
    </row>
    <row r="51" spans="1:9" x14ac:dyDescent="0.25">
      <c r="A51" s="9" t="s">
        <v>184</v>
      </c>
      <c r="B51" s="9">
        <v>749</v>
      </c>
      <c r="C51" s="9">
        <v>7</v>
      </c>
      <c r="D51" s="10">
        <v>378.87</v>
      </c>
      <c r="E51">
        <f t="shared" si="0"/>
        <v>2</v>
      </c>
      <c r="F51">
        <f t="shared" si="1"/>
        <v>3</v>
      </c>
      <c r="G51">
        <f t="shared" si="2"/>
        <v>4</v>
      </c>
      <c r="H51" s="3" t="str">
        <f t="shared" si="3"/>
        <v>234</v>
      </c>
      <c r="I51" t="str">
        <f t="shared" si="4"/>
        <v>Big Spender</v>
      </c>
    </row>
    <row r="52" spans="1:9" x14ac:dyDescent="0.25">
      <c r="A52" s="9" t="s">
        <v>186</v>
      </c>
      <c r="B52" s="9">
        <v>604</v>
      </c>
      <c r="C52" s="9">
        <v>8</v>
      </c>
      <c r="D52" s="10">
        <v>423.92</v>
      </c>
      <c r="E52">
        <f t="shared" si="0"/>
        <v>4</v>
      </c>
      <c r="F52">
        <f t="shared" si="1"/>
        <v>4</v>
      </c>
      <c r="G52">
        <f t="shared" si="2"/>
        <v>5</v>
      </c>
      <c r="H52" s="3" t="str">
        <f t="shared" si="3"/>
        <v>445</v>
      </c>
      <c r="I52" t="str">
        <f t="shared" si="4"/>
        <v>Champion</v>
      </c>
    </row>
    <row r="53" spans="1:9" x14ac:dyDescent="0.25">
      <c r="A53" s="9" t="s">
        <v>189</v>
      </c>
      <c r="B53" s="9">
        <v>622</v>
      </c>
      <c r="C53" s="9">
        <v>9</v>
      </c>
      <c r="D53" s="10">
        <v>111.24</v>
      </c>
      <c r="E53">
        <f t="shared" si="0"/>
        <v>4</v>
      </c>
      <c r="F53">
        <f t="shared" si="1"/>
        <v>4</v>
      </c>
      <c r="G53">
        <f t="shared" si="2"/>
        <v>1</v>
      </c>
      <c r="H53" s="3" t="str">
        <f t="shared" si="3"/>
        <v>441</v>
      </c>
      <c r="I53" t="str">
        <f t="shared" si="4"/>
        <v>Potential Loyalist</v>
      </c>
    </row>
    <row r="54" spans="1:9" x14ac:dyDescent="0.25">
      <c r="A54" s="9" t="s">
        <v>192</v>
      </c>
      <c r="B54" s="9">
        <v>809</v>
      </c>
      <c r="C54" s="9">
        <v>7</v>
      </c>
      <c r="D54" s="10">
        <v>299.31</v>
      </c>
      <c r="E54">
        <f t="shared" si="0"/>
        <v>1</v>
      </c>
      <c r="F54">
        <f t="shared" si="1"/>
        <v>3</v>
      </c>
      <c r="G54">
        <f t="shared" si="2"/>
        <v>3</v>
      </c>
      <c r="H54" s="3" t="str">
        <f t="shared" si="3"/>
        <v>133</v>
      </c>
      <c r="I54" t="str">
        <f t="shared" si="4"/>
        <v>About To Sleep</v>
      </c>
    </row>
    <row r="55" spans="1:9" x14ac:dyDescent="0.25">
      <c r="A55" s="9" t="s">
        <v>195</v>
      </c>
      <c r="B55" s="9">
        <v>672</v>
      </c>
      <c r="C55" s="9">
        <v>7</v>
      </c>
      <c r="D55" s="10">
        <v>169.28</v>
      </c>
      <c r="E55">
        <f t="shared" si="0"/>
        <v>3</v>
      </c>
      <c r="F55">
        <f t="shared" si="1"/>
        <v>3</v>
      </c>
      <c r="G55">
        <f t="shared" si="2"/>
        <v>2</v>
      </c>
      <c r="H55" s="3" t="str">
        <f t="shared" si="3"/>
        <v>332</v>
      </c>
      <c r="I55" t="str">
        <f t="shared" si="4"/>
        <v>Others</v>
      </c>
    </row>
    <row r="56" spans="1:9" x14ac:dyDescent="0.25">
      <c r="A56" s="9" t="s">
        <v>197</v>
      </c>
      <c r="B56" s="9">
        <v>677</v>
      </c>
      <c r="C56" s="9">
        <v>9</v>
      </c>
      <c r="D56" s="10">
        <v>449.13</v>
      </c>
      <c r="E56">
        <f t="shared" si="0"/>
        <v>3</v>
      </c>
      <c r="F56">
        <f t="shared" si="1"/>
        <v>4</v>
      </c>
      <c r="G56">
        <f t="shared" si="2"/>
        <v>5</v>
      </c>
      <c r="H56" s="3" t="str">
        <f t="shared" si="3"/>
        <v>345</v>
      </c>
      <c r="I56" t="str">
        <f t="shared" si="4"/>
        <v>Loyal Customer</v>
      </c>
    </row>
    <row r="57" spans="1:9" x14ac:dyDescent="0.25">
      <c r="A57" s="9" t="s">
        <v>199</v>
      </c>
      <c r="B57" s="9">
        <v>490</v>
      </c>
      <c r="C57" s="9">
        <v>6</v>
      </c>
      <c r="D57" s="10">
        <v>427.48</v>
      </c>
      <c r="E57">
        <f t="shared" si="0"/>
        <v>5</v>
      </c>
      <c r="F57">
        <f t="shared" si="1"/>
        <v>3</v>
      </c>
      <c r="G57">
        <f t="shared" si="2"/>
        <v>5</v>
      </c>
      <c r="H57" s="3" t="str">
        <f t="shared" si="3"/>
        <v>535</v>
      </c>
      <c r="I57" t="str">
        <f t="shared" si="4"/>
        <v>Potential Loyalist</v>
      </c>
    </row>
    <row r="58" spans="1:9" x14ac:dyDescent="0.25">
      <c r="A58" s="9" t="s">
        <v>201</v>
      </c>
      <c r="B58" s="9">
        <v>536</v>
      </c>
      <c r="C58" s="9">
        <v>3</v>
      </c>
      <c r="D58" s="10">
        <v>171.61</v>
      </c>
      <c r="E58">
        <f t="shared" si="0"/>
        <v>5</v>
      </c>
      <c r="F58">
        <f t="shared" si="1"/>
        <v>1</v>
      </c>
      <c r="G58">
        <f t="shared" si="2"/>
        <v>2</v>
      </c>
      <c r="H58" s="3" t="str">
        <f t="shared" si="3"/>
        <v>512</v>
      </c>
      <c r="I58" t="str">
        <f t="shared" si="4"/>
        <v>Lost Customer</v>
      </c>
    </row>
    <row r="59" spans="1:9" x14ac:dyDescent="0.25">
      <c r="A59" s="9" t="s">
        <v>203</v>
      </c>
      <c r="B59" s="9">
        <v>499</v>
      </c>
      <c r="C59" s="9">
        <v>3</v>
      </c>
      <c r="D59" s="10">
        <v>240.28</v>
      </c>
      <c r="E59">
        <f t="shared" si="0"/>
        <v>5</v>
      </c>
      <c r="F59">
        <f t="shared" si="1"/>
        <v>1</v>
      </c>
      <c r="G59">
        <f t="shared" si="2"/>
        <v>3</v>
      </c>
      <c r="H59" s="3" t="str">
        <f t="shared" si="3"/>
        <v>513</v>
      </c>
      <c r="I59" t="str">
        <f t="shared" si="4"/>
        <v>Others</v>
      </c>
    </row>
    <row r="60" spans="1:9" x14ac:dyDescent="0.25">
      <c r="A60" s="9" t="s">
        <v>205</v>
      </c>
      <c r="B60" s="9">
        <v>786</v>
      </c>
      <c r="C60" s="9">
        <v>6</v>
      </c>
      <c r="D60" s="10">
        <v>310.17</v>
      </c>
      <c r="E60">
        <f t="shared" si="0"/>
        <v>1</v>
      </c>
      <c r="F60">
        <f t="shared" si="1"/>
        <v>3</v>
      </c>
      <c r="G60">
        <f t="shared" si="2"/>
        <v>3</v>
      </c>
      <c r="H60" s="3" t="str">
        <f t="shared" si="3"/>
        <v>133</v>
      </c>
      <c r="I60" t="str">
        <f t="shared" si="4"/>
        <v>About To Sleep</v>
      </c>
    </row>
    <row r="61" spans="1:9" x14ac:dyDescent="0.25">
      <c r="A61" s="9" t="s">
        <v>207</v>
      </c>
      <c r="B61" s="9">
        <v>678</v>
      </c>
      <c r="C61" s="9">
        <v>10</v>
      </c>
      <c r="D61" s="10">
        <v>166</v>
      </c>
      <c r="E61">
        <f t="shared" si="0"/>
        <v>3</v>
      </c>
      <c r="F61">
        <f t="shared" si="1"/>
        <v>5</v>
      </c>
      <c r="G61">
        <f t="shared" si="2"/>
        <v>2</v>
      </c>
      <c r="H61" s="3" t="str">
        <f t="shared" si="3"/>
        <v>352</v>
      </c>
      <c r="I61" t="str">
        <f t="shared" si="4"/>
        <v>Others</v>
      </c>
    </row>
    <row r="62" spans="1:9" x14ac:dyDescent="0.25">
      <c r="A62" s="9" t="s">
        <v>209</v>
      </c>
      <c r="B62" s="9">
        <v>512</v>
      </c>
      <c r="C62" s="9">
        <v>2</v>
      </c>
      <c r="D62" s="10">
        <v>362.01</v>
      </c>
      <c r="E62">
        <f t="shared" si="0"/>
        <v>5</v>
      </c>
      <c r="F62">
        <f t="shared" si="1"/>
        <v>1</v>
      </c>
      <c r="G62">
        <f t="shared" si="2"/>
        <v>4</v>
      </c>
      <c r="H62" s="3" t="str">
        <f t="shared" si="3"/>
        <v>514</v>
      </c>
      <c r="I62" t="str">
        <f t="shared" si="4"/>
        <v>Big Spender</v>
      </c>
    </row>
    <row r="63" spans="1:9" x14ac:dyDescent="0.25">
      <c r="A63" s="9" t="s">
        <v>211</v>
      </c>
      <c r="B63" s="9">
        <v>650</v>
      </c>
      <c r="C63" s="9">
        <v>3</v>
      </c>
      <c r="D63" s="10">
        <v>348.5</v>
      </c>
      <c r="E63">
        <f t="shared" si="0"/>
        <v>3</v>
      </c>
      <c r="F63">
        <f t="shared" si="1"/>
        <v>1</v>
      </c>
      <c r="G63">
        <f t="shared" si="2"/>
        <v>4</v>
      </c>
      <c r="H63" s="3" t="str">
        <f t="shared" si="3"/>
        <v>314</v>
      </c>
      <c r="I63" t="str">
        <f t="shared" si="4"/>
        <v>Big Spender</v>
      </c>
    </row>
    <row r="64" spans="1:9" x14ac:dyDescent="0.25">
      <c r="A64" s="9" t="s">
        <v>214</v>
      </c>
      <c r="B64" s="9">
        <v>610</v>
      </c>
      <c r="C64" s="9">
        <v>9</v>
      </c>
      <c r="D64" s="10">
        <v>395.97</v>
      </c>
      <c r="E64">
        <f t="shared" si="0"/>
        <v>4</v>
      </c>
      <c r="F64">
        <f t="shared" si="1"/>
        <v>4</v>
      </c>
      <c r="G64">
        <f t="shared" si="2"/>
        <v>4</v>
      </c>
      <c r="H64" s="3" t="str">
        <f t="shared" si="3"/>
        <v>444</v>
      </c>
      <c r="I64" t="str">
        <f t="shared" si="4"/>
        <v>Champion</v>
      </c>
    </row>
    <row r="65" spans="1:9" x14ac:dyDescent="0.25">
      <c r="A65" s="9" t="s">
        <v>216</v>
      </c>
      <c r="B65" s="9">
        <v>649</v>
      </c>
      <c r="C65" s="9">
        <v>9</v>
      </c>
      <c r="D65" s="10">
        <v>474.99</v>
      </c>
      <c r="E65">
        <f t="shared" si="0"/>
        <v>3</v>
      </c>
      <c r="F65">
        <f t="shared" si="1"/>
        <v>4</v>
      </c>
      <c r="G65">
        <f t="shared" si="2"/>
        <v>5</v>
      </c>
      <c r="H65" s="3" t="str">
        <f t="shared" si="3"/>
        <v>345</v>
      </c>
      <c r="I65" t="str">
        <f t="shared" si="4"/>
        <v>Loyal Customer</v>
      </c>
    </row>
    <row r="66" spans="1:9" x14ac:dyDescent="0.25">
      <c r="A66" s="9" t="s">
        <v>218</v>
      </c>
      <c r="B66" s="9">
        <v>647</v>
      </c>
      <c r="C66" s="9">
        <v>4</v>
      </c>
      <c r="D66" s="10">
        <v>286.43</v>
      </c>
      <c r="E66">
        <f t="shared" si="0"/>
        <v>3</v>
      </c>
      <c r="F66">
        <f t="shared" si="1"/>
        <v>2</v>
      </c>
      <c r="G66">
        <f t="shared" si="2"/>
        <v>3</v>
      </c>
      <c r="H66" s="3" t="str">
        <f t="shared" si="3"/>
        <v>323</v>
      </c>
      <c r="I66" t="str">
        <f t="shared" si="4"/>
        <v>Others</v>
      </c>
    </row>
    <row r="67" spans="1:9" x14ac:dyDescent="0.25">
      <c r="A67" s="9" t="s">
        <v>220</v>
      </c>
      <c r="B67" s="9">
        <v>562</v>
      </c>
      <c r="C67" s="9">
        <v>8</v>
      </c>
      <c r="D67" s="10">
        <v>333.32</v>
      </c>
      <c r="E67">
        <f t="shared" ref="E67:E130" si="5">IF(B67 &lt;= _xlfn.PERCENTILE.INC($B$2:$B$1001, 0.2), 5,
 IF(B67 &lt;= _xlfn.PERCENTILE.INC($B$2:$B$1001, 0.4), 4,
 IF(B67 &lt;= _xlfn.PERCENTILE.INC($B$2:$B$1001, 0.6), 3,
 IF(B67 &lt;= _xlfn.PERCENTILE.INC($B$2:$B$1001, 0.8), 2, 1))))</f>
        <v>4</v>
      </c>
      <c r="F67">
        <f t="shared" ref="F67:F130" si="6">IF(C67 &gt;= _xlfn.PERCENTILE.INC($C$2:$C$1001, 0.8), 5,
 IF(C67 &gt;= _xlfn.PERCENTILE.INC($C$2:$C$1001, 0.6), 4,
 IF(C67 &gt;= _xlfn.PERCENTILE.INC($C$2:$C$1001, 0.4), 3,
 IF(C67 &gt;= _xlfn.PERCENTILE.INC($C$2:$C$1001, 0.2), 2, 1))))</f>
        <v>4</v>
      </c>
      <c r="G67">
        <f t="shared" ref="G67:G130" si="7">IF(D67 &gt;= _xlfn.PERCENTILE.INC($D$2:$D$1001, 0.8), 5,
 IF(D67 &gt;= _xlfn.PERCENTILE.INC($D$2:$D$1001, 0.6), 4,
 IF(D67 &gt;= _xlfn.PERCENTILE.INC($D$2:$D$1001, 0.4), 3,
 IF(D67 &gt;= _xlfn.PERCENTILE.INC($D$2:$D$1001, 0.2), 2, 1))))</f>
        <v>4</v>
      </c>
      <c r="H67" s="3" t="str">
        <f t="shared" ref="H67:H130" si="8">TEXT(E67,"0") &amp; TEXT(F67,"0") &amp; TEXT(G67,"0")</f>
        <v>444</v>
      </c>
      <c r="I67" t="str">
        <f t="shared" ref="I67:I130" si="9">IF(AND(E67&gt;=4, F67&gt;=4, G67&gt;=4), "Champion",
 IF(AND(F67&gt;=4, G67&gt;=4), "Loyal Customer",
 IF(AND(E67&gt;=4, F67&gt;=3), "Potential Loyalist",
 IF(G67&gt;=4, "Big Spender",
 IF(AND(E67&lt;=2, F67&lt;=2), "At Risk",
 IF(E67&lt;=2, "About To Sleep",
 IF(AND(F67&lt;=2, G67&lt;=2), "Lost Customer", "Others")))))))</f>
        <v>Champion</v>
      </c>
    </row>
    <row r="68" spans="1:9" x14ac:dyDescent="0.25">
      <c r="A68" s="9" t="s">
        <v>222</v>
      </c>
      <c r="B68" s="9">
        <v>577</v>
      </c>
      <c r="C68" s="9">
        <v>9</v>
      </c>
      <c r="D68" s="10">
        <v>223.47</v>
      </c>
      <c r="E68">
        <f t="shared" si="5"/>
        <v>4</v>
      </c>
      <c r="F68">
        <f t="shared" si="6"/>
        <v>4</v>
      </c>
      <c r="G68">
        <f t="shared" si="7"/>
        <v>2</v>
      </c>
      <c r="H68" s="3" t="str">
        <f t="shared" si="8"/>
        <v>442</v>
      </c>
      <c r="I68" t="str">
        <f t="shared" si="9"/>
        <v>Potential Loyalist</v>
      </c>
    </row>
    <row r="69" spans="1:9" x14ac:dyDescent="0.25">
      <c r="A69" s="9" t="s">
        <v>224</v>
      </c>
      <c r="B69" s="9">
        <v>643</v>
      </c>
      <c r="C69" s="9">
        <v>2</v>
      </c>
      <c r="D69" s="10">
        <v>414.83</v>
      </c>
      <c r="E69">
        <f t="shared" si="5"/>
        <v>3</v>
      </c>
      <c r="F69">
        <f t="shared" si="6"/>
        <v>1</v>
      </c>
      <c r="G69">
        <f t="shared" si="7"/>
        <v>5</v>
      </c>
      <c r="H69" s="3" t="str">
        <f t="shared" si="8"/>
        <v>315</v>
      </c>
      <c r="I69" t="str">
        <f t="shared" si="9"/>
        <v>Big Spender</v>
      </c>
    </row>
    <row r="70" spans="1:9" x14ac:dyDescent="0.25">
      <c r="A70" s="9" t="s">
        <v>226</v>
      </c>
      <c r="B70" s="9">
        <v>748</v>
      </c>
      <c r="C70" s="9">
        <v>5</v>
      </c>
      <c r="D70" s="10">
        <v>391.38</v>
      </c>
      <c r="E70">
        <f t="shared" si="5"/>
        <v>2</v>
      </c>
      <c r="F70">
        <f t="shared" si="6"/>
        <v>2</v>
      </c>
      <c r="G70">
        <f t="shared" si="7"/>
        <v>4</v>
      </c>
      <c r="H70" s="3" t="str">
        <f t="shared" si="8"/>
        <v>224</v>
      </c>
      <c r="I70" t="str">
        <f t="shared" si="9"/>
        <v>Big Spender</v>
      </c>
    </row>
    <row r="71" spans="1:9" x14ac:dyDescent="0.25">
      <c r="A71" s="9" t="s">
        <v>228</v>
      </c>
      <c r="B71" s="9">
        <v>668</v>
      </c>
      <c r="C71" s="9">
        <v>11</v>
      </c>
      <c r="D71" s="10">
        <v>368.4</v>
      </c>
      <c r="E71">
        <f t="shared" si="5"/>
        <v>3</v>
      </c>
      <c r="F71">
        <f t="shared" si="6"/>
        <v>5</v>
      </c>
      <c r="G71">
        <f t="shared" si="7"/>
        <v>4</v>
      </c>
      <c r="H71" s="3" t="str">
        <f t="shared" si="8"/>
        <v>354</v>
      </c>
      <c r="I71" t="str">
        <f t="shared" si="9"/>
        <v>Loyal Customer</v>
      </c>
    </row>
    <row r="72" spans="1:9" x14ac:dyDescent="0.25">
      <c r="A72" s="9" t="s">
        <v>230</v>
      </c>
      <c r="B72" s="9">
        <v>770</v>
      </c>
      <c r="C72" s="9">
        <v>11</v>
      </c>
      <c r="D72" s="10">
        <v>328.36</v>
      </c>
      <c r="E72">
        <f t="shared" si="5"/>
        <v>1</v>
      </c>
      <c r="F72">
        <f t="shared" si="6"/>
        <v>5</v>
      </c>
      <c r="G72">
        <f t="shared" si="7"/>
        <v>4</v>
      </c>
      <c r="H72" s="3" t="str">
        <f t="shared" si="8"/>
        <v>154</v>
      </c>
      <c r="I72" t="str">
        <f t="shared" si="9"/>
        <v>Loyal Customer</v>
      </c>
    </row>
    <row r="73" spans="1:9" x14ac:dyDescent="0.25">
      <c r="A73" s="9" t="s">
        <v>232</v>
      </c>
      <c r="B73" s="9">
        <v>784</v>
      </c>
      <c r="C73" s="9">
        <v>9</v>
      </c>
      <c r="D73" s="10">
        <v>424.39</v>
      </c>
      <c r="E73">
        <f t="shared" si="5"/>
        <v>1</v>
      </c>
      <c r="F73">
        <f t="shared" si="6"/>
        <v>4</v>
      </c>
      <c r="G73">
        <f t="shared" si="7"/>
        <v>5</v>
      </c>
      <c r="H73" s="3" t="str">
        <f t="shared" si="8"/>
        <v>145</v>
      </c>
      <c r="I73" t="str">
        <f t="shared" si="9"/>
        <v>Loyal Customer</v>
      </c>
    </row>
    <row r="74" spans="1:9" x14ac:dyDescent="0.25">
      <c r="A74" s="9" t="s">
        <v>234</v>
      </c>
      <c r="B74" s="9">
        <v>675</v>
      </c>
      <c r="C74" s="9">
        <v>10</v>
      </c>
      <c r="D74" s="10">
        <v>197.12</v>
      </c>
      <c r="E74">
        <f t="shared" si="5"/>
        <v>3</v>
      </c>
      <c r="F74">
        <f t="shared" si="6"/>
        <v>5</v>
      </c>
      <c r="G74">
        <f t="shared" si="7"/>
        <v>2</v>
      </c>
      <c r="H74" s="3" t="str">
        <f t="shared" si="8"/>
        <v>352</v>
      </c>
      <c r="I74" t="str">
        <f t="shared" si="9"/>
        <v>Others</v>
      </c>
    </row>
    <row r="75" spans="1:9" x14ac:dyDescent="0.25">
      <c r="A75" s="9" t="s">
        <v>236</v>
      </c>
      <c r="B75" s="9">
        <v>757</v>
      </c>
      <c r="C75" s="9">
        <v>9</v>
      </c>
      <c r="D75" s="10">
        <v>454.57</v>
      </c>
      <c r="E75">
        <f t="shared" si="5"/>
        <v>2</v>
      </c>
      <c r="F75">
        <f t="shared" si="6"/>
        <v>4</v>
      </c>
      <c r="G75">
        <f t="shared" si="7"/>
        <v>5</v>
      </c>
      <c r="H75" s="3" t="str">
        <f t="shared" si="8"/>
        <v>245</v>
      </c>
      <c r="I75" t="str">
        <f t="shared" si="9"/>
        <v>Loyal Customer</v>
      </c>
    </row>
    <row r="76" spans="1:9" x14ac:dyDescent="0.25">
      <c r="A76" s="9" t="s">
        <v>238</v>
      </c>
      <c r="B76" s="9">
        <v>723</v>
      </c>
      <c r="C76" s="9">
        <v>4</v>
      </c>
      <c r="D76" s="10">
        <v>298.38</v>
      </c>
      <c r="E76">
        <f t="shared" si="5"/>
        <v>2</v>
      </c>
      <c r="F76">
        <f t="shared" si="6"/>
        <v>2</v>
      </c>
      <c r="G76">
        <f t="shared" si="7"/>
        <v>3</v>
      </c>
      <c r="H76" s="3" t="str">
        <f t="shared" si="8"/>
        <v>223</v>
      </c>
      <c r="I76" t="str">
        <f t="shared" si="9"/>
        <v>At Risk</v>
      </c>
    </row>
    <row r="77" spans="1:9" x14ac:dyDescent="0.25">
      <c r="A77" s="9" t="s">
        <v>240</v>
      </c>
      <c r="B77" s="9">
        <v>529</v>
      </c>
      <c r="C77" s="9">
        <v>6</v>
      </c>
      <c r="D77" s="10">
        <v>111.7</v>
      </c>
      <c r="E77">
        <f t="shared" si="5"/>
        <v>5</v>
      </c>
      <c r="F77">
        <f t="shared" si="6"/>
        <v>3</v>
      </c>
      <c r="G77">
        <f t="shared" si="7"/>
        <v>1</v>
      </c>
      <c r="H77" s="3" t="str">
        <f t="shared" si="8"/>
        <v>531</v>
      </c>
      <c r="I77" t="str">
        <f t="shared" si="9"/>
        <v>Potential Loyalist</v>
      </c>
    </row>
    <row r="78" spans="1:9" x14ac:dyDescent="0.25">
      <c r="A78" s="9" t="s">
        <v>242</v>
      </c>
      <c r="B78" s="9">
        <v>502</v>
      </c>
      <c r="C78" s="9">
        <v>10</v>
      </c>
      <c r="D78" s="10">
        <v>373.69</v>
      </c>
      <c r="E78">
        <f t="shared" si="5"/>
        <v>5</v>
      </c>
      <c r="F78">
        <f t="shared" si="6"/>
        <v>5</v>
      </c>
      <c r="G78">
        <f t="shared" si="7"/>
        <v>4</v>
      </c>
      <c r="H78" s="3" t="str">
        <f t="shared" si="8"/>
        <v>554</v>
      </c>
      <c r="I78" t="str">
        <f t="shared" si="9"/>
        <v>Champion</v>
      </c>
    </row>
    <row r="79" spans="1:9" x14ac:dyDescent="0.25">
      <c r="A79" s="9" t="s">
        <v>244</v>
      </c>
      <c r="B79" s="9">
        <v>732</v>
      </c>
      <c r="C79" s="9">
        <v>5</v>
      </c>
      <c r="D79" s="10">
        <v>354.87</v>
      </c>
      <c r="E79">
        <f t="shared" si="5"/>
        <v>2</v>
      </c>
      <c r="F79">
        <f t="shared" si="6"/>
        <v>2</v>
      </c>
      <c r="G79">
        <f t="shared" si="7"/>
        <v>4</v>
      </c>
      <c r="H79" s="3" t="str">
        <f t="shared" si="8"/>
        <v>224</v>
      </c>
      <c r="I79" t="str">
        <f t="shared" si="9"/>
        <v>Big Spender</v>
      </c>
    </row>
    <row r="80" spans="1:9" x14ac:dyDescent="0.25">
      <c r="A80" s="9" t="s">
        <v>247</v>
      </c>
      <c r="B80" s="9">
        <v>729</v>
      </c>
      <c r="C80" s="9">
        <v>2</v>
      </c>
      <c r="D80" s="10">
        <v>214.48</v>
      </c>
      <c r="E80">
        <f t="shared" si="5"/>
        <v>2</v>
      </c>
      <c r="F80">
        <f t="shared" si="6"/>
        <v>1</v>
      </c>
      <c r="G80">
        <f t="shared" si="7"/>
        <v>2</v>
      </c>
      <c r="H80" s="3" t="str">
        <f t="shared" si="8"/>
        <v>212</v>
      </c>
      <c r="I80" t="str">
        <f t="shared" si="9"/>
        <v>At Risk</v>
      </c>
    </row>
    <row r="81" spans="1:9" x14ac:dyDescent="0.25">
      <c r="A81" s="9" t="s">
        <v>249</v>
      </c>
      <c r="B81" s="9">
        <v>572</v>
      </c>
      <c r="C81" s="9">
        <v>6</v>
      </c>
      <c r="D81" s="10">
        <v>399.58</v>
      </c>
      <c r="E81">
        <f t="shared" si="5"/>
        <v>4</v>
      </c>
      <c r="F81">
        <f t="shared" si="6"/>
        <v>3</v>
      </c>
      <c r="G81">
        <f t="shared" si="7"/>
        <v>4</v>
      </c>
      <c r="H81" s="3" t="str">
        <f t="shared" si="8"/>
        <v>434</v>
      </c>
      <c r="I81" t="str">
        <f t="shared" si="9"/>
        <v>Potential Loyalist</v>
      </c>
    </row>
    <row r="82" spans="1:9" x14ac:dyDescent="0.25">
      <c r="A82" s="9" t="s">
        <v>251</v>
      </c>
      <c r="B82" s="9">
        <v>497</v>
      </c>
      <c r="C82" s="9">
        <v>7</v>
      </c>
      <c r="D82" s="10">
        <v>380.99</v>
      </c>
      <c r="E82">
        <f t="shared" si="5"/>
        <v>5</v>
      </c>
      <c r="F82">
        <f t="shared" si="6"/>
        <v>3</v>
      </c>
      <c r="G82">
        <f t="shared" si="7"/>
        <v>4</v>
      </c>
      <c r="H82" s="3" t="str">
        <f t="shared" si="8"/>
        <v>534</v>
      </c>
      <c r="I82" t="str">
        <f t="shared" si="9"/>
        <v>Potential Loyalist</v>
      </c>
    </row>
    <row r="83" spans="1:9" x14ac:dyDescent="0.25">
      <c r="A83" s="9" t="s">
        <v>253</v>
      </c>
      <c r="B83" s="9">
        <v>583</v>
      </c>
      <c r="C83" s="9">
        <v>10</v>
      </c>
      <c r="D83" s="10">
        <v>79</v>
      </c>
      <c r="E83">
        <f t="shared" si="5"/>
        <v>4</v>
      </c>
      <c r="F83">
        <f t="shared" si="6"/>
        <v>5</v>
      </c>
      <c r="G83">
        <f t="shared" si="7"/>
        <v>1</v>
      </c>
      <c r="H83" s="3" t="str">
        <f t="shared" si="8"/>
        <v>451</v>
      </c>
      <c r="I83" t="str">
        <f t="shared" si="9"/>
        <v>Potential Loyalist</v>
      </c>
    </row>
    <row r="84" spans="1:9" x14ac:dyDescent="0.25">
      <c r="A84" s="9" t="s">
        <v>255</v>
      </c>
      <c r="B84" s="9">
        <v>752</v>
      </c>
      <c r="C84" s="9">
        <v>2</v>
      </c>
      <c r="D84" s="10">
        <v>113.88</v>
      </c>
      <c r="E84">
        <f t="shared" si="5"/>
        <v>2</v>
      </c>
      <c r="F84">
        <f t="shared" si="6"/>
        <v>1</v>
      </c>
      <c r="G84">
        <f t="shared" si="7"/>
        <v>1</v>
      </c>
      <c r="H84" s="3" t="str">
        <f t="shared" si="8"/>
        <v>211</v>
      </c>
      <c r="I84" t="str">
        <f t="shared" si="9"/>
        <v>At Risk</v>
      </c>
    </row>
    <row r="85" spans="1:9" x14ac:dyDescent="0.25">
      <c r="A85" s="9" t="s">
        <v>257</v>
      </c>
      <c r="B85" s="9">
        <v>683</v>
      </c>
      <c r="C85" s="9">
        <v>4</v>
      </c>
      <c r="D85" s="10">
        <v>121.57</v>
      </c>
      <c r="E85">
        <f t="shared" si="5"/>
        <v>3</v>
      </c>
      <c r="F85">
        <f t="shared" si="6"/>
        <v>2</v>
      </c>
      <c r="G85">
        <f t="shared" si="7"/>
        <v>1</v>
      </c>
      <c r="H85" s="3" t="str">
        <f t="shared" si="8"/>
        <v>321</v>
      </c>
      <c r="I85" t="str">
        <f t="shared" si="9"/>
        <v>Lost Customer</v>
      </c>
    </row>
    <row r="86" spans="1:9" x14ac:dyDescent="0.25">
      <c r="A86" s="9" t="s">
        <v>259</v>
      </c>
      <c r="B86" s="9">
        <v>742</v>
      </c>
      <c r="C86" s="9">
        <v>11</v>
      </c>
      <c r="D86" s="10">
        <v>215.54</v>
      </c>
      <c r="E86">
        <f t="shared" si="5"/>
        <v>2</v>
      </c>
      <c r="F86">
        <f t="shared" si="6"/>
        <v>5</v>
      </c>
      <c r="G86">
        <f t="shared" si="7"/>
        <v>2</v>
      </c>
      <c r="H86" s="3" t="str">
        <f t="shared" si="8"/>
        <v>252</v>
      </c>
      <c r="I86" t="str">
        <f t="shared" si="9"/>
        <v>About To Sleep</v>
      </c>
    </row>
    <row r="87" spans="1:9" x14ac:dyDescent="0.25">
      <c r="A87" s="9" t="s">
        <v>261</v>
      </c>
      <c r="B87" s="9">
        <v>617</v>
      </c>
      <c r="C87" s="9">
        <v>10</v>
      </c>
      <c r="D87" s="10">
        <v>87.03</v>
      </c>
      <c r="E87">
        <f t="shared" si="5"/>
        <v>4</v>
      </c>
      <c r="F87">
        <f t="shared" si="6"/>
        <v>5</v>
      </c>
      <c r="G87">
        <f t="shared" si="7"/>
        <v>1</v>
      </c>
      <c r="H87" s="3" t="str">
        <f t="shared" si="8"/>
        <v>451</v>
      </c>
      <c r="I87" t="str">
        <f t="shared" si="9"/>
        <v>Potential Loyalist</v>
      </c>
    </row>
    <row r="88" spans="1:9" x14ac:dyDescent="0.25">
      <c r="A88" s="9" t="s">
        <v>263</v>
      </c>
      <c r="B88" s="9">
        <v>557</v>
      </c>
      <c r="C88" s="9">
        <v>4</v>
      </c>
      <c r="D88" s="10">
        <v>111.75</v>
      </c>
      <c r="E88">
        <f t="shared" si="5"/>
        <v>5</v>
      </c>
      <c r="F88">
        <f t="shared" si="6"/>
        <v>2</v>
      </c>
      <c r="G88">
        <f t="shared" si="7"/>
        <v>1</v>
      </c>
      <c r="H88" s="3" t="str">
        <f t="shared" si="8"/>
        <v>521</v>
      </c>
      <c r="I88" t="str">
        <f t="shared" si="9"/>
        <v>Lost Customer</v>
      </c>
    </row>
    <row r="89" spans="1:9" x14ac:dyDescent="0.25">
      <c r="A89" s="9" t="s">
        <v>265</v>
      </c>
      <c r="B89" s="9">
        <v>674</v>
      </c>
      <c r="C89" s="9">
        <v>2</v>
      </c>
      <c r="D89" s="10">
        <v>136.19999999999999</v>
      </c>
      <c r="E89">
        <f t="shared" si="5"/>
        <v>3</v>
      </c>
      <c r="F89">
        <f t="shared" si="6"/>
        <v>1</v>
      </c>
      <c r="G89">
        <f t="shared" si="7"/>
        <v>1</v>
      </c>
      <c r="H89" s="3" t="str">
        <f t="shared" si="8"/>
        <v>311</v>
      </c>
      <c r="I89" t="str">
        <f t="shared" si="9"/>
        <v>Lost Customer</v>
      </c>
    </row>
    <row r="90" spans="1:9" x14ac:dyDescent="0.25">
      <c r="A90" s="9" t="s">
        <v>267</v>
      </c>
      <c r="B90" s="9">
        <v>617</v>
      </c>
      <c r="C90" s="9">
        <v>4</v>
      </c>
      <c r="D90" s="10">
        <v>439.31</v>
      </c>
      <c r="E90">
        <f t="shared" si="5"/>
        <v>4</v>
      </c>
      <c r="F90">
        <f t="shared" si="6"/>
        <v>2</v>
      </c>
      <c r="G90">
        <f t="shared" si="7"/>
        <v>5</v>
      </c>
      <c r="H90" s="3" t="str">
        <f t="shared" si="8"/>
        <v>425</v>
      </c>
      <c r="I90" t="str">
        <f t="shared" si="9"/>
        <v>Big Spender</v>
      </c>
    </row>
    <row r="91" spans="1:9" x14ac:dyDescent="0.25">
      <c r="A91" s="9" t="s">
        <v>269</v>
      </c>
      <c r="B91" s="9">
        <v>753</v>
      </c>
      <c r="C91" s="9">
        <v>9</v>
      </c>
      <c r="D91" s="10">
        <v>194.93</v>
      </c>
      <c r="E91">
        <f t="shared" si="5"/>
        <v>2</v>
      </c>
      <c r="F91">
        <f t="shared" si="6"/>
        <v>4</v>
      </c>
      <c r="G91">
        <f t="shared" si="7"/>
        <v>2</v>
      </c>
      <c r="H91" s="3" t="str">
        <f t="shared" si="8"/>
        <v>242</v>
      </c>
      <c r="I91" t="str">
        <f t="shared" si="9"/>
        <v>About To Sleep</v>
      </c>
    </row>
    <row r="92" spans="1:9" x14ac:dyDescent="0.25">
      <c r="A92" s="9" t="s">
        <v>271</v>
      </c>
      <c r="B92" s="9">
        <v>707</v>
      </c>
      <c r="C92" s="9">
        <v>8</v>
      </c>
      <c r="D92" s="10">
        <v>377.67</v>
      </c>
      <c r="E92">
        <f t="shared" si="5"/>
        <v>2</v>
      </c>
      <c r="F92">
        <f t="shared" si="6"/>
        <v>4</v>
      </c>
      <c r="G92">
        <f t="shared" si="7"/>
        <v>4</v>
      </c>
      <c r="H92" s="3" t="str">
        <f t="shared" si="8"/>
        <v>244</v>
      </c>
      <c r="I92" t="str">
        <f t="shared" si="9"/>
        <v>Loyal Customer</v>
      </c>
    </row>
    <row r="93" spans="1:9" x14ac:dyDescent="0.25">
      <c r="A93" s="9" t="s">
        <v>273</v>
      </c>
      <c r="B93" s="9">
        <v>513</v>
      </c>
      <c r="C93" s="9">
        <v>10</v>
      </c>
      <c r="D93" s="10">
        <v>108.61</v>
      </c>
      <c r="E93">
        <f t="shared" si="5"/>
        <v>5</v>
      </c>
      <c r="F93">
        <f t="shared" si="6"/>
        <v>5</v>
      </c>
      <c r="G93">
        <f t="shared" si="7"/>
        <v>1</v>
      </c>
      <c r="H93" s="3" t="str">
        <f t="shared" si="8"/>
        <v>551</v>
      </c>
      <c r="I93" t="str">
        <f t="shared" si="9"/>
        <v>Potential Loyalist</v>
      </c>
    </row>
    <row r="94" spans="1:9" x14ac:dyDescent="0.25">
      <c r="A94" s="9" t="s">
        <v>276</v>
      </c>
      <c r="B94" s="9">
        <v>579</v>
      </c>
      <c r="C94" s="9">
        <v>7</v>
      </c>
      <c r="D94" s="10">
        <v>366.77</v>
      </c>
      <c r="E94">
        <f t="shared" si="5"/>
        <v>4</v>
      </c>
      <c r="F94">
        <f t="shared" si="6"/>
        <v>3</v>
      </c>
      <c r="G94">
        <f t="shared" si="7"/>
        <v>4</v>
      </c>
      <c r="H94" s="3" t="str">
        <f t="shared" si="8"/>
        <v>434</v>
      </c>
      <c r="I94" t="str">
        <f t="shared" si="9"/>
        <v>Potential Loyalist</v>
      </c>
    </row>
    <row r="95" spans="1:9" x14ac:dyDescent="0.25">
      <c r="A95" s="9" t="s">
        <v>278</v>
      </c>
      <c r="B95" s="9">
        <v>643</v>
      </c>
      <c r="C95" s="9">
        <v>5</v>
      </c>
      <c r="D95" s="10">
        <v>178.04</v>
      </c>
      <c r="E95">
        <f t="shared" si="5"/>
        <v>3</v>
      </c>
      <c r="F95">
        <f t="shared" si="6"/>
        <v>2</v>
      </c>
      <c r="G95">
        <f t="shared" si="7"/>
        <v>2</v>
      </c>
      <c r="H95" s="3" t="str">
        <f t="shared" si="8"/>
        <v>322</v>
      </c>
      <c r="I95" t="str">
        <f t="shared" si="9"/>
        <v>Lost Customer</v>
      </c>
    </row>
    <row r="96" spans="1:9" x14ac:dyDescent="0.25">
      <c r="A96" s="9" t="s">
        <v>280</v>
      </c>
      <c r="B96" s="9">
        <v>625</v>
      </c>
      <c r="C96" s="9">
        <v>8</v>
      </c>
      <c r="D96" s="10">
        <v>461.09</v>
      </c>
      <c r="E96">
        <f t="shared" si="5"/>
        <v>4</v>
      </c>
      <c r="F96">
        <f t="shared" si="6"/>
        <v>4</v>
      </c>
      <c r="G96">
        <f t="shared" si="7"/>
        <v>5</v>
      </c>
      <c r="H96" s="3" t="str">
        <f t="shared" si="8"/>
        <v>445</v>
      </c>
      <c r="I96" t="str">
        <f t="shared" si="9"/>
        <v>Champion</v>
      </c>
    </row>
    <row r="97" spans="1:9" x14ac:dyDescent="0.25">
      <c r="A97" s="9" t="s">
        <v>282</v>
      </c>
      <c r="B97" s="9">
        <v>661</v>
      </c>
      <c r="C97" s="9">
        <v>5</v>
      </c>
      <c r="D97" s="10">
        <v>211.16</v>
      </c>
      <c r="E97">
        <f t="shared" si="5"/>
        <v>3</v>
      </c>
      <c r="F97">
        <f t="shared" si="6"/>
        <v>2</v>
      </c>
      <c r="G97">
        <f t="shared" si="7"/>
        <v>2</v>
      </c>
      <c r="H97" s="3" t="str">
        <f t="shared" si="8"/>
        <v>322</v>
      </c>
      <c r="I97" t="str">
        <f t="shared" si="9"/>
        <v>Lost Customer</v>
      </c>
    </row>
    <row r="98" spans="1:9" x14ac:dyDescent="0.25">
      <c r="A98" s="9" t="s">
        <v>284</v>
      </c>
      <c r="B98" s="9">
        <v>763</v>
      </c>
      <c r="C98" s="9">
        <v>8</v>
      </c>
      <c r="D98" s="10">
        <v>421.95</v>
      </c>
      <c r="E98">
        <f t="shared" si="5"/>
        <v>1</v>
      </c>
      <c r="F98">
        <f t="shared" si="6"/>
        <v>4</v>
      </c>
      <c r="G98">
        <f t="shared" si="7"/>
        <v>5</v>
      </c>
      <c r="H98" s="3" t="str">
        <f t="shared" si="8"/>
        <v>145</v>
      </c>
      <c r="I98" t="str">
        <f t="shared" si="9"/>
        <v>Loyal Customer</v>
      </c>
    </row>
    <row r="99" spans="1:9" x14ac:dyDescent="0.25">
      <c r="A99" s="9" t="s">
        <v>286</v>
      </c>
      <c r="B99" s="9">
        <v>552</v>
      </c>
      <c r="C99" s="9">
        <v>5</v>
      </c>
      <c r="D99" s="10">
        <v>378.59</v>
      </c>
      <c r="E99">
        <f t="shared" si="5"/>
        <v>5</v>
      </c>
      <c r="F99">
        <f t="shared" si="6"/>
        <v>2</v>
      </c>
      <c r="G99">
        <f t="shared" si="7"/>
        <v>4</v>
      </c>
      <c r="H99" s="3" t="str">
        <f t="shared" si="8"/>
        <v>524</v>
      </c>
      <c r="I99" t="str">
        <f t="shared" si="9"/>
        <v>Big Spender</v>
      </c>
    </row>
    <row r="100" spans="1:9" x14ac:dyDescent="0.25">
      <c r="A100" s="9" t="s">
        <v>288</v>
      </c>
      <c r="B100" s="9">
        <v>513</v>
      </c>
      <c r="C100" s="9">
        <v>2</v>
      </c>
      <c r="D100" s="10">
        <v>268.93</v>
      </c>
      <c r="E100">
        <f t="shared" si="5"/>
        <v>5</v>
      </c>
      <c r="F100">
        <f t="shared" si="6"/>
        <v>1</v>
      </c>
      <c r="G100">
        <f t="shared" si="7"/>
        <v>3</v>
      </c>
      <c r="H100" s="3" t="str">
        <f t="shared" si="8"/>
        <v>513</v>
      </c>
      <c r="I100" t="str">
        <f t="shared" si="9"/>
        <v>Others</v>
      </c>
    </row>
    <row r="101" spans="1:9" x14ac:dyDescent="0.25">
      <c r="A101" s="9" t="s">
        <v>290</v>
      </c>
      <c r="B101" s="9">
        <v>507</v>
      </c>
      <c r="C101" s="9">
        <v>11</v>
      </c>
      <c r="D101" s="10">
        <v>444.87</v>
      </c>
      <c r="E101">
        <f t="shared" si="5"/>
        <v>5</v>
      </c>
      <c r="F101">
        <f t="shared" si="6"/>
        <v>5</v>
      </c>
      <c r="G101">
        <f t="shared" si="7"/>
        <v>5</v>
      </c>
      <c r="H101" s="3" t="str">
        <f t="shared" si="8"/>
        <v>555</v>
      </c>
      <c r="I101" t="str">
        <f t="shared" si="9"/>
        <v>Champion</v>
      </c>
    </row>
    <row r="102" spans="1:9" x14ac:dyDescent="0.25">
      <c r="A102" s="9" t="s">
        <v>292</v>
      </c>
      <c r="B102" s="9">
        <v>650</v>
      </c>
      <c r="C102" s="9">
        <v>7</v>
      </c>
      <c r="D102" s="10">
        <v>160.82</v>
      </c>
      <c r="E102">
        <f t="shared" si="5"/>
        <v>3</v>
      </c>
      <c r="F102">
        <f t="shared" si="6"/>
        <v>3</v>
      </c>
      <c r="G102">
        <f t="shared" si="7"/>
        <v>2</v>
      </c>
      <c r="H102" s="3" t="str">
        <f t="shared" si="8"/>
        <v>332</v>
      </c>
      <c r="I102" t="str">
        <f t="shared" si="9"/>
        <v>Others</v>
      </c>
    </row>
    <row r="103" spans="1:9" x14ac:dyDescent="0.25">
      <c r="A103" s="9" t="s">
        <v>294</v>
      </c>
      <c r="B103" s="9">
        <v>625</v>
      </c>
      <c r="C103" s="9">
        <v>6</v>
      </c>
      <c r="D103" s="10">
        <v>494.18</v>
      </c>
      <c r="E103">
        <f t="shared" si="5"/>
        <v>4</v>
      </c>
      <c r="F103">
        <f t="shared" si="6"/>
        <v>3</v>
      </c>
      <c r="G103">
        <f t="shared" si="7"/>
        <v>5</v>
      </c>
      <c r="H103" s="3" t="str">
        <f t="shared" si="8"/>
        <v>435</v>
      </c>
      <c r="I103" t="str">
        <f t="shared" si="9"/>
        <v>Potential Loyalist</v>
      </c>
    </row>
    <row r="104" spans="1:9" x14ac:dyDescent="0.25">
      <c r="A104" s="9" t="s">
        <v>296</v>
      </c>
      <c r="B104" s="9">
        <v>502</v>
      </c>
      <c r="C104" s="9">
        <v>5</v>
      </c>
      <c r="D104" s="10">
        <v>177.05</v>
      </c>
      <c r="E104">
        <f t="shared" si="5"/>
        <v>5</v>
      </c>
      <c r="F104">
        <f t="shared" si="6"/>
        <v>2</v>
      </c>
      <c r="G104">
        <f t="shared" si="7"/>
        <v>2</v>
      </c>
      <c r="H104" s="3" t="str">
        <f t="shared" si="8"/>
        <v>522</v>
      </c>
      <c r="I104" t="str">
        <f t="shared" si="9"/>
        <v>Lost Customer</v>
      </c>
    </row>
    <row r="105" spans="1:9" x14ac:dyDescent="0.25">
      <c r="A105" s="9" t="s">
        <v>298</v>
      </c>
      <c r="B105" s="9">
        <v>676</v>
      </c>
      <c r="C105" s="9">
        <v>7</v>
      </c>
      <c r="D105" s="10">
        <v>450.66</v>
      </c>
      <c r="E105">
        <f t="shared" si="5"/>
        <v>3</v>
      </c>
      <c r="F105">
        <f t="shared" si="6"/>
        <v>3</v>
      </c>
      <c r="G105">
        <f t="shared" si="7"/>
        <v>5</v>
      </c>
      <c r="H105" s="3" t="str">
        <f t="shared" si="8"/>
        <v>335</v>
      </c>
      <c r="I105" t="str">
        <f t="shared" si="9"/>
        <v>Big Spender</v>
      </c>
    </row>
    <row r="106" spans="1:9" x14ac:dyDescent="0.25">
      <c r="A106" s="9" t="s">
        <v>300</v>
      </c>
      <c r="B106" s="9">
        <v>646</v>
      </c>
      <c r="C106" s="9">
        <v>6</v>
      </c>
      <c r="D106" s="10">
        <v>164.27</v>
      </c>
      <c r="E106">
        <f t="shared" si="5"/>
        <v>3</v>
      </c>
      <c r="F106">
        <f t="shared" si="6"/>
        <v>3</v>
      </c>
      <c r="G106">
        <f t="shared" si="7"/>
        <v>2</v>
      </c>
      <c r="H106" s="3" t="str">
        <f t="shared" si="8"/>
        <v>332</v>
      </c>
      <c r="I106" t="str">
        <f t="shared" si="9"/>
        <v>Others</v>
      </c>
    </row>
    <row r="107" spans="1:9" x14ac:dyDescent="0.25">
      <c r="A107" s="9" t="s">
        <v>302</v>
      </c>
      <c r="B107" s="9">
        <v>593</v>
      </c>
      <c r="C107" s="9">
        <v>12</v>
      </c>
      <c r="D107" s="10">
        <v>346.36</v>
      </c>
      <c r="E107">
        <f t="shared" si="5"/>
        <v>4</v>
      </c>
      <c r="F107">
        <f t="shared" si="6"/>
        <v>5</v>
      </c>
      <c r="G107">
        <f t="shared" si="7"/>
        <v>4</v>
      </c>
      <c r="H107" s="3" t="str">
        <f t="shared" si="8"/>
        <v>454</v>
      </c>
      <c r="I107" t="str">
        <f t="shared" si="9"/>
        <v>Champion</v>
      </c>
    </row>
    <row r="108" spans="1:9" x14ac:dyDescent="0.25">
      <c r="A108" s="9" t="s">
        <v>304</v>
      </c>
      <c r="B108" s="9">
        <v>602</v>
      </c>
      <c r="C108" s="9">
        <v>9</v>
      </c>
      <c r="D108" s="10">
        <v>377.77</v>
      </c>
      <c r="E108">
        <f t="shared" si="5"/>
        <v>4</v>
      </c>
      <c r="F108">
        <f t="shared" si="6"/>
        <v>4</v>
      </c>
      <c r="G108">
        <f t="shared" si="7"/>
        <v>4</v>
      </c>
      <c r="H108" s="3" t="str">
        <f t="shared" si="8"/>
        <v>444</v>
      </c>
      <c r="I108" t="str">
        <f t="shared" si="9"/>
        <v>Champion</v>
      </c>
    </row>
    <row r="109" spans="1:9" x14ac:dyDescent="0.25">
      <c r="A109" s="9" t="s">
        <v>306</v>
      </c>
      <c r="B109" s="9">
        <v>785</v>
      </c>
      <c r="C109" s="9">
        <v>2</v>
      </c>
      <c r="D109" s="10">
        <v>163.41</v>
      </c>
      <c r="E109">
        <f t="shared" si="5"/>
        <v>1</v>
      </c>
      <c r="F109">
        <f t="shared" si="6"/>
        <v>1</v>
      </c>
      <c r="G109">
        <f t="shared" si="7"/>
        <v>2</v>
      </c>
      <c r="H109" s="3" t="str">
        <f t="shared" si="8"/>
        <v>112</v>
      </c>
      <c r="I109" t="str">
        <f t="shared" si="9"/>
        <v>At Risk</v>
      </c>
    </row>
    <row r="110" spans="1:9" x14ac:dyDescent="0.25">
      <c r="A110" s="9" t="s">
        <v>308</v>
      </c>
      <c r="B110" s="9">
        <v>735</v>
      </c>
      <c r="C110" s="9">
        <v>10</v>
      </c>
      <c r="D110" s="10">
        <v>467.58</v>
      </c>
      <c r="E110">
        <f t="shared" si="5"/>
        <v>2</v>
      </c>
      <c r="F110">
        <f t="shared" si="6"/>
        <v>5</v>
      </c>
      <c r="G110">
        <f t="shared" si="7"/>
        <v>5</v>
      </c>
      <c r="H110" s="3" t="str">
        <f t="shared" si="8"/>
        <v>255</v>
      </c>
      <c r="I110" t="str">
        <f t="shared" si="9"/>
        <v>Loyal Customer</v>
      </c>
    </row>
    <row r="111" spans="1:9" x14ac:dyDescent="0.25">
      <c r="A111" s="9" t="s">
        <v>310</v>
      </c>
      <c r="B111" s="9">
        <v>658</v>
      </c>
      <c r="C111" s="9">
        <v>10</v>
      </c>
      <c r="D111" s="10">
        <v>247.51</v>
      </c>
      <c r="E111">
        <f t="shared" si="5"/>
        <v>3</v>
      </c>
      <c r="F111">
        <f t="shared" si="6"/>
        <v>5</v>
      </c>
      <c r="G111">
        <f t="shared" si="7"/>
        <v>3</v>
      </c>
      <c r="H111" s="3" t="str">
        <f t="shared" si="8"/>
        <v>353</v>
      </c>
      <c r="I111" t="str">
        <f t="shared" si="9"/>
        <v>Others</v>
      </c>
    </row>
    <row r="112" spans="1:9" x14ac:dyDescent="0.25">
      <c r="A112" s="9" t="s">
        <v>312</v>
      </c>
      <c r="B112" s="9">
        <v>598</v>
      </c>
      <c r="C112" s="9">
        <v>3</v>
      </c>
      <c r="D112" s="10">
        <v>365.1</v>
      </c>
      <c r="E112">
        <f t="shared" si="5"/>
        <v>4</v>
      </c>
      <c r="F112">
        <f t="shared" si="6"/>
        <v>1</v>
      </c>
      <c r="G112">
        <f t="shared" si="7"/>
        <v>4</v>
      </c>
      <c r="H112" s="3" t="str">
        <f t="shared" si="8"/>
        <v>414</v>
      </c>
      <c r="I112" t="str">
        <f t="shared" si="9"/>
        <v>Big Spender</v>
      </c>
    </row>
    <row r="113" spans="1:9" x14ac:dyDescent="0.25">
      <c r="A113" s="9" t="s">
        <v>314</v>
      </c>
      <c r="B113" s="9">
        <v>523</v>
      </c>
      <c r="C113" s="9">
        <v>5</v>
      </c>
      <c r="D113" s="10">
        <v>485.42</v>
      </c>
      <c r="E113">
        <f t="shared" si="5"/>
        <v>5</v>
      </c>
      <c r="F113">
        <f t="shared" si="6"/>
        <v>2</v>
      </c>
      <c r="G113">
        <f t="shared" si="7"/>
        <v>5</v>
      </c>
      <c r="H113" s="3" t="str">
        <f t="shared" si="8"/>
        <v>525</v>
      </c>
      <c r="I113" t="str">
        <f t="shared" si="9"/>
        <v>Big Spender</v>
      </c>
    </row>
    <row r="114" spans="1:9" x14ac:dyDescent="0.25">
      <c r="A114" s="9" t="s">
        <v>316</v>
      </c>
      <c r="B114" s="9">
        <v>479</v>
      </c>
      <c r="C114" s="9">
        <v>4</v>
      </c>
      <c r="D114" s="10">
        <v>250.54</v>
      </c>
      <c r="E114">
        <f t="shared" si="5"/>
        <v>5</v>
      </c>
      <c r="F114">
        <f t="shared" si="6"/>
        <v>2</v>
      </c>
      <c r="G114">
        <f t="shared" si="7"/>
        <v>3</v>
      </c>
      <c r="H114" s="3" t="str">
        <f t="shared" si="8"/>
        <v>523</v>
      </c>
      <c r="I114" t="str">
        <f t="shared" si="9"/>
        <v>Others</v>
      </c>
    </row>
    <row r="115" spans="1:9" x14ac:dyDescent="0.25">
      <c r="A115" s="9" t="s">
        <v>318</v>
      </c>
      <c r="B115" s="9">
        <v>621</v>
      </c>
      <c r="C115" s="9">
        <v>5</v>
      </c>
      <c r="D115" s="10">
        <v>163.13999999999999</v>
      </c>
      <c r="E115">
        <f t="shared" si="5"/>
        <v>4</v>
      </c>
      <c r="F115">
        <f t="shared" si="6"/>
        <v>2</v>
      </c>
      <c r="G115">
        <f t="shared" si="7"/>
        <v>2</v>
      </c>
      <c r="H115" s="3" t="str">
        <f t="shared" si="8"/>
        <v>422</v>
      </c>
      <c r="I115" t="str">
        <f t="shared" si="9"/>
        <v>Lost Customer</v>
      </c>
    </row>
    <row r="116" spans="1:9" x14ac:dyDescent="0.25">
      <c r="A116" s="9" t="s">
        <v>319</v>
      </c>
      <c r="B116" s="9">
        <v>562</v>
      </c>
      <c r="C116" s="9">
        <v>8</v>
      </c>
      <c r="D116" s="10">
        <v>162.31</v>
      </c>
      <c r="E116">
        <f t="shared" si="5"/>
        <v>4</v>
      </c>
      <c r="F116">
        <f t="shared" si="6"/>
        <v>4</v>
      </c>
      <c r="G116">
        <f t="shared" si="7"/>
        <v>2</v>
      </c>
      <c r="H116" s="3" t="str">
        <f t="shared" si="8"/>
        <v>442</v>
      </c>
      <c r="I116" t="str">
        <f t="shared" si="9"/>
        <v>Potential Loyalist</v>
      </c>
    </row>
    <row r="117" spans="1:9" x14ac:dyDescent="0.25">
      <c r="A117" s="9" t="s">
        <v>321</v>
      </c>
      <c r="B117" s="9">
        <v>796</v>
      </c>
      <c r="C117" s="9">
        <v>7</v>
      </c>
      <c r="D117" s="10">
        <v>328.21</v>
      </c>
      <c r="E117">
        <f t="shared" si="5"/>
        <v>1</v>
      </c>
      <c r="F117">
        <f t="shared" si="6"/>
        <v>3</v>
      </c>
      <c r="G117">
        <f t="shared" si="7"/>
        <v>4</v>
      </c>
      <c r="H117" s="3" t="str">
        <f t="shared" si="8"/>
        <v>134</v>
      </c>
      <c r="I117" t="str">
        <f t="shared" si="9"/>
        <v>Big Spender</v>
      </c>
    </row>
    <row r="118" spans="1:9" x14ac:dyDescent="0.25">
      <c r="A118" s="9" t="s">
        <v>323</v>
      </c>
      <c r="B118" s="9">
        <v>745</v>
      </c>
      <c r="C118" s="9">
        <v>4</v>
      </c>
      <c r="D118" s="10">
        <v>268.58999999999997</v>
      </c>
      <c r="E118">
        <f t="shared" si="5"/>
        <v>2</v>
      </c>
      <c r="F118">
        <f t="shared" si="6"/>
        <v>2</v>
      </c>
      <c r="G118">
        <f t="shared" si="7"/>
        <v>3</v>
      </c>
      <c r="H118" s="3" t="str">
        <f t="shared" si="8"/>
        <v>223</v>
      </c>
      <c r="I118" t="str">
        <f t="shared" si="9"/>
        <v>At Risk</v>
      </c>
    </row>
    <row r="119" spans="1:9" x14ac:dyDescent="0.25">
      <c r="A119" s="9" t="s">
        <v>325</v>
      </c>
      <c r="B119" s="9">
        <v>809</v>
      </c>
      <c r="C119" s="9">
        <v>7</v>
      </c>
      <c r="D119" s="10">
        <v>257.37</v>
      </c>
      <c r="E119">
        <f t="shared" si="5"/>
        <v>1</v>
      </c>
      <c r="F119">
        <f t="shared" si="6"/>
        <v>3</v>
      </c>
      <c r="G119">
        <f t="shared" si="7"/>
        <v>3</v>
      </c>
      <c r="H119" s="3" t="str">
        <f t="shared" si="8"/>
        <v>133</v>
      </c>
      <c r="I119" t="str">
        <f t="shared" si="9"/>
        <v>About To Sleep</v>
      </c>
    </row>
    <row r="120" spans="1:9" x14ac:dyDescent="0.25">
      <c r="A120" s="9" t="s">
        <v>327</v>
      </c>
      <c r="B120" s="9">
        <v>527</v>
      </c>
      <c r="C120" s="9">
        <v>4</v>
      </c>
      <c r="D120" s="10">
        <v>205.49</v>
      </c>
      <c r="E120">
        <f t="shared" si="5"/>
        <v>5</v>
      </c>
      <c r="F120">
        <f t="shared" si="6"/>
        <v>2</v>
      </c>
      <c r="G120">
        <f t="shared" si="7"/>
        <v>2</v>
      </c>
      <c r="H120" s="3" t="str">
        <f t="shared" si="8"/>
        <v>522</v>
      </c>
      <c r="I120" t="str">
        <f t="shared" si="9"/>
        <v>Lost Customer</v>
      </c>
    </row>
    <row r="121" spans="1:9" x14ac:dyDescent="0.25">
      <c r="A121" s="9" t="s">
        <v>329</v>
      </c>
      <c r="B121" s="9">
        <v>672</v>
      </c>
      <c r="C121" s="9">
        <v>7</v>
      </c>
      <c r="D121" s="10">
        <v>407.91</v>
      </c>
      <c r="E121">
        <f t="shared" si="5"/>
        <v>3</v>
      </c>
      <c r="F121">
        <f t="shared" si="6"/>
        <v>3</v>
      </c>
      <c r="G121">
        <f t="shared" si="7"/>
        <v>4</v>
      </c>
      <c r="H121" s="3" t="str">
        <f t="shared" si="8"/>
        <v>334</v>
      </c>
      <c r="I121" t="str">
        <f t="shared" si="9"/>
        <v>Big Spender</v>
      </c>
    </row>
    <row r="122" spans="1:9" x14ac:dyDescent="0.25">
      <c r="A122" s="9" t="s">
        <v>331</v>
      </c>
      <c r="B122" s="9">
        <v>688</v>
      </c>
      <c r="C122" s="9">
        <v>6</v>
      </c>
      <c r="D122" s="10">
        <v>254.73</v>
      </c>
      <c r="E122">
        <f t="shared" si="5"/>
        <v>3</v>
      </c>
      <c r="F122">
        <f t="shared" si="6"/>
        <v>3</v>
      </c>
      <c r="G122">
        <f t="shared" si="7"/>
        <v>3</v>
      </c>
      <c r="H122" s="3" t="str">
        <f t="shared" si="8"/>
        <v>333</v>
      </c>
      <c r="I122" t="str">
        <f t="shared" si="9"/>
        <v>Others</v>
      </c>
    </row>
    <row r="123" spans="1:9" x14ac:dyDescent="0.25">
      <c r="A123" s="9" t="s">
        <v>333</v>
      </c>
      <c r="B123" s="9">
        <v>573</v>
      </c>
      <c r="C123" s="9">
        <v>12</v>
      </c>
      <c r="D123" s="10">
        <v>397.78</v>
      </c>
      <c r="E123">
        <f t="shared" si="5"/>
        <v>4</v>
      </c>
      <c r="F123">
        <f t="shared" si="6"/>
        <v>5</v>
      </c>
      <c r="G123">
        <f t="shared" si="7"/>
        <v>4</v>
      </c>
      <c r="H123" s="3" t="str">
        <f t="shared" si="8"/>
        <v>454</v>
      </c>
      <c r="I123" t="str">
        <f t="shared" si="9"/>
        <v>Champion</v>
      </c>
    </row>
    <row r="124" spans="1:9" x14ac:dyDescent="0.25">
      <c r="A124" s="9" t="s">
        <v>335</v>
      </c>
      <c r="B124" s="9">
        <v>592</v>
      </c>
      <c r="C124" s="9">
        <v>3</v>
      </c>
      <c r="D124" s="10">
        <v>305.29000000000002</v>
      </c>
      <c r="E124">
        <f t="shared" si="5"/>
        <v>4</v>
      </c>
      <c r="F124">
        <f t="shared" si="6"/>
        <v>1</v>
      </c>
      <c r="G124">
        <f t="shared" si="7"/>
        <v>3</v>
      </c>
      <c r="H124" s="3" t="str">
        <f t="shared" si="8"/>
        <v>413</v>
      </c>
      <c r="I124" t="str">
        <f t="shared" si="9"/>
        <v>Others</v>
      </c>
    </row>
    <row r="125" spans="1:9" x14ac:dyDescent="0.25">
      <c r="A125" s="9" t="s">
        <v>337</v>
      </c>
      <c r="B125" s="9">
        <v>677</v>
      </c>
      <c r="C125" s="9">
        <v>6</v>
      </c>
      <c r="D125" s="10">
        <v>257.86</v>
      </c>
      <c r="E125">
        <f t="shared" si="5"/>
        <v>3</v>
      </c>
      <c r="F125">
        <f t="shared" si="6"/>
        <v>3</v>
      </c>
      <c r="G125">
        <f t="shared" si="7"/>
        <v>3</v>
      </c>
      <c r="H125" s="3" t="str">
        <f t="shared" si="8"/>
        <v>333</v>
      </c>
      <c r="I125" t="str">
        <f t="shared" si="9"/>
        <v>Others</v>
      </c>
    </row>
    <row r="126" spans="1:9" x14ac:dyDescent="0.25">
      <c r="A126" s="9" t="s">
        <v>339</v>
      </c>
      <c r="B126" s="9">
        <v>561</v>
      </c>
      <c r="C126" s="9">
        <v>12</v>
      </c>
      <c r="D126" s="10">
        <v>393.45</v>
      </c>
      <c r="E126">
        <f t="shared" si="5"/>
        <v>4</v>
      </c>
      <c r="F126">
        <f t="shared" si="6"/>
        <v>5</v>
      </c>
      <c r="G126">
        <f t="shared" si="7"/>
        <v>4</v>
      </c>
      <c r="H126" s="3" t="str">
        <f t="shared" si="8"/>
        <v>454</v>
      </c>
      <c r="I126" t="str">
        <f t="shared" si="9"/>
        <v>Champion</v>
      </c>
    </row>
    <row r="127" spans="1:9" x14ac:dyDescent="0.25">
      <c r="A127" s="9" t="s">
        <v>341</v>
      </c>
      <c r="B127" s="9">
        <v>630</v>
      </c>
      <c r="C127" s="9">
        <v>6</v>
      </c>
      <c r="D127" s="10">
        <v>58.49</v>
      </c>
      <c r="E127">
        <f t="shared" si="5"/>
        <v>3</v>
      </c>
      <c r="F127">
        <f t="shared" si="6"/>
        <v>3</v>
      </c>
      <c r="G127">
        <f t="shared" si="7"/>
        <v>1</v>
      </c>
      <c r="H127" s="3" t="str">
        <f t="shared" si="8"/>
        <v>331</v>
      </c>
      <c r="I127" t="str">
        <f t="shared" si="9"/>
        <v>Others</v>
      </c>
    </row>
    <row r="128" spans="1:9" x14ac:dyDescent="0.25">
      <c r="A128" s="9" t="s">
        <v>343</v>
      </c>
      <c r="B128" s="9">
        <v>549</v>
      </c>
      <c r="C128" s="9">
        <v>11</v>
      </c>
      <c r="D128" s="10">
        <v>226.48</v>
      </c>
      <c r="E128">
        <f t="shared" si="5"/>
        <v>5</v>
      </c>
      <c r="F128">
        <f t="shared" si="6"/>
        <v>5</v>
      </c>
      <c r="G128">
        <f t="shared" si="7"/>
        <v>2</v>
      </c>
      <c r="H128" s="3" t="str">
        <f t="shared" si="8"/>
        <v>552</v>
      </c>
      <c r="I128" t="str">
        <f t="shared" si="9"/>
        <v>Potential Loyalist</v>
      </c>
    </row>
    <row r="129" spans="1:9" x14ac:dyDescent="0.25">
      <c r="A129" s="9" t="s">
        <v>345</v>
      </c>
      <c r="B129" s="9">
        <v>621</v>
      </c>
      <c r="C129" s="9">
        <v>6</v>
      </c>
      <c r="D129" s="10">
        <v>469.22</v>
      </c>
      <c r="E129">
        <f t="shared" si="5"/>
        <v>4</v>
      </c>
      <c r="F129">
        <f t="shared" si="6"/>
        <v>3</v>
      </c>
      <c r="G129">
        <f t="shared" si="7"/>
        <v>5</v>
      </c>
      <c r="H129" s="3" t="str">
        <f t="shared" si="8"/>
        <v>435</v>
      </c>
      <c r="I129" t="str">
        <f t="shared" si="9"/>
        <v>Potential Loyalist</v>
      </c>
    </row>
    <row r="130" spans="1:9" x14ac:dyDescent="0.25">
      <c r="A130" s="9" t="s">
        <v>347</v>
      </c>
      <c r="B130" s="9">
        <v>616</v>
      </c>
      <c r="C130" s="9">
        <v>6</v>
      </c>
      <c r="D130" s="10">
        <v>335.32</v>
      </c>
      <c r="E130">
        <f t="shared" si="5"/>
        <v>4</v>
      </c>
      <c r="F130">
        <f t="shared" si="6"/>
        <v>3</v>
      </c>
      <c r="G130">
        <f t="shared" si="7"/>
        <v>4</v>
      </c>
      <c r="H130" s="3" t="str">
        <f t="shared" si="8"/>
        <v>434</v>
      </c>
      <c r="I130" t="str">
        <f t="shared" si="9"/>
        <v>Potential Loyalist</v>
      </c>
    </row>
    <row r="131" spans="1:9" x14ac:dyDescent="0.25">
      <c r="A131" s="9" t="s">
        <v>349</v>
      </c>
      <c r="B131" s="9">
        <v>509</v>
      </c>
      <c r="C131" s="9">
        <v>5</v>
      </c>
      <c r="D131" s="10">
        <v>184.74</v>
      </c>
      <c r="E131">
        <f t="shared" ref="E131:E194" si="10">IF(B131 &lt;= _xlfn.PERCENTILE.INC($B$2:$B$1001, 0.2), 5,
 IF(B131 &lt;= _xlfn.PERCENTILE.INC($B$2:$B$1001, 0.4), 4,
 IF(B131 &lt;= _xlfn.PERCENTILE.INC($B$2:$B$1001, 0.6), 3,
 IF(B131 &lt;= _xlfn.PERCENTILE.INC($B$2:$B$1001, 0.8), 2, 1))))</f>
        <v>5</v>
      </c>
      <c r="F131">
        <f t="shared" ref="F131:F194" si="11">IF(C131 &gt;= _xlfn.PERCENTILE.INC($C$2:$C$1001, 0.8), 5,
 IF(C131 &gt;= _xlfn.PERCENTILE.INC($C$2:$C$1001, 0.6), 4,
 IF(C131 &gt;= _xlfn.PERCENTILE.INC($C$2:$C$1001, 0.4), 3,
 IF(C131 &gt;= _xlfn.PERCENTILE.INC($C$2:$C$1001, 0.2), 2, 1))))</f>
        <v>2</v>
      </c>
      <c r="G131">
        <f t="shared" ref="G131:G194" si="12">IF(D131 &gt;= _xlfn.PERCENTILE.INC($D$2:$D$1001, 0.8), 5,
 IF(D131 &gt;= _xlfn.PERCENTILE.INC($D$2:$D$1001, 0.6), 4,
 IF(D131 &gt;= _xlfn.PERCENTILE.INC($D$2:$D$1001, 0.4), 3,
 IF(D131 &gt;= _xlfn.PERCENTILE.INC($D$2:$D$1001, 0.2), 2, 1))))</f>
        <v>2</v>
      </c>
      <c r="H131" s="3" t="str">
        <f t="shared" ref="H131:H194" si="13">TEXT(E131,"0") &amp; TEXT(F131,"0") &amp; TEXT(G131,"0")</f>
        <v>522</v>
      </c>
      <c r="I131" t="str">
        <f t="shared" ref="I131:I194" si="14">IF(AND(E131&gt;=4, F131&gt;=4, G131&gt;=4), "Champion",
 IF(AND(F131&gt;=4, G131&gt;=4), "Loyal Customer",
 IF(AND(E131&gt;=4, F131&gt;=3), "Potential Loyalist",
 IF(G131&gt;=4, "Big Spender",
 IF(AND(E131&lt;=2, F131&lt;=2), "At Risk",
 IF(E131&lt;=2, "About To Sleep",
 IF(AND(F131&lt;=2, G131&lt;=2), "Lost Customer", "Others")))))))</f>
        <v>Lost Customer</v>
      </c>
    </row>
    <row r="132" spans="1:9" x14ac:dyDescent="0.25">
      <c r="A132" s="9" t="s">
        <v>351</v>
      </c>
      <c r="B132" s="9">
        <v>816</v>
      </c>
      <c r="C132" s="9">
        <v>5</v>
      </c>
      <c r="D132" s="10">
        <v>442.18</v>
      </c>
      <c r="E132">
        <f t="shared" si="10"/>
        <v>1</v>
      </c>
      <c r="F132">
        <f t="shared" si="11"/>
        <v>2</v>
      </c>
      <c r="G132">
        <f t="shared" si="12"/>
        <v>5</v>
      </c>
      <c r="H132" s="3" t="str">
        <f t="shared" si="13"/>
        <v>125</v>
      </c>
      <c r="I132" t="str">
        <f t="shared" si="14"/>
        <v>Big Spender</v>
      </c>
    </row>
    <row r="133" spans="1:9" x14ac:dyDescent="0.25">
      <c r="A133" s="9" t="s">
        <v>354</v>
      </c>
      <c r="B133" s="9">
        <v>710</v>
      </c>
      <c r="C133" s="9">
        <v>8</v>
      </c>
      <c r="D133" s="10">
        <v>427.1</v>
      </c>
      <c r="E133">
        <f t="shared" si="10"/>
        <v>2</v>
      </c>
      <c r="F133">
        <f t="shared" si="11"/>
        <v>4</v>
      </c>
      <c r="G133">
        <f t="shared" si="12"/>
        <v>5</v>
      </c>
      <c r="H133" s="3" t="str">
        <f t="shared" si="13"/>
        <v>245</v>
      </c>
      <c r="I133" t="str">
        <f t="shared" si="14"/>
        <v>Loyal Customer</v>
      </c>
    </row>
    <row r="134" spans="1:9" x14ac:dyDescent="0.25">
      <c r="A134" s="9" t="s">
        <v>356</v>
      </c>
      <c r="B134" s="9">
        <v>728</v>
      </c>
      <c r="C134" s="9">
        <v>4</v>
      </c>
      <c r="D134" s="10">
        <v>326.82</v>
      </c>
      <c r="E134">
        <f t="shared" si="10"/>
        <v>2</v>
      </c>
      <c r="F134">
        <f t="shared" si="11"/>
        <v>2</v>
      </c>
      <c r="G134">
        <f t="shared" si="12"/>
        <v>4</v>
      </c>
      <c r="H134" s="3" t="str">
        <f t="shared" si="13"/>
        <v>224</v>
      </c>
      <c r="I134" t="str">
        <f t="shared" si="14"/>
        <v>Big Spender</v>
      </c>
    </row>
    <row r="135" spans="1:9" x14ac:dyDescent="0.25">
      <c r="A135" s="9" t="s">
        <v>358</v>
      </c>
      <c r="B135" s="9">
        <v>762</v>
      </c>
      <c r="C135" s="9">
        <v>12</v>
      </c>
      <c r="D135" s="10">
        <v>98.97</v>
      </c>
      <c r="E135">
        <f t="shared" si="10"/>
        <v>1</v>
      </c>
      <c r="F135">
        <f t="shared" si="11"/>
        <v>5</v>
      </c>
      <c r="G135">
        <f t="shared" si="12"/>
        <v>1</v>
      </c>
      <c r="H135" s="3" t="str">
        <f t="shared" si="13"/>
        <v>151</v>
      </c>
      <c r="I135" t="str">
        <f t="shared" si="14"/>
        <v>About To Sleep</v>
      </c>
    </row>
    <row r="136" spans="1:9" x14ac:dyDescent="0.25">
      <c r="A136" s="9" t="s">
        <v>360</v>
      </c>
      <c r="B136" s="9">
        <v>817</v>
      </c>
      <c r="C136" s="9">
        <v>6</v>
      </c>
      <c r="D136" s="10">
        <v>77.650000000000006</v>
      </c>
      <c r="E136">
        <f t="shared" si="10"/>
        <v>1</v>
      </c>
      <c r="F136">
        <f t="shared" si="11"/>
        <v>3</v>
      </c>
      <c r="G136">
        <f t="shared" si="12"/>
        <v>1</v>
      </c>
      <c r="H136" s="3" t="str">
        <f t="shared" si="13"/>
        <v>131</v>
      </c>
      <c r="I136" t="str">
        <f t="shared" si="14"/>
        <v>About To Sleep</v>
      </c>
    </row>
    <row r="137" spans="1:9" x14ac:dyDescent="0.25">
      <c r="A137" s="9" t="s">
        <v>362</v>
      </c>
      <c r="B137" s="9">
        <v>563</v>
      </c>
      <c r="C137" s="9">
        <v>2</v>
      </c>
      <c r="D137" s="10">
        <v>85.61</v>
      </c>
      <c r="E137">
        <f t="shared" si="10"/>
        <v>4</v>
      </c>
      <c r="F137">
        <f t="shared" si="11"/>
        <v>1</v>
      </c>
      <c r="G137">
        <f t="shared" si="12"/>
        <v>1</v>
      </c>
      <c r="H137" s="3" t="str">
        <f t="shared" si="13"/>
        <v>411</v>
      </c>
      <c r="I137" t="str">
        <f t="shared" si="14"/>
        <v>Lost Customer</v>
      </c>
    </row>
    <row r="138" spans="1:9" x14ac:dyDescent="0.25">
      <c r="A138" s="9" t="s">
        <v>364</v>
      </c>
      <c r="B138" s="9">
        <v>697</v>
      </c>
      <c r="C138" s="9">
        <v>4</v>
      </c>
      <c r="D138" s="10">
        <v>164.79</v>
      </c>
      <c r="E138">
        <f t="shared" si="10"/>
        <v>2</v>
      </c>
      <c r="F138">
        <f t="shared" si="11"/>
        <v>2</v>
      </c>
      <c r="G138">
        <f t="shared" si="12"/>
        <v>2</v>
      </c>
      <c r="H138" s="3" t="str">
        <f t="shared" si="13"/>
        <v>222</v>
      </c>
      <c r="I138" t="str">
        <f t="shared" si="14"/>
        <v>At Risk</v>
      </c>
    </row>
    <row r="139" spans="1:9" x14ac:dyDescent="0.25">
      <c r="A139" s="9" t="s">
        <v>366</v>
      </c>
      <c r="B139" s="9">
        <v>523</v>
      </c>
      <c r="C139" s="9">
        <v>10</v>
      </c>
      <c r="D139" s="10">
        <v>235.46</v>
      </c>
      <c r="E139">
        <f t="shared" si="10"/>
        <v>5</v>
      </c>
      <c r="F139">
        <f t="shared" si="11"/>
        <v>5</v>
      </c>
      <c r="G139">
        <f t="shared" si="12"/>
        <v>3</v>
      </c>
      <c r="H139" s="3" t="str">
        <f t="shared" si="13"/>
        <v>553</v>
      </c>
      <c r="I139" t="str">
        <f t="shared" si="14"/>
        <v>Potential Loyalist</v>
      </c>
    </row>
    <row r="140" spans="1:9" x14ac:dyDescent="0.25">
      <c r="A140" s="9" t="s">
        <v>368</v>
      </c>
      <c r="B140" s="9">
        <v>778</v>
      </c>
      <c r="C140" s="9">
        <v>4</v>
      </c>
      <c r="D140" s="10">
        <v>245.14</v>
      </c>
      <c r="E140">
        <f t="shared" si="10"/>
        <v>1</v>
      </c>
      <c r="F140">
        <f t="shared" si="11"/>
        <v>2</v>
      </c>
      <c r="G140">
        <f t="shared" si="12"/>
        <v>3</v>
      </c>
      <c r="H140" s="3" t="str">
        <f t="shared" si="13"/>
        <v>123</v>
      </c>
      <c r="I140" t="str">
        <f t="shared" si="14"/>
        <v>At Risk</v>
      </c>
    </row>
    <row r="141" spans="1:9" x14ac:dyDescent="0.25">
      <c r="A141" s="9" t="s">
        <v>370</v>
      </c>
      <c r="B141" s="9">
        <v>778</v>
      </c>
      <c r="C141" s="9">
        <v>5</v>
      </c>
      <c r="D141" s="10">
        <v>439.91</v>
      </c>
      <c r="E141">
        <f t="shared" si="10"/>
        <v>1</v>
      </c>
      <c r="F141">
        <f t="shared" si="11"/>
        <v>2</v>
      </c>
      <c r="G141">
        <f t="shared" si="12"/>
        <v>5</v>
      </c>
      <c r="H141" s="3" t="str">
        <f t="shared" si="13"/>
        <v>125</v>
      </c>
      <c r="I141" t="str">
        <f t="shared" si="14"/>
        <v>Big Spender</v>
      </c>
    </row>
    <row r="142" spans="1:9" x14ac:dyDescent="0.25">
      <c r="A142" s="9" t="s">
        <v>372</v>
      </c>
      <c r="B142" s="9">
        <v>757</v>
      </c>
      <c r="C142" s="9">
        <v>5</v>
      </c>
      <c r="D142" s="10">
        <v>309.22000000000003</v>
      </c>
      <c r="E142">
        <f t="shared" si="10"/>
        <v>2</v>
      </c>
      <c r="F142">
        <f t="shared" si="11"/>
        <v>2</v>
      </c>
      <c r="G142">
        <f t="shared" si="12"/>
        <v>3</v>
      </c>
      <c r="H142" s="3" t="str">
        <f t="shared" si="13"/>
        <v>223</v>
      </c>
      <c r="I142" t="str">
        <f t="shared" si="14"/>
        <v>At Risk</v>
      </c>
    </row>
    <row r="143" spans="1:9" x14ac:dyDescent="0.25">
      <c r="A143" s="9" t="s">
        <v>374</v>
      </c>
      <c r="B143" s="9">
        <v>819</v>
      </c>
      <c r="C143" s="9">
        <v>10</v>
      </c>
      <c r="D143" s="10">
        <v>146.59</v>
      </c>
      <c r="E143">
        <f t="shared" si="10"/>
        <v>1</v>
      </c>
      <c r="F143">
        <f t="shared" si="11"/>
        <v>5</v>
      </c>
      <c r="G143">
        <f t="shared" si="12"/>
        <v>2</v>
      </c>
      <c r="H143" s="3" t="str">
        <f t="shared" si="13"/>
        <v>152</v>
      </c>
      <c r="I143" t="str">
        <f t="shared" si="14"/>
        <v>About To Sleep</v>
      </c>
    </row>
    <row r="144" spans="1:9" x14ac:dyDescent="0.25">
      <c r="A144" s="9" t="s">
        <v>376</v>
      </c>
      <c r="B144" s="9">
        <v>534</v>
      </c>
      <c r="C144" s="9">
        <v>4</v>
      </c>
      <c r="D144" s="10">
        <v>298.73</v>
      </c>
      <c r="E144">
        <f t="shared" si="10"/>
        <v>5</v>
      </c>
      <c r="F144">
        <f t="shared" si="11"/>
        <v>2</v>
      </c>
      <c r="G144">
        <f t="shared" si="12"/>
        <v>3</v>
      </c>
      <c r="H144" s="3" t="str">
        <f t="shared" si="13"/>
        <v>523</v>
      </c>
      <c r="I144" t="str">
        <f t="shared" si="14"/>
        <v>Others</v>
      </c>
    </row>
    <row r="145" spans="1:9" x14ac:dyDescent="0.25">
      <c r="A145" s="9" t="s">
        <v>378</v>
      </c>
      <c r="B145" s="9">
        <v>732</v>
      </c>
      <c r="C145" s="9">
        <v>2</v>
      </c>
      <c r="D145" s="10">
        <v>395.01</v>
      </c>
      <c r="E145">
        <f t="shared" si="10"/>
        <v>2</v>
      </c>
      <c r="F145">
        <f t="shared" si="11"/>
        <v>1</v>
      </c>
      <c r="G145">
        <f t="shared" si="12"/>
        <v>4</v>
      </c>
      <c r="H145" s="3" t="str">
        <f t="shared" si="13"/>
        <v>214</v>
      </c>
      <c r="I145" t="str">
        <f t="shared" si="14"/>
        <v>Big Spender</v>
      </c>
    </row>
    <row r="146" spans="1:9" x14ac:dyDescent="0.25">
      <c r="A146" s="9" t="s">
        <v>380</v>
      </c>
      <c r="B146" s="9">
        <v>601</v>
      </c>
      <c r="C146" s="9">
        <v>10</v>
      </c>
      <c r="D146" s="10">
        <v>371.19</v>
      </c>
      <c r="E146">
        <f t="shared" si="10"/>
        <v>4</v>
      </c>
      <c r="F146">
        <f t="shared" si="11"/>
        <v>5</v>
      </c>
      <c r="G146">
        <f t="shared" si="12"/>
        <v>4</v>
      </c>
      <c r="H146" s="3" t="str">
        <f t="shared" si="13"/>
        <v>454</v>
      </c>
      <c r="I146" t="str">
        <f t="shared" si="14"/>
        <v>Champion</v>
      </c>
    </row>
    <row r="147" spans="1:9" x14ac:dyDescent="0.25">
      <c r="A147" s="9" t="s">
        <v>382</v>
      </c>
      <c r="B147" s="9">
        <v>807</v>
      </c>
      <c r="C147" s="9">
        <v>10</v>
      </c>
      <c r="D147" s="10">
        <v>193.76</v>
      </c>
      <c r="E147">
        <f t="shared" si="10"/>
        <v>1</v>
      </c>
      <c r="F147">
        <f t="shared" si="11"/>
        <v>5</v>
      </c>
      <c r="G147">
        <f t="shared" si="12"/>
        <v>2</v>
      </c>
      <c r="H147" s="3" t="str">
        <f t="shared" si="13"/>
        <v>152</v>
      </c>
      <c r="I147" t="str">
        <f t="shared" si="14"/>
        <v>About To Sleep</v>
      </c>
    </row>
    <row r="148" spans="1:9" x14ac:dyDescent="0.25">
      <c r="A148" s="9" t="s">
        <v>384</v>
      </c>
      <c r="B148" s="9">
        <v>582</v>
      </c>
      <c r="C148" s="9">
        <v>6</v>
      </c>
      <c r="D148" s="10">
        <v>424.27</v>
      </c>
      <c r="E148">
        <f t="shared" si="10"/>
        <v>4</v>
      </c>
      <c r="F148">
        <f t="shared" si="11"/>
        <v>3</v>
      </c>
      <c r="G148">
        <f t="shared" si="12"/>
        <v>5</v>
      </c>
      <c r="H148" s="3" t="str">
        <f t="shared" si="13"/>
        <v>435</v>
      </c>
      <c r="I148" t="str">
        <f t="shared" si="14"/>
        <v>Potential Loyalist</v>
      </c>
    </row>
    <row r="149" spans="1:9" x14ac:dyDescent="0.25">
      <c r="A149" s="9" t="s">
        <v>386</v>
      </c>
      <c r="B149" s="9">
        <v>681</v>
      </c>
      <c r="C149" s="9">
        <v>2</v>
      </c>
      <c r="D149" s="10">
        <v>496.11</v>
      </c>
      <c r="E149">
        <f t="shared" si="10"/>
        <v>3</v>
      </c>
      <c r="F149">
        <f t="shared" si="11"/>
        <v>1</v>
      </c>
      <c r="G149">
        <f t="shared" si="12"/>
        <v>5</v>
      </c>
      <c r="H149" s="3" t="str">
        <f t="shared" si="13"/>
        <v>315</v>
      </c>
      <c r="I149" t="str">
        <f t="shared" si="14"/>
        <v>Big Spender</v>
      </c>
    </row>
    <row r="150" spans="1:9" x14ac:dyDescent="0.25">
      <c r="A150" s="9" t="s">
        <v>388</v>
      </c>
      <c r="B150" s="9">
        <v>689</v>
      </c>
      <c r="C150" s="9">
        <v>3</v>
      </c>
      <c r="D150" s="10">
        <v>341.91</v>
      </c>
      <c r="E150">
        <f t="shared" si="10"/>
        <v>3</v>
      </c>
      <c r="F150">
        <f t="shared" si="11"/>
        <v>1</v>
      </c>
      <c r="G150">
        <f t="shared" si="12"/>
        <v>4</v>
      </c>
      <c r="H150" s="3" t="str">
        <f t="shared" si="13"/>
        <v>314</v>
      </c>
      <c r="I150" t="str">
        <f t="shared" si="14"/>
        <v>Big Spender</v>
      </c>
    </row>
    <row r="151" spans="1:9" x14ac:dyDescent="0.25">
      <c r="A151" s="9" t="s">
        <v>390</v>
      </c>
      <c r="B151" s="9">
        <v>787</v>
      </c>
      <c r="C151" s="9">
        <v>11</v>
      </c>
      <c r="D151" s="10">
        <v>127.66</v>
      </c>
      <c r="E151">
        <f t="shared" si="10"/>
        <v>1</v>
      </c>
      <c r="F151">
        <f t="shared" si="11"/>
        <v>5</v>
      </c>
      <c r="G151">
        <f t="shared" si="12"/>
        <v>1</v>
      </c>
      <c r="H151" s="3" t="str">
        <f t="shared" si="13"/>
        <v>151</v>
      </c>
      <c r="I151" t="str">
        <f t="shared" si="14"/>
        <v>About To Sleep</v>
      </c>
    </row>
    <row r="152" spans="1:9" x14ac:dyDescent="0.25">
      <c r="A152" s="9" t="s">
        <v>392</v>
      </c>
      <c r="B152" s="9">
        <v>537</v>
      </c>
      <c r="C152" s="9">
        <v>2</v>
      </c>
      <c r="D152" s="10">
        <v>227.47</v>
      </c>
      <c r="E152">
        <f t="shared" si="10"/>
        <v>5</v>
      </c>
      <c r="F152">
        <f t="shared" si="11"/>
        <v>1</v>
      </c>
      <c r="G152">
        <f t="shared" si="12"/>
        <v>2</v>
      </c>
      <c r="H152" s="3" t="str">
        <f t="shared" si="13"/>
        <v>512</v>
      </c>
      <c r="I152" t="str">
        <f t="shared" si="14"/>
        <v>Lost Customer</v>
      </c>
    </row>
    <row r="153" spans="1:9" x14ac:dyDescent="0.25">
      <c r="A153" s="9" t="s">
        <v>394</v>
      </c>
      <c r="B153" s="9">
        <v>514</v>
      </c>
      <c r="C153" s="9">
        <v>3</v>
      </c>
      <c r="D153" s="10">
        <v>342.99</v>
      </c>
      <c r="E153">
        <f t="shared" si="10"/>
        <v>5</v>
      </c>
      <c r="F153">
        <f t="shared" si="11"/>
        <v>1</v>
      </c>
      <c r="G153">
        <f t="shared" si="12"/>
        <v>4</v>
      </c>
      <c r="H153" s="3" t="str">
        <f t="shared" si="13"/>
        <v>514</v>
      </c>
      <c r="I153" t="str">
        <f t="shared" si="14"/>
        <v>Big Spender</v>
      </c>
    </row>
    <row r="154" spans="1:9" x14ac:dyDescent="0.25">
      <c r="A154" s="9" t="s">
        <v>396</v>
      </c>
      <c r="B154" s="9">
        <v>582</v>
      </c>
      <c r="C154" s="9">
        <v>5</v>
      </c>
      <c r="D154" s="10">
        <v>306.48</v>
      </c>
      <c r="E154">
        <f t="shared" si="10"/>
        <v>4</v>
      </c>
      <c r="F154">
        <f t="shared" si="11"/>
        <v>2</v>
      </c>
      <c r="G154">
        <f t="shared" si="12"/>
        <v>3</v>
      </c>
      <c r="H154" s="3" t="str">
        <f t="shared" si="13"/>
        <v>423</v>
      </c>
      <c r="I154" t="str">
        <f t="shared" si="14"/>
        <v>Others</v>
      </c>
    </row>
    <row r="155" spans="1:9" x14ac:dyDescent="0.25">
      <c r="A155" s="9" t="s">
        <v>398</v>
      </c>
      <c r="B155" s="9">
        <v>568</v>
      </c>
      <c r="C155" s="9">
        <v>3</v>
      </c>
      <c r="D155" s="10">
        <v>308.54000000000002</v>
      </c>
      <c r="E155">
        <f t="shared" si="10"/>
        <v>4</v>
      </c>
      <c r="F155">
        <f t="shared" si="11"/>
        <v>1</v>
      </c>
      <c r="G155">
        <f t="shared" si="12"/>
        <v>3</v>
      </c>
      <c r="H155" s="3" t="str">
        <f t="shared" si="13"/>
        <v>413</v>
      </c>
      <c r="I155" t="str">
        <f t="shared" si="14"/>
        <v>Others</v>
      </c>
    </row>
    <row r="156" spans="1:9" x14ac:dyDescent="0.25">
      <c r="A156" s="9" t="s">
        <v>400</v>
      </c>
      <c r="B156" s="9">
        <v>520</v>
      </c>
      <c r="C156" s="9">
        <v>12</v>
      </c>
      <c r="D156" s="10">
        <v>124.17</v>
      </c>
      <c r="E156">
        <f t="shared" si="10"/>
        <v>5</v>
      </c>
      <c r="F156">
        <f t="shared" si="11"/>
        <v>5</v>
      </c>
      <c r="G156">
        <f t="shared" si="12"/>
        <v>1</v>
      </c>
      <c r="H156" s="3" t="str">
        <f t="shared" si="13"/>
        <v>551</v>
      </c>
      <c r="I156" t="str">
        <f t="shared" si="14"/>
        <v>Potential Loyalist</v>
      </c>
    </row>
    <row r="157" spans="1:9" x14ac:dyDescent="0.25">
      <c r="A157" s="9" t="s">
        <v>402</v>
      </c>
      <c r="B157" s="9">
        <v>527</v>
      </c>
      <c r="C157" s="9">
        <v>5</v>
      </c>
      <c r="D157" s="10">
        <v>78</v>
      </c>
      <c r="E157">
        <f t="shared" si="10"/>
        <v>5</v>
      </c>
      <c r="F157">
        <f t="shared" si="11"/>
        <v>2</v>
      </c>
      <c r="G157">
        <f t="shared" si="12"/>
        <v>1</v>
      </c>
      <c r="H157" s="3" t="str">
        <f t="shared" si="13"/>
        <v>521</v>
      </c>
      <c r="I157" t="str">
        <f t="shared" si="14"/>
        <v>Lost Customer</v>
      </c>
    </row>
    <row r="158" spans="1:9" x14ac:dyDescent="0.25">
      <c r="A158" s="9" t="s">
        <v>404</v>
      </c>
      <c r="B158" s="9">
        <v>594</v>
      </c>
      <c r="C158" s="9">
        <v>4</v>
      </c>
      <c r="D158" s="10">
        <v>393.03</v>
      </c>
      <c r="E158">
        <f t="shared" si="10"/>
        <v>4</v>
      </c>
      <c r="F158">
        <f t="shared" si="11"/>
        <v>2</v>
      </c>
      <c r="G158">
        <f t="shared" si="12"/>
        <v>4</v>
      </c>
      <c r="H158" s="3" t="str">
        <f t="shared" si="13"/>
        <v>424</v>
      </c>
      <c r="I158" t="str">
        <f t="shared" si="14"/>
        <v>Big Spender</v>
      </c>
    </row>
    <row r="159" spans="1:9" x14ac:dyDescent="0.25">
      <c r="A159" s="9" t="s">
        <v>406</v>
      </c>
      <c r="B159" s="9">
        <v>768</v>
      </c>
      <c r="C159" s="9">
        <v>3</v>
      </c>
      <c r="D159" s="10">
        <v>102.09</v>
      </c>
      <c r="E159">
        <f t="shared" si="10"/>
        <v>1</v>
      </c>
      <c r="F159">
        <f t="shared" si="11"/>
        <v>1</v>
      </c>
      <c r="G159">
        <f t="shared" si="12"/>
        <v>1</v>
      </c>
      <c r="H159" s="3" t="str">
        <f t="shared" si="13"/>
        <v>111</v>
      </c>
      <c r="I159" t="str">
        <f t="shared" si="14"/>
        <v>At Risk</v>
      </c>
    </row>
    <row r="160" spans="1:9" x14ac:dyDescent="0.25">
      <c r="A160" s="9" t="s">
        <v>408</v>
      </c>
      <c r="B160" s="9">
        <v>732</v>
      </c>
      <c r="C160" s="9">
        <v>3</v>
      </c>
      <c r="D160" s="10">
        <v>426.21</v>
      </c>
      <c r="E160">
        <f t="shared" si="10"/>
        <v>2</v>
      </c>
      <c r="F160">
        <f t="shared" si="11"/>
        <v>1</v>
      </c>
      <c r="G160">
        <f t="shared" si="12"/>
        <v>5</v>
      </c>
      <c r="H160" s="3" t="str">
        <f t="shared" si="13"/>
        <v>215</v>
      </c>
      <c r="I160" t="str">
        <f t="shared" si="14"/>
        <v>Big Spender</v>
      </c>
    </row>
    <row r="161" spans="1:9" x14ac:dyDescent="0.25">
      <c r="A161" s="9" t="s">
        <v>410</v>
      </c>
      <c r="B161" s="9">
        <v>699</v>
      </c>
      <c r="C161" s="9">
        <v>2</v>
      </c>
      <c r="D161" s="10">
        <v>140.31</v>
      </c>
      <c r="E161">
        <f t="shared" si="10"/>
        <v>2</v>
      </c>
      <c r="F161">
        <f t="shared" si="11"/>
        <v>1</v>
      </c>
      <c r="G161">
        <f t="shared" si="12"/>
        <v>2</v>
      </c>
      <c r="H161" s="3" t="str">
        <f t="shared" si="13"/>
        <v>212</v>
      </c>
      <c r="I161" t="str">
        <f t="shared" si="14"/>
        <v>At Risk</v>
      </c>
    </row>
    <row r="162" spans="1:9" x14ac:dyDescent="0.25">
      <c r="A162" s="9" t="s">
        <v>412</v>
      </c>
      <c r="B162" s="9">
        <v>672</v>
      </c>
      <c r="C162" s="9">
        <v>8</v>
      </c>
      <c r="D162" s="10">
        <v>413.7</v>
      </c>
      <c r="E162">
        <f t="shared" si="10"/>
        <v>3</v>
      </c>
      <c r="F162">
        <f t="shared" si="11"/>
        <v>4</v>
      </c>
      <c r="G162">
        <f t="shared" si="12"/>
        <v>5</v>
      </c>
      <c r="H162" s="3" t="str">
        <f t="shared" si="13"/>
        <v>345</v>
      </c>
      <c r="I162" t="str">
        <f t="shared" si="14"/>
        <v>Loyal Customer</v>
      </c>
    </row>
    <row r="163" spans="1:9" x14ac:dyDescent="0.25">
      <c r="A163" s="9" t="s">
        <v>414</v>
      </c>
      <c r="B163" s="9">
        <v>749</v>
      </c>
      <c r="C163" s="9">
        <v>4</v>
      </c>
      <c r="D163" s="10">
        <v>348.63</v>
      </c>
      <c r="E163">
        <f t="shared" si="10"/>
        <v>2</v>
      </c>
      <c r="F163">
        <f t="shared" si="11"/>
        <v>2</v>
      </c>
      <c r="G163">
        <f t="shared" si="12"/>
        <v>4</v>
      </c>
      <c r="H163" s="3" t="str">
        <f t="shared" si="13"/>
        <v>224</v>
      </c>
      <c r="I163" t="str">
        <f t="shared" si="14"/>
        <v>Big Spender</v>
      </c>
    </row>
    <row r="164" spans="1:9" x14ac:dyDescent="0.25">
      <c r="A164" s="9" t="s">
        <v>416</v>
      </c>
      <c r="B164" s="9">
        <v>668</v>
      </c>
      <c r="C164" s="9">
        <v>7</v>
      </c>
      <c r="D164" s="10">
        <v>91.27</v>
      </c>
      <c r="E164">
        <f t="shared" si="10"/>
        <v>3</v>
      </c>
      <c r="F164">
        <f t="shared" si="11"/>
        <v>3</v>
      </c>
      <c r="G164">
        <f t="shared" si="12"/>
        <v>1</v>
      </c>
      <c r="H164" s="3" t="str">
        <f t="shared" si="13"/>
        <v>331</v>
      </c>
      <c r="I164" t="str">
        <f t="shared" si="14"/>
        <v>Others</v>
      </c>
    </row>
    <row r="165" spans="1:9" x14ac:dyDescent="0.25">
      <c r="A165" s="9" t="s">
        <v>418</v>
      </c>
      <c r="B165" s="9">
        <v>487</v>
      </c>
      <c r="C165" s="9">
        <v>11</v>
      </c>
      <c r="D165" s="10">
        <v>359.94</v>
      </c>
      <c r="E165">
        <f t="shared" si="10"/>
        <v>5</v>
      </c>
      <c r="F165">
        <f t="shared" si="11"/>
        <v>5</v>
      </c>
      <c r="G165">
        <f t="shared" si="12"/>
        <v>4</v>
      </c>
      <c r="H165" s="3" t="str">
        <f t="shared" si="13"/>
        <v>554</v>
      </c>
      <c r="I165" t="str">
        <f t="shared" si="14"/>
        <v>Champion</v>
      </c>
    </row>
    <row r="166" spans="1:9" x14ac:dyDescent="0.25">
      <c r="A166" s="9" t="s">
        <v>420</v>
      </c>
      <c r="B166" s="9">
        <v>779</v>
      </c>
      <c r="C166" s="9">
        <v>8</v>
      </c>
      <c r="D166" s="10">
        <v>138.19999999999999</v>
      </c>
      <c r="E166">
        <f t="shared" si="10"/>
        <v>1</v>
      </c>
      <c r="F166">
        <f t="shared" si="11"/>
        <v>4</v>
      </c>
      <c r="G166">
        <f t="shared" si="12"/>
        <v>1</v>
      </c>
      <c r="H166" s="3" t="str">
        <f t="shared" si="13"/>
        <v>141</v>
      </c>
      <c r="I166" t="str">
        <f t="shared" si="14"/>
        <v>About To Sleep</v>
      </c>
    </row>
    <row r="167" spans="1:9" x14ac:dyDescent="0.25">
      <c r="A167" s="9" t="s">
        <v>422</v>
      </c>
      <c r="B167" s="9">
        <v>660</v>
      </c>
      <c r="C167" s="9">
        <v>11</v>
      </c>
      <c r="D167" s="10">
        <v>196.33</v>
      </c>
      <c r="E167">
        <f t="shared" si="10"/>
        <v>3</v>
      </c>
      <c r="F167">
        <f t="shared" si="11"/>
        <v>5</v>
      </c>
      <c r="G167">
        <f t="shared" si="12"/>
        <v>2</v>
      </c>
      <c r="H167" s="3" t="str">
        <f t="shared" si="13"/>
        <v>352</v>
      </c>
      <c r="I167" t="str">
        <f t="shared" si="14"/>
        <v>Others</v>
      </c>
    </row>
    <row r="168" spans="1:9" x14ac:dyDescent="0.25">
      <c r="A168" s="9" t="s">
        <v>424</v>
      </c>
      <c r="B168" s="9">
        <v>599</v>
      </c>
      <c r="C168" s="9">
        <v>8</v>
      </c>
      <c r="D168" s="10">
        <v>249.24</v>
      </c>
      <c r="E168">
        <f t="shared" si="10"/>
        <v>4</v>
      </c>
      <c r="F168">
        <f t="shared" si="11"/>
        <v>4</v>
      </c>
      <c r="G168">
        <f t="shared" si="12"/>
        <v>3</v>
      </c>
      <c r="H168" s="3" t="str">
        <f t="shared" si="13"/>
        <v>443</v>
      </c>
      <c r="I168" t="str">
        <f t="shared" si="14"/>
        <v>Potential Loyalist</v>
      </c>
    </row>
    <row r="169" spans="1:9" x14ac:dyDescent="0.25">
      <c r="A169" s="9" t="s">
        <v>425</v>
      </c>
      <c r="B169" s="9">
        <v>735</v>
      </c>
      <c r="C169" s="9">
        <v>12</v>
      </c>
      <c r="D169" s="10">
        <v>129.1</v>
      </c>
      <c r="E169">
        <f t="shared" si="10"/>
        <v>2</v>
      </c>
      <c r="F169">
        <f t="shared" si="11"/>
        <v>5</v>
      </c>
      <c r="G169">
        <f t="shared" si="12"/>
        <v>1</v>
      </c>
      <c r="H169" s="3" t="str">
        <f t="shared" si="13"/>
        <v>251</v>
      </c>
      <c r="I169" t="str">
        <f t="shared" si="14"/>
        <v>About To Sleep</v>
      </c>
    </row>
    <row r="170" spans="1:9" x14ac:dyDescent="0.25">
      <c r="A170" s="9" t="s">
        <v>427</v>
      </c>
      <c r="B170" s="9">
        <v>601</v>
      </c>
      <c r="C170" s="9">
        <v>10</v>
      </c>
      <c r="D170" s="10">
        <v>112.69</v>
      </c>
      <c r="E170">
        <f t="shared" si="10"/>
        <v>4</v>
      </c>
      <c r="F170">
        <f t="shared" si="11"/>
        <v>5</v>
      </c>
      <c r="G170">
        <f t="shared" si="12"/>
        <v>1</v>
      </c>
      <c r="H170" s="3" t="str">
        <f t="shared" si="13"/>
        <v>451</v>
      </c>
      <c r="I170" t="str">
        <f t="shared" si="14"/>
        <v>Potential Loyalist</v>
      </c>
    </row>
    <row r="171" spans="1:9" x14ac:dyDescent="0.25">
      <c r="A171" s="9" t="s">
        <v>429</v>
      </c>
      <c r="B171" s="9">
        <v>761</v>
      </c>
      <c r="C171" s="9">
        <v>5</v>
      </c>
      <c r="D171" s="10">
        <v>267.85000000000002</v>
      </c>
      <c r="E171">
        <f t="shared" si="10"/>
        <v>2</v>
      </c>
      <c r="F171">
        <f t="shared" si="11"/>
        <v>2</v>
      </c>
      <c r="G171">
        <f t="shared" si="12"/>
        <v>3</v>
      </c>
      <c r="H171" s="3" t="str">
        <f t="shared" si="13"/>
        <v>223</v>
      </c>
      <c r="I171" t="str">
        <f t="shared" si="14"/>
        <v>At Risk</v>
      </c>
    </row>
    <row r="172" spans="1:9" x14ac:dyDescent="0.25">
      <c r="A172" s="9" t="s">
        <v>431</v>
      </c>
      <c r="B172" s="9">
        <v>723</v>
      </c>
      <c r="C172" s="9">
        <v>12</v>
      </c>
      <c r="D172" s="10">
        <v>205.36</v>
      </c>
      <c r="E172">
        <f t="shared" si="10"/>
        <v>2</v>
      </c>
      <c r="F172">
        <f t="shared" si="11"/>
        <v>5</v>
      </c>
      <c r="G172">
        <f t="shared" si="12"/>
        <v>2</v>
      </c>
      <c r="H172" s="3" t="str">
        <f t="shared" si="13"/>
        <v>252</v>
      </c>
      <c r="I172" t="str">
        <f t="shared" si="14"/>
        <v>About To Sleep</v>
      </c>
    </row>
    <row r="173" spans="1:9" x14ac:dyDescent="0.25">
      <c r="A173" s="9" t="s">
        <v>433</v>
      </c>
      <c r="B173" s="9">
        <v>715</v>
      </c>
      <c r="C173" s="9">
        <v>10</v>
      </c>
      <c r="D173" s="10">
        <v>79.099999999999994</v>
      </c>
      <c r="E173">
        <f t="shared" si="10"/>
        <v>2</v>
      </c>
      <c r="F173">
        <f t="shared" si="11"/>
        <v>5</v>
      </c>
      <c r="G173">
        <f t="shared" si="12"/>
        <v>1</v>
      </c>
      <c r="H173" s="3" t="str">
        <f t="shared" si="13"/>
        <v>251</v>
      </c>
      <c r="I173" t="str">
        <f t="shared" si="14"/>
        <v>About To Sleep</v>
      </c>
    </row>
    <row r="174" spans="1:9" x14ac:dyDescent="0.25">
      <c r="A174" s="9" t="s">
        <v>435</v>
      </c>
      <c r="B174" s="9">
        <v>673</v>
      </c>
      <c r="C174" s="9">
        <v>12</v>
      </c>
      <c r="D174" s="10">
        <v>256.63</v>
      </c>
      <c r="E174">
        <f t="shared" si="10"/>
        <v>3</v>
      </c>
      <c r="F174">
        <f t="shared" si="11"/>
        <v>5</v>
      </c>
      <c r="G174">
        <f t="shared" si="12"/>
        <v>3</v>
      </c>
      <c r="H174" s="3" t="str">
        <f t="shared" si="13"/>
        <v>353</v>
      </c>
      <c r="I174" t="str">
        <f t="shared" si="14"/>
        <v>Others</v>
      </c>
    </row>
    <row r="175" spans="1:9" x14ac:dyDescent="0.25">
      <c r="A175" s="9" t="s">
        <v>437</v>
      </c>
      <c r="B175" s="9">
        <v>552</v>
      </c>
      <c r="C175" s="9">
        <v>12</v>
      </c>
      <c r="D175" s="10">
        <v>409.98</v>
      </c>
      <c r="E175">
        <f t="shared" si="10"/>
        <v>5</v>
      </c>
      <c r="F175">
        <f t="shared" si="11"/>
        <v>5</v>
      </c>
      <c r="G175">
        <f t="shared" si="12"/>
        <v>4</v>
      </c>
      <c r="H175" s="3" t="str">
        <f t="shared" si="13"/>
        <v>554</v>
      </c>
      <c r="I175" t="str">
        <f t="shared" si="14"/>
        <v>Champion</v>
      </c>
    </row>
    <row r="176" spans="1:9" x14ac:dyDescent="0.25">
      <c r="A176" s="9" t="s">
        <v>439</v>
      </c>
      <c r="B176" s="9">
        <v>627</v>
      </c>
      <c r="C176" s="9">
        <v>2</v>
      </c>
      <c r="D176" s="10">
        <v>291.60000000000002</v>
      </c>
      <c r="E176">
        <f t="shared" si="10"/>
        <v>3</v>
      </c>
      <c r="F176">
        <f t="shared" si="11"/>
        <v>1</v>
      </c>
      <c r="G176">
        <f t="shared" si="12"/>
        <v>3</v>
      </c>
      <c r="H176" s="3" t="str">
        <f t="shared" si="13"/>
        <v>313</v>
      </c>
      <c r="I176" t="str">
        <f t="shared" si="14"/>
        <v>Others</v>
      </c>
    </row>
    <row r="177" spans="1:9" x14ac:dyDescent="0.25">
      <c r="A177" s="9" t="s">
        <v>441</v>
      </c>
      <c r="B177" s="9">
        <v>664</v>
      </c>
      <c r="C177" s="9">
        <v>7</v>
      </c>
      <c r="D177" s="10">
        <v>101.7</v>
      </c>
      <c r="E177">
        <f t="shared" si="10"/>
        <v>3</v>
      </c>
      <c r="F177">
        <f t="shared" si="11"/>
        <v>3</v>
      </c>
      <c r="G177">
        <f t="shared" si="12"/>
        <v>1</v>
      </c>
      <c r="H177" s="3" t="str">
        <f t="shared" si="13"/>
        <v>331</v>
      </c>
      <c r="I177" t="str">
        <f t="shared" si="14"/>
        <v>Others</v>
      </c>
    </row>
    <row r="178" spans="1:9" x14ac:dyDescent="0.25">
      <c r="A178" s="9" t="s">
        <v>443</v>
      </c>
      <c r="B178" s="9">
        <v>806</v>
      </c>
      <c r="C178" s="9">
        <v>2</v>
      </c>
      <c r="D178" s="10">
        <v>369.73</v>
      </c>
      <c r="E178">
        <f t="shared" si="10"/>
        <v>1</v>
      </c>
      <c r="F178">
        <f t="shared" si="11"/>
        <v>1</v>
      </c>
      <c r="G178">
        <f t="shared" si="12"/>
        <v>4</v>
      </c>
      <c r="H178" s="3" t="str">
        <f t="shared" si="13"/>
        <v>114</v>
      </c>
      <c r="I178" t="str">
        <f t="shared" si="14"/>
        <v>Big Spender</v>
      </c>
    </row>
    <row r="179" spans="1:9" x14ac:dyDescent="0.25">
      <c r="A179" s="9" t="s">
        <v>445</v>
      </c>
      <c r="B179" s="9">
        <v>663</v>
      </c>
      <c r="C179" s="9">
        <v>12</v>
      </c>
      <c r="D179" s="10">
        <v>71</v>
      </c>
      <c r="E179">
        <f t="shared" si="10"/>
        <v>3</v>
      </c>
      <c r="F179">
        <f t="shared" si="11"/>
        <v>5</v>
      </c>
      <c r="G179">
        <f t="shared" si="12"/>
        <v>1</v>
      </c>
      <c r="H179" s="3" t="str">
        <f t="shared" si="13"/>
        <v>351</v>
      </c>
      <c r="I179" t="str">
        <f t="shared" si="14"/>
        <v>Others</v>
      </c>
    </row>
    <row r="180" spans="1:9" x14ac:dyDescent="0.25">
      <c r="A180" s="9" t="s">
        <v>447</v>
      </c>
      <c r="B180" s="9">
        <v>653</v>
      </c>
      <c r="C180" s="9">
        <v>10</v>
      </c>
      <c r="D180" s="10">
        <v>280.05</v>
      </c>
      <c r="E180">
        <f t="shared" si="10"/>
        <v>3</v>
      </c>
      <c r="F180">
        <f t="shared" si="11"/>
        <v>5</v>
      </c>
      <c r="G180">
        <f t="shared" si="12"/>
        <v>3</v>
      </c>
      <c r="H180" s="3" t="str">
        <f t="shared" si="13"/>
        <v>353</v>
      </c>
      <c r="I180" t="str">
        <f t="shared" si="14"/>
        <v>Others</v>
      </c>
    </row>
    <row r="181" spans="1:9" x14ac:dyDescent="0.25">
      <c r="A181" s="9" t="s">
        <v>449</v>
      </c>
      <c r="B181" s="9">
        <v>541</v>
      </c>
      <c r="C181" s="9">
        <v>4</v>
      </c>
      <c r="D181" s="10">
        <v>54.71</v>
      </c>
      <c r="E181">
        <f t="shared" si="10"/>
        <v>5</v>
      </c>
      <c r="F181">
        <f t="shared" si="11"/>
        <v>2</v>
      </c>
      <c r="G181">
        <f t="shared" si="12"/>
        <v>1</v>
      </c>
      <c r="H181" s="3" t="str">
        <f t="shared" si="13"/>
        <v>521</v>
      </c>
      <c r="I181" t="str">
        <f t="shared" si="14"/>
        <v>Lost Customer</v>
      </c>
    </row>
    <row r="182" spans="1:9" x14ac:dyDescent="0.25">
      <c r="A182" s="9" t="s">
        <v>451</v>
      </c>
      <c r="B182" s="9">
        <v>713</v>
      </c>
      <c r="C182" s="9">
        <v>11</v>
      </c>
      <c r="D182" s="10">
        <v>119.51</v>
      </c>
      <c r="E182">
        <f t="shared" si="10"/>
        <v>2</v>
      </c>
      <c r="F182">
        <f t="shared" si="11"/>
        <v>5</v>
      </c>
      <c r="G182">
        <f t="shared" si="12"/>
        <v>1</v>
      </c>
      <c r="H182" s="3" t="str">
        <f t="shared" si="13"/>
        <v>251</v>
      </c>
      <c r="I182" t="str">
        <f t="shared" si="14"/>
        <v>About To Sleep</v>
      </c>
    </row>
    <row r="183" spans="1:9" x14ac:dyDescent="0.25">
      <c r="A183" s="9" t="s">
        <v>453</v>
      </c>
      <c r="B183" s="9">
        <v>498</v>
      </c>
      <c r="C183" s="9">
        <v>12</v>
      </c>
      <c r="D183" s="10">
        <v>57.5</v>
      </c>
      <c r="E183">
        <f t="shared" si="10"/>
        <v>5</v>
      </c>
      <c r="F183">
        <f t="shared" si="11"/>
        <v>5</v>
      </c>
      <c r="G183">
        <f t="shared" si="12"/>
        <v>1</v>
      </c>
      <c r="H183" s="3" t="str">
        <f t="shared" si="13"/>
        <v>551</v>
      </c>
      <c r="I183" t="str">
        <f t="shared" si="14"/>
        <v>Potential Loyalist</v>
      </c>
    </row>
    <row r="184" spans="1:9" x14ac:dyDescent="0.25">
      <c r="A184" s="9" t="s">
        <v>455</v>
      </c>
      <c r="B184" s="9">
        <v>662</v>
      </c>
      <c r="C184" s="9">
        <v>5</v>
      </c>
      <c r="D184" s="10">
        <v>225.05</v>
      </c>
      <c r="E184">
        <f t="shared" si="10"/>
        <v>3</v>
      </c>
      <c r="F184">
        <f t="shared" si="11"/>
        <v>2</v>
      </c>
      <c r="G184">
        <f t="shared" si="12"/>
        <v>2</v>
      </c>
      <c r="H184" s="3" t="str">
        <f t="shared" si="13"/>
        <v>322</v>
      </c>
      <c r="I184" t="str">
        <f t="shared" si="14"/>
        <v>Lost Customer</v>
      </c>
    </row>
    <row r="185" spans="1:9" x14ac:dyDescent="0.25">
      <c r="A185" s="9" t="s">
        <v>457</v>
      </c>
      <c r="B185" s="9">
        <v>597</v>
      </c>
      <c r="C185" s="9">
        <v>7</v>
      </c>
      <c r="D185" s="10">
        <v>441.15</v>
      </c>
      <c r="E185">
        <f t="shared" si="10"/>
        <v>4</v>
      </c>
      <c r="F185">
        <f t="shared" si="11"/>
        <v>3</v>
      </c>
      <c r="G185">
        <f t="shared" si="12"/>
        <v>5</v>
      </c>
      <c r="H185" s="3" t="str">
        <f t="shared" si="13"/>
        <v>435</v>
      </c>
      <c r="I185" t="str">
        <f t="shared" si="14"/>
        <v>Potential Loyalist</v>
      </c>
    </row>
    <row r="186" spans="1:9" x14ac:dyDescent="0.25">
      <c r="A186" s="9" t="s">
        <v>459</v>
      </c>
      <c r="B186" s="9">
        <v>523</v>
      </c>
      <c r="C186" s="9">
        <v>3</v>
      </c>
      <c r="D186" s="10">
        <v>481.21</v>
      </c>
      <c r="E186">
        <f t="shared" si="10"/>
        <v>5</v>
      </c>
      <c r="F186">
        <f t="shared" si="11"/>
        <v>1</v>
      </c>
      <c r="G186">
        <f t="shared" si="12"/>
        <v>5</v>
      </c>
      <c r="H186" s="3" t="str">
        <f t="shared" si="13"/>
        <v>515</v>
      </c>
      <c r="I186" t="str">
        <f t="shared" si="14"/>
        <v>Big Spender</v>
      </c>
    </row>
    <row r="187" spans="1:9" x14ac:dyDescent="0.25">
      <c r="A187" s="9" t="s">
        <v>461</v>
      </c>
      <c r="B187" s="9">
        <v>487</v>
      </c>
      <c r="C187" s="9">
        <v>3</v>
      </c>
      <c r="D187" s="10">
        <v>102.96</v>
      </c>
      <c r="E187">
        <f t="shared" si="10"/>
        <v>5</v>
      </c>
      <c r="F187">
        <f t="shared" si="11"/>
        <v>1</v>
      </c>
      <c r="G187">
        <f t="shared" si="12"/>
        <v>1</v>
      </c>
      <c r="H187" s="3" t="str">
        <f t="shared" si="13"/>
        <v>511</v>
      </c>
      <c r="I187" t="str">
        <f t="shared" si="14"/>
        <v>Lost Customer</v>
      </c>
    </row>
    <row r="188" spans="1:9" x14ac:dyDescent="0.25">
      <c r="A188" s="9" t="s">
        <v>463</v>
      </c>
      <c r="B188" s="9">
        <v>714</v>
      </c>
      <c r="C188" s="9">
        <v>11</v>
      </c>
      <c r="D188" s="10">
        <v>331.57</v>
      </c>
      <c r="E188">
        <f t="shared" si="10"/>
        <v>2</v>
      </c>
      <c r="F188">
        <f t="shared" si="11"/>
        <v>5</v>
      </c>
      <c r="G188">
        <f t="shared" si="12"/>
        <v>4</v>
      </c>
      <c r="H188" s="3" t="str">
        <f t="shared" si="13"/>
        <v>254</v>
      </c>
      <c r="I188" t="str">
        <f t="shared" si="14"/>
        <v>Loyal Customer</v>
      </c>
    </row>
    <row r="189" spans="1:9" x14ac:dyDescent="0.25">
      <c r="A189" s="9" t="s">
        <v>465</v>
      </c>
      <c r="B189" s="9">
        <v>537</v>
      </c>
      <c r="C189" s="9">
        <v>11</v>
      </c>
      <c r="D189" s="10">
        <v>101.29</v>
      </c>
      <c r="E189">
        <f t="shared" si="10"/>
        <v>5</v>
      </c>
      <c r="F189">
        <f t="shared" si="11"/>
        <v>5</v>
      </c>
      <c r="G189">
        <f t="shared" si="12"/>
        <v>1</v>
      </c>
      <c r="H189" s="3" t="str">
        <f t="shared" si="13"/>
        <v>551</v>
      </c>
      <c r="I189" t="str">
        <f t="shared" si="14"/>
        <v>Potential Loyalist</v>
      </c>
    </row>
    <row r="190" spans="1:9" x14ac:dyDescent="0.25">
      <c r="A190" s="9" t="s">
        <v>467</v>
      </c>
      <c r="B190" s="9">
        <v>739</v>
      </c>
      <c r="C190" s="9">
        <v>9</v>
      </c>
      <c r="D190" s="10">
        <v>143.52000000000001</v>
      </c>
      <c r="E190">
        <f t="shared" si="10"/>
        <v>2</v>
      </c>
      <c r="F190">
        <f t="shared" si="11"/>
        <v>4</v>
      </c>
      <c r="G190">
        <f t="shared" si="12"/>
        <v>2</v>
      </c>
      <c r="H190" s="3" t="str">
        <f t="shared" si="13"/>
        <v>242</v>
      </c>
      <c r="I190" t="str">
        <f t="shared" si="14"/>
        <v>About To Sleep</v>
      </c>
    </row>
    <row r="191" spans="1:9" x14ac:dyDescent="0.25">
      <c r="A191" s="9" t="s">
        <v>469</v>
      </c>
      <c r="B191" s="9">
        <v>715</v>
      </c>
      <c r="C191" s="9">
        <v>3</v>
      </c>
      <c r="D191" s="10">
        <v>276.48</v>
      </c>
      <c r="E191">
        <f t="shared" si="10"/>
        <v>2</v>
      </c>
      <c r="F191">
        <f t="shared" si="11"/>
        <v>1</v>
      </c>
      <c r="G191">
        <f t="shared" si="12"/>
        <v>3</v>
      </c>
      <c r="H191" s="3" t="str">
        <f t="shared" si="13"/>
        <v>213</v>
      </c>
      <c r="I191" t="str">
        <f t="shared" si="14"/>
        <v>At Risk</v>
      </c>
    </row>
    <row r="192" spans="1:9" x14ac:dyDescent="0.25">
      <c r="A192" s="9" t="s">
        <v>471</v>
      </c>
      <c r="B192" s="9">
        <v>791</v>
      </c>
      <c r="C192" s="9">
        <v>11</v>
      </c>
      <c r="D192" s="10">
        <v>352.87</v>
      </c>
      <c r="E192">
        <f t="shared" si="10"/>
        <v>1</v>
      </c>
      <c r="F192">
        <f t="shared" si="11"/>
        <v>5</v>
      </c>
      <c r="G192">
        <f t="shared" si="12"/>
        <v>4</v>
      </c>
      <c r="H192" s="3" t="str">
        <f t="shared" si="13"/>
        <v>154</v>
      </c>
      <c r="I192" t="str">
        <f t="shared" si="14"/>
        <v>Loyal Customer</v>
      </c>
    </row>
    <row r="193" spans="1:9" x14ac:dyDescent="0.25">
      <c r="A193" s="9" t="s">
        <v>473</v>
      </c>
      <c r="B193" s="9">
        <v>558</v>
      </c>
      <c r="C193" s="9">
        <v>3</v>
      </c>
      <c r="D193" s="10">
        <v>228.68</v>
      </c>
      <c r="E193">
        <f t="shared" si="10"/>
        <v>5</v>
      </c>
      <c r="F193">
        <f t="shared" si="11"/>
        <v>1</v>
      </c>
      <c r="G193">
        <f t="shared" si="12"/>
        <v>3</v>
      </c>
      <c r="H193" s="3" t="str">
        <f t="shared" si="13"/>
        <v>513</v>
      </c>
      <c r="I193" t="str">
        <f t="shared" si="14"/>
        <v>Others</v>
      </c>
    </row>
    <row r="194" spans="1:9" x14ac:dyDescent="0.25">
      <c r="A194" s="9" t="s">
        <v>475</v>
      </c>
      <c r="B194" s="9">
        <v>729</v>
      </c>
      <c r="C194" s="9">
        <v>6</v>
      </c>
      <c r="D194" s="10">
        <v>301.39</v>
      </c>
      <c r="E194">
        <f t="shared" si="10"/>
        <v>2</v>
      </c>
      <c r="F194">
        <f t="shared" si="11"/>
        <v>3</v>
      </c>
      <c r="G194">
        <f t="shared" si="12"/>
        <v>3</v>
      </c>
      <c r="H194" s="3" t="str">
        <f t="shared" si="13"/>
        <v>233</v>
      </c>
      <c r="I194" t="str">
        <f t="shared" si="14"/>
        <v>About To Sleep</v>
      </c>
    </row>
    <row r="195" spans="1:9" x14ac:dyDescent="0.25">
      <c r="A195" s="9" t="s">
        <v>477</v>
      </c>
      <c r="B195" s="9">
        <v>635</v>
      </c>
      <c r="C195" s="9">
        <v>11</v>
      </c>
      <c r="D195" s="10">
        <v>473.5</v>
      </c>
      <c r="E195">
        <f t="shared" ref="E195:E258" si="15">IF(B195 &lt;= _xlfn.PERCENTILE.INC($B$2:$B$1001, 0.2), 5,
 IF(B195 &lt;= _xlfn.PERCENTILE.INC($B$2:$B$1001, 0.4), 4,
 IF(B195 &lt;= _xlfn.PERCENTILE.INC($B$2:$B$1001, 0.6), 3,
 IF(B195 &lt;= _xlfn.PERCENTILE.INC($B$2:$B$1001, 0.8), 2, 1))))</f>
        <v>3</v>
      </c>
      <c r="F195">
        <f t="shared" ref="F195:F258" si="16">IF(C195 &gt;= _xlfn.PERCENTILE.INC($C$2:$C$1001, 0.8), 5,
 IF(C195 &gt;= _xlfn.PERCENTILE.INC($C$2:$C$1001, 0.6), 4,
 IF(C195 &gt;= _xlfn.PERCENTILE.INC($C$2:$C$1001, 0.4), 3,
 IF(C195 &gt;= _xlfn.PERCENTILE.INC($C$2:$C$1001, 0.2), 2, 1))))</f>
        <v>5</v>
      </c>
      <c r="G195">
        <f t="shared" ref="G195:G258" si="17">IF(D195 &gt;= _xlfn.PERCENTILE.INC($D$2:$D$1001, 0.8), 5,
 IF(D195 &gt;= _xlfn.PERCENTILE.INC($D$2:$D$1001, 0.6), 4,
 IF(D195 &gt;= _xlfn.PERCENTILE.INC($D$2:$D$1001, 0.4), 3,
 IF(D195 &gt;= _xlfn.PERCENTILE.INC($D$2:$D$1001, 0.2), 2, 1))))</f>
        <v>5</v>
      </c>
      <c r="H195" s="3" t="str">
        <f t="shared" ref="H195:H258" si="18">TEXT(E195,"0") &amp; TEXT(F195,"0") &amp; TEXT(G195,"0")</f>
        <v>355</v>
      </c>
      <c r="I195" t="str">
        <f t="shared" ref="I195:I258" si="19">IF(AND(E195&gt;=4, F195&gt;=4, G195&gt;=4), "Champion",
 IF(AND(F195&gt;=4, G195&gt;=4), "Loyal Customer",
 IF(AND(E195&gt;=4, F195&gt;=3), "Potential Loyalist",
 IF(G195&gt;=4, "Big Spender",
 IF(AND(E195&lt;=2, F195&lt;=2), "At Risk",
 IF(E195&lt;=2, "About To Sleep",
 IF(AND(F195&lt;=2, G195&lt;=2), "Lost Customer", "Others")))))))</f>
        <v>Loyal Customer</v>
      </c>
    </row>
    <row r="196" spans="1:9" x14ac:dyDescent="0.25">
      <c r="A196" s="9" t="s">
        <v>479</v>
      </c>
      <c r="B196" s="9">
        <v>608</v>
      </c>
      <c r="C196" s="9">
        <v>11</v>
      </c>
      <c r="D196" s="10">
        <v>72.8</v>
      </c>
      <c r="E196">
        <f t="shared" si="15"/>
        <v>4</v>
      </c>
      <c r="F196">
        <f t="shared" si="16"/>
        <v>5</v>
      </c>
      <c r="G196">
        <f t="shared" si="17"/>
        <v>1</v>
      </c>
      <c r="H196" s="3" t="str">
        <f t="shared" si="18"/>
        <v>451</v>
      </c>
      <c r="I196" t="str">
        <f t="shared" si="19"/>
        <v>Potential Loyalist</v>
      </c>
    </row>
    <row r="197" spans="1:9" x14ac:dyDescent="0.25">
      <c r="A197" s="9" t="s">
        <v>481</v>
      </c>
      <c r="B197" s="9">
        <v>757</v>
      </c>
      <c r="C197" s="9">
        <v>3</v>
      </c>
      <c r="D197" s="10">
        <v>171.72</v>
      </c>
      <c r="E197">
        <f t="shared" si="15"/>
        <v>2</v>
      </c>
      <c r="F197">
        <f t="shared" si="16"/>
        <v>1</v>
      </c>
      <c r="G197">
        <f t="shared" si="17"/>
        <v>2</v>
      </c>
      <c r="H197" s="3" t="str">
        <f t="shared" si="18"/>
        <v>212</v>
      </c>
      <c r="I197" t="str">
        <f t="shared" si="19"/>
        <v>At Risk</v>
      </c>
    </row>
    <row r="198" spans="1:9" x14ac:dyDescent="0.25">
      <c r="A198" s="9" t="s">
        <v>483</v>
      </c>
      <c r="B198" s="9">
        <v>746</v>
      </c>
      <c r="C198" s="9">
        <v>6</v>
      </c>
      <c r="D198" s="10">
        <v>467.5</v>
      </c>
      <c r="E198">
        <f t="shared" si="15"/>
        <v>2</v>
      </c>
      <c r="F198">
        <f t="shared" si="16"/>
        <v>3</v>
      </c>
      <c r="G198">
        <f t="shared" si="17"/>
        <v>5</v>
      </c>
      <c r="H198" s="3" t="str">
        <f t="shared" si="18"/>
        <v>235</v>
      </c>
      <c r="I198" t="str">
        <f t="shared" si="19"/>
        <v>Big Spender</v>
      </c>
    </row>
    <row r="199" spans="1:9" x14ac:dyDescent="0.25">
      <c r="A199" s="9" t="s">
        <v>485</v>
      </c>
      <c r="B199" s="9">
        <v>584</v>
      </c>
      <c r="C199" s="9">
        <v>6</v>
      </c>
      <c r="D199" s="10">
        <v>209.79</v>
      </c>
      <c r="E199">
        <f t="shared" si="15"/>
        <v>4</v>
      </c>
      <c r="F199">
        <f t="shared" si="16"/>
        <v>3</v>
      </c>
      <c r="G199">
        <f t="shared" si="17"/>
        <v>2</v>
      </c>
      <c r="H199" s="3" t="str">
        <f t="shared" si="18"/>
        <v>432</v>
      </c>
      <c r="I199" t="str">
        <f t="shared" si="19"/>
        <v>Potential Loyalist</v>
      </c>
    </row>
    <row r="200" spans="1:9" x14ac:dyDescent="0.25">
      <c r="A200" s="9" t="s">
        <v>487</v>
      </c>
      <c r="B200" s="9">
        <v>726</v>
      </c>
      <c r="C200" s="9">
        <v>9</v>
      </c>
      <c r="D200" s="10">
        <v>150.33000000000001</v>
      </c>
      <c r="E200">
        <f t="shared" si="15"/>
        <v>2</v>
      </c>
      <c r="F200">
        <f t="shared" si="16"/>
        <v>4</v>
      </c>
      <c r="G200">
        <f t="shared" si="17"/>
        <v>2</v>
      </c>
      <c r="H200" s="3" t="str">
        <f t="shared" si="18"/>
        <v>242</v>
      </c>
      <c r="I200" t="str">
        <f t="shared" si="19"/>
        <v>About To Sleep</v>
      </c>
    </row>
    <row r="201" spans="1:9" x14ac:dyDescent="0.25">
      <c r="A201" s="9" t="s">
        <v>489</v>
      </c>
      <c r="B201" s="9">
        <v>832</v>
      </c>
      <c r="C201" s="9">
        <v>7</v>
      </c>
      <c r="D201" s="10">
        <v>98.63</v>
      </c>
      <c r="E201">
        <f t="shared" si="15"/>
        <v>1</v>
      </c>
      <c r="F201">
        <f t="shared" si="16"/>
        <v>3</v>
      </c>
      <c r="G201">
        <f t="shared" si="17"/>
        <v>1</v>
      </c>
      <c r="H201" s="3" t="str">
        <f t="shared" si="18"/>
        <v>131</v>
      </c>
      <c r="I201" t="str">
        <f t="shared" si="19"/>
        <v>About To Sleep</v>
      </c>
    </row>
    <row r="202" spans="1:9" x14ac:dyDescent="0.25">
      <c r="A202" s="9" t="s">
        <v>491</v>
      </c>
      <c r="B202" s="9">
        <v>686</v>
      </c>
      <c r="C202" s="9">
        <v>11</v>
      </c>
      <c r="D202" s="10">
        <v>193.3</v>
      </c>
      <c r="E202">
        <f t="shared" si="15"/>
        <v>3</v>
      </c>
      <c r="F202">
        <f t="shared" si="16"/>
        <v>5</v>
      </c>
      <c r="G202">
        <f t="shared" si="17"/>
        <v>2</v>
      </c>
      <c r="H202" s="3" t="str">
        <f t="shared" si="18"/>
        <v>352</v>
      </c>
      <c r="I202" t="str">
        <f t="shared" si="19"/>
        <v>Others</v>
      </c>
    </row>
    <row r="203" spans="1:9" x14ac:dyDescent="0.25">
      <c r="A203" s="9" t="s">
        <v>493</v>
      </c>
      <c r="B203" s="9">
        <v>666</v>
      </c>
      <c r="C203" s="9">
        <v>7</v>
      </c>
      <c r="D203" s="10">
        <v>145.02000000000001</v>
      </c>
      <c r="E203">
        <f t="shared" si="15"/>
        <v>3</v>
      </c>
      <c r="F203">
        <f t="shared" si="16"/>
        <v>3</v>
      </c>
      <c r="G203">
        <f t="shared" si="17"/>
        <v>2</v>
      </c>
      <c r="H203" s="3" t="str">
        <f t="shared" si="18"/>
        <v>332</v>
      </c>
      <c r="I203" t="str">
        <f t="shared" si="19"/>
        <v>Others</v>
      </c>
    </row>
    <row r="204" spans="1:9" x14ac:dyDescent="0.25">
      <c r="A204" s="9" t="s">
        <v>495</v>
      </c>
      <c r="B204" s="9">
        <v>506</v>
      </c>
      <c r="C204" s="9">
        <v>4</v>
      </c>
      <c r="D204" s="10">
        <v>294.99</v>
      </c>
      <c r="E204">
        <f t="shared" si="15"/>
        <v>5</v>
      </c>
      <c r="F204">
        <f t="shared" si="16"/>
        <v>2</v>
      </c>
      <c r="G204">
        <f t="shared" si="17"/>
        <v>3</v>
      </c>
      <c r="H204" s="3" t="str">
        <f t="shared" si="18"/>
        <v>523</v>
      </c>
      <c r="I204" t="str">
        <f t="shared" si="19"/>
        <v>Others</v>
      </c>
    </row>
    <row r="205" spans="1:9" x14ac:dyDescent="0.25">
      <c r="A205" s="9" t="s">
        <v>497</v>
      </c>
      <c r="B205" s="9">
        <v>543</v>
      </c>
      <c r="C205" s="9">
        <v>2</v>
      </c>
      <c r="D205" s="10">
        <v>305.45</v>
      </c>
      <c r="E205">
        <f t="shared" si="15"/>
        <v>5</v>
      </c>
      <c r="F205">
        <f t="shared" si="16"/>
        <v>1</v>
      </c>
      <c r="G205">
        <f t="shared" si="17"/>
        <v>3</v>
      </c>
      <c r="H205" s="3" t="str">
        <f t="shared" si="18"/>
        <v>513</v>
      </c>
      <c r="I205" t="str">
        <f t="shared" si="19"/>
        <v>Others</v>
      </c>
    </row>
    <row r="206" spans="1:9" x14ac:dyDescent="0.25">
      <c r="A206" s="9" t="s">
        <v>499</v>
      </c>
      <c r="B206" s="9">
        <v>729</v>
      </c>
      <c r="C206" s="9">
        <v>2</v>
      </c>
      <c r="D206" s="10">
        <v>432.42</v>
      </c>
      <c r="E206">
        <f t="shared" si="15"/>
        <v>2</v>
      </c>
      <c r="F206">
        <f t="shared" si="16"/>
        <v>1</v>
      </c>
      <c r="G206">
        <f t="shared" si="17"/>
        <v>5</v>
      </c>
      <c r="H206" s="3" t="str">
        <f t="shared" si="18"/>
        <v>215</v>
      </c>
      <c r="I206" t="str">
        <f t="shared" si="19"/>
        <v>Big Spender</v>
      </c>
    </row>
    <row r="207" spans="1:9" x14ac:dyDescent="0.25">
      <c r="A207" s="9" t="s">
        <v>501</v>
      </c>
      <c r="B207" s="9">
        <v>818</v>
      </c>
      <c r="C207" s="9">
        <v>11</v>
      </c>
      <c r="D207" s="10">
        <v>227.58</v>
      </c>
      <c r="E207">
        <f t="shared" si="15"/>
        <v>1</v>
      </c>
      <c r="F207">
        <f t="shared" si="16"/>
        <v>5</v>
      </c>
      <c r="G207">
        <f t="shared" si="17"/>
        <v>3</v>
      </c>
      <c r="H207" s="3" t="str">
        <f t="shared" si="18"/>
        <v>153</v>
      </c>
      <c r="I207" t="str">
        <f t="shared" si="19"/>
        <v>About To Sleep</v>
      </c>
    </row>
    <row r="208" spans="1:9" x14ac:dyDescent="0.25">
      <c r="A208" s="9" t="s">
        <v>503</v>
      </c>
      <c r="B208" s="9">
        <v>666</v>
      </c>
      <c r="C208" s="9">
        <v>10</v>
      </c>
      <c r="D208" s="10">
        <v>160.88999999999999</v>
      </c>
      <c r="E208">
        <f t="shared" si="15"/>
        <v>3</v>
      </c>
      <c r="F208">
        <f t="shared" si="16"/>
        <v>5</v>
      </c>
      <c r="G208">
        <f t="shared" si="17"/>
        <v>2</v>
      </c>
      <c r="H208" s="3" t="str">
        <f t="shared" si="18"/>
        <v>352</v>
      </c>
      <c r="I208" t="str">
        <f t="shared" si="19"/>
        <v>Others</v>
      </c>
    </row>
    <row r="209" spans="1:9" x14ac:dyDescent="0.25">
      <c r="A209" s="9" t="s">
        <v>504</v>
      </c>
      <c r="B209" s="9">
        <v>761</v>
      </c>
      <c r="C209" s="9">
        <v>7</v>
      </c>
      <c r="D209" s="10">
        <v>139.1</v>
      </c>
      <c r="E209">
        <f t="shared" si="15"/>
        <v>2</v>
      </c>
      <c r="F209">
        <f t="shared" si="16"/>
        <v>3</v>
      </c>
      <c r="G209">
        <f t="shared" si="17"/>
        <v>2</v>
      </c>
      <c r="H209" s="3" t="str">
        <f t="shared" si="18"/>
        <v>232</v>
      </c>
      <c r="I209" t="str">
        <f t="shared" si="19"/>
        <v>About To Sleep</v>
      </c>
    </row>
    <row r="210" spans="1:9" x14ac:dyDescent="0.25">
      <c r="A210" s="9" t="s">
        <v>506</v>
      </c>
      <c r="B210" s="9">
        <v>741</v>
      </c>
      <c r="C210" s="9">
        <v>9</v>
      </c>
      <c r="D210" s="10">
        <v>268.27999999999997</v>
      </c>
      <c r="E210">
        <f t="shared" si="15"/>
        <v>2</v>
      </c>
      <c r="F210">
        <f t="shared" si="16"/>
        <v>4</v>
      </c>
      <c r="G210">
        <f t="shared" si="17"/>
        <v>3</v>
      </c>
      <c r="H210" s="3" t="str">
        <f t="shared" si="18"/>
        <v>243</v>
      </c>
      <c r="I210" t="str">
        <f t="shared" si="19"/>
        <v>About To Sleep</v>
      </c>
    </row>
    <row r="211" spans="1:9" x14ac:dyDescent="0.25">
      <c r="A211" s="9" t="s">
        <v>508</v>
      </c>
      <c r="B211" s="9">
        <v>548</v>
      </c>
      <c r="C211" s="9">
        <v>6</v>
      </c>
      <c r="D211" s="10">
        <v>64.489999999999995</v>
      </c>
      <c r="E211">
        <f t="shared" si="15"/>
        <v>5</v>
      </c>
      <c r="F211">
        <f t="shared" si="16"/>
        <v>3</v>
      </c>
      <c r="G211">
        <f t="shared" si="17"/>
        <v>1</v>
      </c>
      <c r="H211" s="3" t="str">
        <f t="shared" si="18"/>
        <v>531</v>
      </c>
      <c r="I211" t="str">
        <f t="shared" si="19"/>
        <v>Potential Loyalist</v>
      </c>
    </row>
    <row r="212" spans="1:9" x14ac:dyDescent="0.25">
      <c r="A212" s="9" t="s">
        <v>510</v>
      </c>
      <c r="B212" s="9">
        <v>710</v>
      </c>
      <c r="C212" s="9">
        <v>10</v>
      </c>
      <c r="D212" s="10">
        <v>80.17</v>
      </c>
      <c r="E212">
        <f t="shared" si="15"/>
        <v>2</v>
      </c>
      <c r="F212">
        <f t="shared" si="16"/>
        <v>5</v>
      </c>
      <c r="G212">
        <f t="shared" si="17"/>
        <v>1</v>
      </c>
      <c r="H212" s="3" t="str">
        <f t="shared" si="18"/>
        <v>251</v>
      </c>
      <c r="I212" t="str">
        <f t="shared" si="19"/>
        <v>About To Sleep</v>
      </c>
    </row>
    <row r="213" spans="1:9" x14ac:dyDescent="0.25">
      <c r="A213" s="9" t="s">
        <v>511</v>
      </c>
      <c r="B213" s="9">
        <v>706</v>
      </c>
      <c r="C213" s="9">
        <v>11</v>
      </c>
      <c r="D213" s="10">
        <v>277.52</v>
      </c>
      <c r="E213">
        <f t="shared" si="15"/>
        <v>2</v>
      </c>
      <c r="F213">
        <f t="shared" si="16"/>
        <v>5</v>
      </c>
      <c r="G213">
        <f t="shared" si="17"/>
        <v>3</v>
      </c>
      <c r="H213" s="3" t="str">
        <f t="shared" si="18"/>
        <v>253</v>
      </c>
      <c r="I213" t="str">
        <f t="shared" si="19"/>
        <v>About To Sleep</v>
      </c>
    </row>
    <row r="214" spans="1:9" x14ac:dyDescent="0.25">
      <c r="A214" s="9" t="s">
        <v>513</v>
      </c>
      <c r="B214" s="9">
        <v>737</v>
      </c>
      <c r="C214" s="9">
        <v>7</v>
      </c>
      <c r="D214" s="10">
        <v>53.67</v>
      </c>
      <c r="E214">
        <f t="shared" si="15"/>
        <v>2</v>
      </c>
      <c r="F214">
        <f t="shared" si="16"/>
        <v>3</v>
      </c>
      <c r="G214">
        <f t="shared" si="17"/>
        <v>1</v>
      </c>
      <c r="H214" s="3" t="str">
        <f t="shared" si="18"/>
        <v>231</v>
      </c>
      <c r="I214" t="str">
        <f t="shared" si="19"/>
        <v>About To Sleep</v>
      </c>
    </row>
    <row r="215" spans="1:9" x14ac:dyDescent="0.25">
      <c r="A215" s="9" t="s">
        <v>515</v>
      </c>
      <c r="B215" s="9">
        <v>837</v>
      </c>
      <c r="C215" s="9">
        <v>10</v>
      </c>
      <c r="D215" s="10">
        <v>323.39</v>
      </c>
      <c r="E215">
        <f t="shared" si="15"/>
        <v>1</v>
      </c>
      <c r="F215">
        <f t="shared" si="16"/>
        <v>5</v>
      </c>
      <c r="G215">
        <f t="shared" si="17"/>
        <v>3</v>
      </c>
      <c r="H215" s="3" t="str">
        <f t="shared" si="18"/>
        <v>153</v>
      </c>
      <c r="I215" t="str">
        <f t="shared" si="19"/>
        <v>About To Sleep</v>
      </c>
    </row>
    <row r="216" spans="1:9" x14ac:dyDescent="0.25">
      <c r="A216" s="9" t="s">
        <v>517</v>
      </c>
      <c r="B216" s="9">
        <v>659</v>
      </c>
      <c r="C216" s="9">
        <v>5</v>
      </c>
      <c r="D216" s="10">
        <v>98.02</v>
      </c>
      <c r="E216">
        <f t="shared" si="15"/>
        <v>3</v>
      </c>
      <c r="F216">
        <f t="shared" si="16"/>
        <v>2</v>
      </c>
      <c r="G216">
        <f t="shared" si="17"/>
        <v>1</v>
      </c>
      <c r="H216" s="3" t="str">
        <f t="shared" si="18"/>
        <v>321</v>
      </c>
      <c r="I216" t="str">
        <f t="shared" si="19"/>
        <v>Lost Customer</v>
      </c>
    </row>
    <row r="217" spans="1:9" x14ac:dyDescent="0.25">
      <c r="A217" s="9" t="s">
        <v>519</v>
      </c>
      <c r="B217" s="9">
        <v>720</v>
      </c>
      <c r="C217" s="9">
        <v>10</v>
      </c>
      <c r="D217" s="10">
        <v>231.26</v>
      </c>
      <c r="E217">
        <f t="shared" si="15"/>
        <v>2</v>
      </c>
      <c r="F217">
        <f t="shared" si="16"/>
        <v>5</v>
      </c>
      <c r="G217">
        <f t="shared" si="17"/>
        <v>3</v>
      </c>
      <c r="H217" s="3" t="str">
        <f t="shared" si="18"/>
        <v>253</v>
      </c>
      <c r="I217" t="str">
        <f t="shared" si="19"/>
        <v>About To Sleep</v>
      </c>
    </row>
    <row r="218" spans="1:9" x14ac:dyDescent="0.25">
      <c r="A218" s="9" t="s">
        <v>521</v>
      </c>
      <c r="B218" s="9">
        <v>809</v>
      </c>
      <c r="C218" s="9">
        <v>6</v>
      </c>
      <c r="D218" s="10">
        <v>382.49</v>
      </c>
      <c r="E218">
        <f t="shared" si="15"/>
        <v>1</v>
      </c>
      <c r="F218">
        <f t="shared" si="16"/>
        <v>3</v>
      </c>
      <c r="G218">
        <f t="shared" si="17"/>
        <v>4</v>
      </c>
      <c r="H218" s="3" t="str">
        <f t="shared" si="18"/>
        <v>134</v>
      </c>
      <c r="I218" t="str">
        <f t="shared" si="19"/>
        <v>Big Spender</v>
      </c>
    </row>
    <row r="219" spans="1:9" x14ac:dyDescent="0.25">
      <c r="A219" s="9" t="s">
        <v>523</v>
      </c>
      <c r="B219" s="9">
        <v>658</v>
      </c>
      <c r="C219" s="9">
        <v>9</v>
      </c>
      <c r="D219" s="10">
        <v>255.42</v>
      </c>
      <c r="E219">
        <f t="shared" si="15"/>
        <v>3</v>
      </c>
      <c r="F219">
        <f t="shared" si="16"/>
        <v>4</v>
      </c>
      <c r="G219">
        <f t="shared" si="17"/>
        <v>3</v>
      </c>
      <c r="H219" s="3" t="str">
        <f t="shared" si="18"/>
        <v>343</v>
      </c>
      <c r="I219" t="str">
        <f t="shared" si="19"/>
        <v>Others</v>
      </c>
    </row>
    <row r="220" spans="1:9" x14ac:dyDescent="0.25">
      <c r="A220" s="9" t="s">
        <v>525</v>
      </c>
      <c r="B220" s="9">
        <v>531</v>
      </c>
      <c r="C220" s="9">
        <v>12</v>
      </c>
      <c r="D220" s="10">
        <v>423.23</v>
      </c>
      <c r="E220">
        <f t="shared" si="15"/>
        <v>5</v>
      </c>
      <c r="F220">
        <f t="shared" si="16"/>
        <v>5</v>
      </c>
      <c r="G220">
        <f t="shared" si="17"/>
        <v>5</v>
      </c>
      <c r="H220" s="3" t="str">
        <f t="shared" si="18"/>
        <v>555</v>
      </c>
      <c r="I220" t="str">
        <f t="shared" si="19"/>
        <v>Champion</v>
      </c>
    </row>
    <row r="221" spans="1:9" x14ac:dyDescent="0.25">
      <c r="A221" s="9" t="s">
        <v>527</v>
      </c>
      <c r="B221" s="9">
        <v>812</v>
      </c>
      <c r="C221" s="9">
        <v>4</v>
      </c>
      <c r="D221" s="10">
        <v>276.08</v>
      </c>
      <c r="E221">
        <f t="shared" si="15"/>
        <v>1</v>
      </c>
      <c r="F221">
        <f t="shared" si="16"/>
        <v>2</v>
      </c>
      <c r="G221">
        <f t="shared" si="17"/>
        <v>3</v>
      </c>
      <c r="H221" s="3" t="str">
        <f t="shared" si="18"/>
        <v>123</v>
      </c>
      <c r="I221" t="str">
        <f t="shared" si="19"/>
        <v>At Risk</v>
      </c>
    </row>
    <row r="222" spans="1:9" x14ac:dyDescent="0.25">
      <c r="A222" s="9" t="s">
        <v>529</v>
      </c>
      <c r="B222" s="9">
        <v>542</v>
      </c>
      <c r="C222" s="9">
        <v>3</v>
      </c>
      <c r="D222" s="10">
        <v>333.56</v>
      </c>
      <c r="E222">
        <f t="shared" si="15"/>
        <v>5</v>
      </c>
      <c r="F222">
        <f t="shared" si="16"/>
        <v>1</v>
      </c>
      <c r="G222">
        <f t="shared" si="17"/>
        <v>4</v>
      </c>
      <c r="H222" s="3" t="str">
        <f t="shared" si="18"/>
        <v>514</v>
      </c>
      <c r="I222" t="str">
        <f t="shared" si="19"/>
        <v>Big Spender</v>
      </c>
    </row>
    <row r="223" spans="1:9" x14ac:dyDescent="0.25">
      <c r="A223" s="9" t="s">
        <v>531</v>
      </c>
      <c r="B223" s="9">
        <v>686</v>
      </c>
      <c r="C223" s="9">
        <v>12</v>
      </c>
      <c r="D223" s="10">
        <v>129.82</v>
      </c>
      <c r="E223">
        <f t="shared" si="15"/>
        <v>3</v>
      </c>
      <c r="F223">
        <f t="shared" si="16"/>
        <v>5</v>
      </c>
      <c r="G223">
        <f t="shared" si="17"/>
        <v>1</v>
      </c>
      <c r="H223" s="3" t="str">
        <f t="shared" si="18"/>
        <v>351</v>
      </c>
      <c r="I223" t="str">
        <f t="shared" si="19"/>
        <v>Others</v>
      </c>
    </row>
    <row r="224" spans="1:9" x14ac:dyDescent="0.25">
      <c r="A224" s="9" t="s">
        <v>533</v>
      </c>
      <c r="B224" s="9">
        <v>675</v>
      </c>
      <c r="C224" s="9">
        <v>3</v>
      </c>
      <c r="D224" s="10">
        <v>278.77999999999997</v>
      </c>
      <c r="E224">
        <f t="shared" si="15"/>
        <v>3</v>
      </c>
      <c r="F224">
        <f t="shared" si="16"/>
        <v>1</v>
      </c>
      <c r="G224">
        <f t="shared" si="17"/>
        <v>3</v>
      </c>
      <c r="H224" s="3" t="str">
        <f t="shared" si="18"/>
        <v>313</v>
      </c>
      <c r="I224" t="str">
        <f t="shared" si="19"/>
        <v>Others</v>
      </c>
    </row>
    <row r="225" spans="1:9" x14ac:dyDescent="0.25">
      <c r="A225" s="9" t="s">
        <v>535</v>
      </c>
      <c r="B225" s="9">
        <v>545</v>
      </c>
      <c r="C225" s="9">
        <v>5</v>
      </c>
      <c r="D225" s="10">
        <v>112.55</v>
      </c>
      <c r="E225">
        <f t="shared" si="15"/>
        <v>5</v>
      </c>
      <c r="F225">
        <f t="shared" si="16"/>
        <v>2</v>
      </c>
      <c r="G225">
        <f t="shared" si="17"/>
        <v>1</v>
      </c>
      <c r="H225" s="3" t="str">
        <f t="shared" si="18"/>
        <v>521</v>
      </c>
      <c r="I225" t="str">
        <f t="shared" si="19"/>
        <v>Lost Customer</v>
      </c>
    </row>
    <row r="226" spans="1:9" x14ac:dyDescent="0.25">
      <c r="A226" s="9" t="s">
        <v>537</v>
      </c>
      <c r="B226" s="9">
        <v>650</v>
      </c>
      <c r="C226" s="9">
        <v>7</v>
      </c>
      <c r="D226" s="10">
        <v>142.02000000000001</v>
      </c>
      <c r="E226">
        <f t="shared" si="15"/>
        <v>3</v>
      </c>
      <c r="F226">
        <f t="shared" si="16"/>
        <v>3</v>
      </c>
      <c r="G226">
        <f t="shared" si="17"/>
        <v>2</v>
      </c>
      <c r="H226" s="3" t="str">
        <f t="shared" si="18"/>
        <v>332</v>
      </c>
      <c r="I226" t="str">
        <f t="shared" si="19"/>
        <v>Others</v>
      </c>
    </row>
    <row r="227" spans="1:9" x14ac:dyDescent="0.25">
      <c r="A227" s="9" t="s">
        <v>539</v>
      </c>
      <c r="B227" s="9">
        <v>614</v>
      </c>
      <c r="C227" s="9">
        <v>10</v>
      </c>
      <c r="D227" s="10">
        <v>481.84</v>
      </c>
      <c r="E227">
        <f t="shared" si="15"/>
        <v>4</v>
      </c>
      <c r="F227">
        <f t="shared" si="16"/>
        <v>5</v>
      </c>
      <c r="G227">
        <f t="shared" si="17"/>
        <v>5</v>
      </c>
      <c r="H227" s="3" t="str">
        <f t="shared" si="18"/>
        <v>455</v>
      </c>
      <c r="I227" t="str">
        <f t="shared" si="19"/>
        <v>Champion</v>
      </c>
    </row>
    <row r="228" spans="1:9" x14ac:dyDescent="0.25">
      <c r="A228" s="9" t="s">
        <v>541</v>
      </c>
      <c r="B228" s="9">
        <v>733</v>
      </c>
      <c r="C228" s="9">
        <v>10</v>
      </c>
      <c r="D228" s="10">
        <v>165.01</v>
      </c>
      <c r="E228">
        <f t="shared" si="15"/>
        <v>2</v>
      </c>
      <c r="F228">
        <f t="shared" si="16"/>
        <v>5</v>
      </c>
      <c r="G228">
        <f t="shared" si="17"/>
        <v>2</v>
      </c>
      <c r="H228" s="3" t="str">
        <f t="shared" si="18"/>
        <v>252</v>
      </c>
      <c r="I228" t="str">
        <f t="shared" si="19"/>
        <v>About To Sleep</v>
      </c>
    </row>
    <row r="229" spans="1:9" x14ac:dyDescent="0.25">
      <c r="A229" s="9" t="s">
        <v>543</v>
      </c>
      <c r="B229" s="9">
        <v>520</v>
      </c>
      <c r="C229" s="9">
        <v>5</v>
      </c>
      <c r="D229" s="10">
        <v>56.85</v>
      </c>
      <c r="E229">
        <f t="shared" si="15"/>
        <v>5</v>
      </c>
      <c r="F229">
        <f t="shared" si="16"/>
        <v>2</v>
      </c>
      <c r="G229">
        <f t="shared" si="17"/>
        <v>1</v>
      </c>
      <c r="H229" s="3" t="str">
        <f t="shared" si="18"/>
        <v>521</v>
      </c>
      <c r="I229" t="str">
        <f t="shared" si="19"/>
        <v>Lost Customer</v>
      </c>
    </row>
    <row r="230" spans="1:9" x14ac:dyDescent="0.25">
      <c r="A230" s="9" t="s">
        <v>545</v>
      </c>
      <c r="B230" s="9">
        <v>616</v>
      </c>
      <c r="C230" s="9">
        <v>2</v>
      </c>
      <c r="D230" s="10">
        <v>182.89</v>
      </c>
      <c r="E230">
        <f t="shared" si="15"/>
        <v>4</v>
      </c>
      <c r="F230">
        <f t="shared" si="16"/>
        <v>1</v>
      </c>
      <c r="G230">
        <f t="shared" si="17"/>
        <v>2</v>
      </c>
      <c r="H230" s="3" t="str">
        <f t="shared" si="18"/>
        <v>412</v>
      </c>
      <c r="I230" t="str">
        <f t="shared" si="19"/>
        <v>Lost Customer</v>
      </c>
    </row>
    <row r="231" spans="1:9" x14ac:dyDescent="0.25">
      <c r="A231" s="9" t="s">
        <v>547</v>
      </c>
      <c r="B231" s="9">
        <v>632</v>
      </c>
      <c r="C231" s="9">
        <v>5</v>
      </c>
      <c r="D231" s="10">
        <v>373.01</v>
      </c>
      <c r="E231">
        <f t="shared" si="15"/>
        <v>3</v>
      </c>
      <c r="F231">
        <f t="shared" si="16"/>
        <v>2</v>
      </c>
      <c r="G231">
        <f t="shared" si="17"/>
        <v>4</v>
      </c>
      <c r="H231" s="3" t="str">
        <f t="shared" si="18"/>
        <v>324</v>
      </c>
      <c r="I231" t="str">
        <f t="shared" si="19"/>
        <v>Big Spender</v>
      </c>
    </row>
    <row r="232" spans="1:9" x14ac:dyDescent="0.25">
      <c r="A232" s="9" t="s">
        <v>549</v>
      </c>
      <c r="B232" s="9">
        <v>735</v>
      </c>
      <c r="C232" s="9">
        <v>7</v>
      </c>
      <c r="D232" s="10">
        <v>220.77</v>
      </c>
      <c r="E232">
        <f t="shared" si="15"/>
        <v>2</v>
      </c>
      <c r="F232">
        <f t="shared" si="16"/>
        <v>3</v>
      </c>
      <c r="G232">
        <f t="shared" si="17"/>
        <v>2</v>
      </c>
      <c r="H232" s="3" t="str">
        <f t="shared" si="18"/>
        <v>232</v>
      </c>
      <c r="I232" t="str">
        <f t="shared" si="19"/>
        <v>About To Sleep</v>
      </c>
    </row>
    <row r="233" spans="1:9" x14ac:dyDescent="0.25">
      <c r="A233" s="9" t="s">
        <v>551</v>
      </c>
      <c r="B233" s="9">
        <v>561</v>
      </c>
      <c r="C233" s="9">
        <v>11</v>
      </c>
      <c r="D233" s="10">
        <v>291.08999999999997</v>
      </c>
      <c r="E233">
        <f t="shared" si="15"/>
        <v>4</v>
      </c>
      <c r="F233">
        <f t="shared" si="16"/>
        <v>5</v>
      </c>
      <c r="G233">
        <f t="shared" si="17"/>
        <v>3</v>
      </c>
      <c r="H233" s="3" t="str">
        <f t="shared" si="18"/>
        <v>453</v>
      </c>
      <c r="I233" t="str">
        <f t="shared" si="19"/>
        <v>Potential Loyalist</v>
      </c>
    </row>
    <row r="234" spans="1:9" x14ac:dyDescent="0.25">
      <c r="A234" s="9" t="s">
        <v>553</v>
      </c>
      <c r="B234" s="9">
        <v>510</v>
      </c>
      <c r="C234" s="9">
        <v>9</v>
      </c>
      <c r="D234" s="10">
        <v>414.06</v>
      </c>
      <c r="E234">
        <f t="shared" si="15"/>
        <v>5</v>
      </c>
      <c r="F234">
        <f t="shared" si="16"/>
        <v>4</v>
      </c>
      <c r="G234">
        <f t="shared" si="17"/>
        <v>5</v>
      </c>
      <c r="H234" s="3" t="str">
        <f t="shared" si="18"/>
        <v>545</v>
      </c>
      <c r="I234" t="str">
        <f t="shared" si="19"/>
        <v>Champion</v>
      </c>
    </row>
    <row r="235" spans="1:9" x14ac:dyDescent="0.25">
      <c r="A235" s="9" t="s">
        <v>555</v>
      </c>
      <c r="B235" s="9">
        <v>694</v>
      </c>
      <c r="C235" s="9">
        <v>9</v>
      </c>
      <c r="D235" s="10">
        <v>408.51</v>
      </c>
      <c r="E235">
        <f t="shared" si="15"/>
        <v>2</v>
      </c>
      <c r="F235">
        <f t="shared" si="16"/>
        <v>4</v>
      </c>
      <c r="G235">
        <f t="shared" si="17"/>
        <v>4</v>
      </c>
      <c r="H235" s="3" t="str">
        <f t="shared" si="18"/>
        <v>244</v>
      </c>
      <c r="I235" t="str">
        <f t="shared" si="19"/>
        <v>Loyal Customer</v>
      </c>
    </row>
    <row r="236" spans="1:9" x14ac:dyDescent="0.25">
      <c r="A236" s="9" t="s">
        <v>557</v>
      </c>
      <c r="B236" s="9">
        <v>532</v>
      </c>
      <c r="C236" s="9">
        <v>9</v>
      </c>
      <c r="D236" s="10">
        <v>103.4</v>
      </c>
      <c r="E236">
        <f t="shared" si="15"/>
        <v>5</v>
      </c>
      <c r="F236">
        <f t="shared" si="16"/>
        <v>4</v>
      </c>
      <c r="G236">
        <f t="shared" si="17"/>
        <v>1</v>
      </c>
      <c r="H236" s="3" t="str">
        <f t="shared" si="18"/>
        <v>541</v>
      </c>
      <c r="I236" t="str">
        <f t="shared" si="19"/>
        <v>Potential Loyalist</v>
      </c>
    </row>
    <row r="237" spans="1:9" x14ac:dyDescent="0.25">
      <c r="A237" s="9" t="s">
        <v>559</v>
      </c>
      <c r="B237" s="9">
        <v>549</v>
      </c>
      <c r="C237" s="9">
        <v>3</v>
      </c>
      <c r="D237" s="10">
        <v>67.92</v>
      </c>
      <c r="E237">
        <f t="shared" si="15"/>
        <v>5</v>
      </c>
      <c r="F237">
        <f t="shared" si="16"/>
        <v>1</v>
      </c>
      <c r="G237">
        <f t="shared" si="17"/>
        <v>1</v>
      </c>
      <c r="H237" s="3" t="str">
        <f t="shared" si="18"/>
        <v>511</v>
      </c>
      <c r="I237" t="str">
        <f t="shared" si="19"/>
        <v>Lost Customer</v>
      </c>
    </row>
    <row r="238" spans="1:9" x14ac:dyDescent="0.25">
      <c r="A238" s="9" t="s">
        <v>561</v>
      </c>
      <c r="B238" s="9">
        <v>676</v>
      </c>
      <c r="C238" s="9">
        <v>8</v>
      </c>
      <c r="D238" s="10">
        <v>354.16</v>
      </c>
      <c r="E238">
        <f t="shared" si="15"/>
        <v>3</v>
      </c>
      <c r="F238">
        <f t="shared" si="16"/>
        <v>4</v>
      </c>
      <c r="G238">
        <f t="shared" si="17"/>
        <v>4</v>
      </c>
      <c r="H238" s="3" t="str">
        <f t="shared" si="18"/>
        <v>344</v>
      </c>
      <c r="I238" t="str">
        <f t="shared" si="19"/>
        <v>Loyal Customer</v>
      </c>
    </row>
    <row r="239" spans="1:9" x14ac:dyDescent="0.25">
      <c r="A239" s="9" t="s">
        <v>563</v>
      </c>
      <c r="B239" s="9">
        <v>778</v>
      </c>
      <c r="C239" s="9">
        <v>2</v>
      </c>
      <c r="D239" s="10">
        <v>276.77</v>
      </c>
      <c r="E239">
        <f t="shared" si="15"/>
        <v>1</v>
      </c>
      <c r="F239">
        <f t="shared" si="16"/>
        <v>1</v>
      </c>
      <c r="G239">
        <f t="shared" si="17"/>
        <v>3</v>
      </c>
      <c r="H239" s="3" t="str">
        <f t="shared" si="18"/>
        <v>113</v>
      </c>
      <c r="I239" t="str">
        <f t="shared" si="19"/>
        <v>At Risk</v>
      </c>
    </row>
    <row r="240" spans="1:9" x14ac:dyDescent="0.25">
      <c r="A240" s="9" t="s">
        <v>565</v>
      </c>
      <c r="B240" s="9">
        <v>686</v>
      </c>
      <c r="C240" s="9">
        <v>6</v>
      </c>
      <c r="D240" s="10">
        <v>190.25</v>
      </c>
      <c r="E240">
        <f t="shared" si="15"/>
        <v>3</v>
      </c>
      <c r="F240">
        <f t="shared" si="16"/>
        <v>3</v>
      </c>
      <c r="G240">
        <f t="shared" si="17"/>
        <v>2</v>
      </c>
      <c r="H240" s="3" t="str">
        <f t="shared" si="18"/>
        <v>332</v>
      </c>
      <c r="I240" t="str">
        <f t="shared" si="19"/>
        <v>Others</v>
      </c>
    </row>
    <row r="241" spans="1:9" x14ac:dyDescent="0.25">
      <c r="A241" s="9" t="s">
        <v>567</v>
      </c>
      <c r="B241" s="9">
        <v>618</v>
      </c>
      <c r="C241" s="9">
        <v>7</v>
      </c>
      <c r="D241" s="10">
        <v>203.49</v>
      </c>
      <c r="E241">
        <f t="shared" si="15"/>
        <v>4</v>
      </c>
      <c r="F241">
        <f t="shared" si="16"/>
        <v>3</v>
      </c>
      <c r="G241">
        <f t="shared" si="17"/>
        <v>2</v>
      </c>
      <c r="H241" s="3" t="str">
        <f t="shared" si="18"/>
        <v>432</v>
      </c>
      <c r="I241" t="str">
        <f t="shared" si="19"/>
        <v>Potential Loyalist</v>
      </c>
    </row>
    <row r="242" spans="1:9" x14ac:dyDescent="0.25">
      <c r="A242" s="9" t="s">
        <v>569</v>
      </c>
      <c r="B242" s="9">
        <v>518</v>
      </c>
      <c r="C242" s="9">
        <v>6</v>
      </c>
      <c r="D242" s="10">
        <v>263.5</v>
      </c>
      <c r="E242">
        <f t="shared" si="15"/>
        <v>5</v>
      </c>
      <c r="F242">
        <f t="shared" si="16"/>
        <v>3</v>
      </c>
      <c r="G242">
        <f t="shared" si="17"/>
        <v>3</v>
      </c>
      <c r="H242" s="3" t="str">
        <f t="shared" si="18"/>
        <v>533</v>
      </c>
      <c r="I242" t="str">
        <f t="shared" si="19"/>
        <v>Potential Loyalist</v>
      </c>
    </row>
    <row r="243" spans="1:9" x14ac:dyDescent="0.25">
      <c r="A243" s="9" t="s">
        <v>571</v>
      </c>
      <c r="B243" s="9">
        <v>802</v>
      </c>
      <c r="C243" s="9">
        <v>2</v>
      </c>
      <c r="D243" s="10">
        <v>247.3</v>
      </c>
      <c r="E243">
        <f t="shared" si="15"/>
        <v>1</v>
      </c>
      <c r="F243">
        <f t="shared" si="16"/>
        <v>1</v>
      </c>
      <c r="G243">
        <f t="shared" si="17"/>
        <v>3</v>
      </c>
      <c r="H243" s="3" t="str">
        <f t="shared" si="18"/>
        <v>113</v>
      </c>
      <c r="I243" t="str">
        <f t="shared" si="19"/>
        <v>At Risk</v>
      </c>
    </row>
    <row r="244" spans="1:9" x14ac:dyDescent="0.25">
      <c r="A244" s="9" t="s">
        <v>573</v>
      </c>
      <c r="B244" s="9">
        <v>764</v>
      </c>
      <c r="C244" s="9">
        <v>12</v>
      </c>
      <c r="D244" s="10">
        <v>50.71</v>
      </c>
      <c r="E244">
        <f t="shared" si="15"/>
        <v>1</v>
      </c>
      <c r="F244">
        <f t="shared" si="16"/>
        <v>5</v>
      </c>
      <c r="G244">
        <f t="shared" si="17"/>
        <v>1</v>
      </c>
      <c r="H244" s="3" t="str">
        <f t="shared" si="18"/>
        <v>151</v>
      </c>
      <c r="I244" t="str">
        <f t="shared" si="19"/>
        <v>About To Sleep</v>
      </c>
    </row>
    <row r="245" spans="1:9" x14ac:dyDescent="0.25">
      <c r="A245" s="9" t="s">
        <v>575</v>
      </c>
      <c r="B245" s="9">
        <v>837</v>
      </c>
      <c r="C245" s="9">
        <v>4</v>
      </c>
      <c r="D245" s="10">
        <v>131.85</v>
      </c>
      <c r="E245">
        <f t="shared" si="15"/>
        <v>1</v>
      </c>
      <c r="F245">
        <f t="shared" si="16"/>
        <v>2</v>
      </c>
      <c r="G245">
        <f t="shared" si="17"/>
        <v>1</v>
      </c>
      <c r="H245" s="3" t="str">
        <f t="shared" si="18"/>
        <v>121</v>
      </c>
      <c r="I245" t="str">
        <f t="shared" si="19"/>
        <v>At Risk</v>
      </c>
    </row>
    <row r="246" spans="1:9" x14ac:dyDescent="0.25">
      <c r="A246" s="9" t="s">
        <v>577</v>
      </c>
      <c r="B246" s="9">
        <v>568</v>
      </c>
      <c r="C246" s="9">
        <v>6</v>
      </c>
      <c r="D246" s="10">
        <v>459.39</v>
      </c>
      <c r="E246">
        <f t="shared" si="15"/>
        <v>4</v>
      </c>
      <c r="F246">
        <f t="shared" si="16"/>
        <v>3</v>
      </c>
      <c r="G246">
        <f t="shared" si="17"/>
        <v>5</v>
      </c>
      <c r="H246" s="3" t="str">
        <f t="shared" si="18"/>
        <v>435</v>
      </c>
      <c r="I246" t="str">
        <f t="shared" si="19"/>
        <v>Potential Loyalist</v>
      </c>
    </row>
    <row r="247" spans="1:9" x14ac:dyDescent="0.25">
      <c r="A247" s="9" t="s">
        <v>579</v>
      </c>
      <c r="B247" s="9">
        <v>623</v>
      </c>
      <c r="C247" s="9">
        <v>6</v>
      </c>
      <c r="D247" s="10">
        <v>383.33</v>
      </c>
      <c r="E247">
        <f t="shared" si="15"/>
        <v>4</v>
      </c>
      <c r="F247">
        <f t="shared" si="16"/>
        <v>3</v>
      </c>
      <c r="G247">
        <f t="shared" si="17"/>
        <v>4</v>
      </c>
      <c r="H247" s="3" t="str">
        <f t="shared" si="18"/>
        <v>434</v>
      </c>
      <c r="I247" t="str">
        <f t="shared" si="19"/>
        <v>Potential Loyalist</v>
      </c>
    </row>
    <row r="248" spans="1:9" x14ac:dyDescent="0.25">
      <c r="A248" s="9" t="s">
        <v>581</v>
      </c>
      <c r="B248" s="9">
        <v>713</v>
      </c>
      <c r="C248" s="9">
        <v>8</v>
      </c>
      <c r="D248" s="10">
        <v>212.08</v>
      </c>
      <c r="E248">
        <f t="shared" si="15"/>
        <v>2</v>
      </c>
      <c r="F248">
        <f t="shared" si="16"/>
        <v>4</v>
      </c>
      <c r="G248">
        <f t="shared" si="17"/>
        <v>2</v>
      </c>
      <c r="H248" s="3" t="str">
        <f t="shared" si="18"/>
        <v>242</v>
      </c>
      <c r="I248" t="str">
        <f t="shared" si="19"/>
        <v>About To Sleep</v>
      </c>
    </row>
    <row r="249" spans="1:9" x14ac:dyDescent="0.25">
      <c r="A249" s="9" t="s">
        <v>583</v>
      </c>
      <c r="B249" s="9">
        <v>610</v>
      </c>
      <c r="C249" s="9">
        <v>7</v>
      </c>
      <c r="D249" s="10">
        <v>370.73</v>
      </c>
      <c r="E249">
        <f t="shared" si="15"/>
        <v>4</v>
      </c>
      <c r="F249">
        <f t="shared" si="16"/>
        <v>3</v>
      </c>
      <c r="G249">
        <f t="shared" si="17"/>
        <v>4</v>
      </c>
      <c r="H249" s="3" t="str">
        <f t="shared" si="18"/>
        <v>434</v>
      </c>
      <c r="I249" t="str">
        <f t="shared" si="19"/>
        <v>Potential Loyalist</v>
      </c>
    </row>
    <row r="250" spans="1:9" x14ac:dyDescent="0.25">
      <c r="A250" s="9" t="s">
        <v>585</v>
      </c>
      <c r="B250" s="9">
        <v>792</v>
      </c>
      <c r="C250" s="9">
        <v>7</v>
      </c>
      <c r="D250" s="10">
        <v>319.66000000000003</v>
      </c>
      <c r="E250">
        <f t="shared" si="15"/>
        <v>1</v>
      </c>
      <c r="F250">
        <f t="shared" si="16"/>
        <v>3</v>
      </c>
      <c r="G250">
        <f t="shared" si="17"/>
        <v>3</v>
      </c>
      <c r="H250" s="3" t="str">
        <f t="shared" si="18"/>
        <v>133</v>
      </c>
      <c r="I250" t="str">
        <f t="shared" si="19"/>
        <v>About To Sleep</v>
      </c>
    </row>
    <row r="251" spans="1:9" x14ac:dyDescent="0.25">
      <c r="A251" s="9" t="s">
        <v>587</v>
      </c>
      <c r="B251" s="9">
        <v>767</v>
      </c>
      <c r="C251" s="9">
        <v>3</v>
      </c>
      <c r="D251" s="10">
        <v>373.05</v>
      </c>
      <c r="E251">
        <f t="shared" si="15"/>
        <v>1</v>
      </c>
      <c r="F251">
        <f t="shared" si="16"/>
        <v>1</v>
      </c>
      <c r="G251">
        <f t="shared" si="17"/>
        <v>4</v>
      </c>
      <c r="H251" s="3" t="str">
        <f t="shared" si="18"/>
        <v>114</v>
      </c>
      <c r="I251" t="str">
        <f t="shared" si="19"/>
        <v>Big Spender</v>
      </c>
    </row>
    <row r="252" spans="1:9" x14ac:dyDescent="0.25">
      <c r="A252" s="9" t="s">
        <v>589</v>
      </c>
      <c r="B252" s="9">
        <v>756</v>
      </c>
      <c r="C252" s="9">
        <v>6</v>
      </c>
      <c r="D252" s="10">
        <v>393.78</v>
      </c>
      <c r="E252">
        <f t="shared" si="15"/>
        <v>2</v>
      </c>
      <c r="F252">
        <f t="shared" si="16"/>
        <v>3</v>
      </c>
      <c r="G252">
        <f t="shared" si="17"/>
        <v>4</v>
      </c>
      <c r="H252" s="3" t="str">
        <f t="shared" si="18"/>
        <v>234</v>
      </c>
      <c r="I252" t="str">
        <f t="shared" si="19"/>
        <v>Big Spender</v>
      </c>
    </row>
    <row r="253" spans="1:9" x14ac:dyDescent="0.25">
      <c r="A253" s="9" t="s">
        <v>591</v>
      </c>
      <c r="B253" s="9">
        <v>503</v>
      </c>
      <c r="C253" s="9">
        <v>4</v>
      </c>
      <c r="D253" s="10">
        <v>245.04</v>
      </c>
      <c r="E253">
        <f t="shared" si="15"/>
        <v>5</v>
      </c>
      <c r="F253">
        <f t="shared" si="16"/>
        <v>2</v>
      </c>
      <c r="G253">
        <f t="shared" si="17"/>
        <v>3</v>
      </c>
      <c r="H253" s="3" t="str">
        <f t="shared" si="18"/>
        <v>523</v>
      </c>
      <c r="I253" t="str">
        <f t="shared" si="19"/>
        <v>Others</v>
      </c>
    </row>
    <row r="254" spans="1:9" x14ac:dyDescent="0.25">
      <c r="A254" s="9" t="s">
        <v>593</v>
      </c>
      <c r="B254" s="9">
        <v>707</v>
      </c>
      <c r="C254" s="9">
        <v>3</v>
      </c>
      <c r="D254" s="10">
        <v>111.27</v>
      </c>
      <c r="E254">
        <f t="shared" si="15"/>
        <v>2</v>
      </c>
      <c r="F254">
        <f t="shared" si="16"/>
        <v>1</v>
      </c>
      <c r="G254">
        <f t="shared" si="17"/>
        <v>1</v>
      </c>
      <c r="H254" s="3" t="str">
        <f t="shared" si="18"/>
        <v>211</v>
      </c>
      <c r="I254" t="str">
        <f t="shared" si="19"/>
        <v>At Risk</v>
      </c>
    </row>
    <row r="255" spans="1:9" x14ac:dyDescent="0.25">
      <c r="A255" s="9" t="s">
        <v>595</v>
      </c>
      <c r="B255" s="9">
        <v>634</v>
      </c>
      <c r="C255" s="9">
        <v>11</v>
      </c>
      <c r="D255" s="10">
        <v>93.29</v>
      </c>
      <c r="E255">
        <f t="shared" si="15"/>
        <v>3</v>
      </c>
      <c r="F255">
        <f t="shared" si="16"/>
        <v>5</v>
      </c>
      <c r="G255">
        <f t="shared" si="17"/>
        <v>1</v>
      </c>
      <c r="H255" s="3" t="str">
        <f t="shared" si="18"/>
        <v>351</v>
      </c>
      <c r="I255" t="str">
        <f t="shared" si="19"/>
        <v>Others</v>
      </c>
    </row>
    <row r="256" spans="1:9" x14ac:dyDescent="0.25">
      <c r="A256" s="9" t="s">
        <v>597</v>
      </c>
      <c r="B256" s="9">
        <v>831</v>
      </c>
      <c r="C256" s="9">
        <v>5</v>
      </c>
      <c r="D256" s="10">
        <v>156.5</v>
      </c>
      <c r="E256">
        <f t="shared" si="15"/>
        <v>1</v>
      </c>
      <c r="F256">
        <f t="shared" si="16"/>
        <v>2</v>
      </c>
      <c r="G256">
        <f t="shared" si="17"/>
        <v>2</v>
      </c>
      <c r="H256" s="3" t="str">
        <f t="shared" si="18"/>
        <v>122</v>
      </c>
      <c r="I256" t="str">
        <f t="shared" si="19"/>
        <v>At Risk</v>
      </c>
    </row>
    <row r="257" spans="1:9" x14ac:dyDescent="0.25">
      <c r="A257" s="9" t="s">
        <v>599</v>
      </c>
      <c r="B257" s="9">
        <v>537</v>
      </c>
      <c r="C257" s="9">
        <v>8</v>
      </c>
      <c r="D257" s="10">
        <v>290.11</v>
      </c>
      <c r="E257">
        <f t="shared" si="15"/>
        <v>5</v>
      </c>
      <c r="F257">
        <f t="shared" si="16"/>
        <v>4</v>
      </c>
      <c r="G257">
        <f t="shared" si="17"/>
        <v>3</v>
      </c>
      <c r="H257" s="3" t="str">
        <f t="shared" si="18"/>
        <v>543</v>
      </c>
      <c r="I257" t="str">
        <f t="shared" si="19"/>
        <v>Potential Loyalist</v>
      </c>
    </row>
    <row r="258" spans="1:9" x14ac:dyDescent="0.25">
      <c r="A258" s="9" t="s">
        <v>601</v>
      </c>
      <c r="B258" s="9">
        <v>580</v>
      </c>
      <c r="C258" s="9">
        <v>3</v>
      </c>
      <c r="D258" s="10">
        <v>355.28</v>
      </c>
      <c r="E258">
        <f t="shared" si="15"/>
        <v>4</v>
      </c>
      <c r="F258">
        <f t="shared" si="16"/>
        <v>1</v>
      </c>
      <c r="G258">
        <f t="shared" si="17"/>
        <v>4</v>
      </c>
      <c r="H258" s="3" t="str">
        <f t="shared" si="18"/>
        <v>414</v>
      </c>
      <c r="I258" t="str">
        <f t="shared" si="19"/>
        <v>Big Spender</v>
      </c>
    </row>
    <row r="259" spans="1:9" x14ac:dyDescent="0.25">
      <c r="A259" s="9" t="s">
        <v>602</v>
      </c>
      <c r="B259" s="9">
        <v>611</v>
      </c>
      <c r="C259" s="9">
        <v>7</v>
      </c>
      <c r="D259" s="10">
        <v>73.739999999999995</v>
      </c>
      <c r="E259">
        <f t="shared" ref="E259:E322" si="20">IF(B259 &lt;= _xlfn.PERCENTILE.INC($B$2:$B$1001, 0.2), 5,
 IF(B259 &lt;= _xlfn.PERCENTILE.INC($B$2:$B$1001, 0.4), 4,
 IF(B259 &lt;= _xlfn.PERCENTILE.INC($B$2:$B$1001, 0.6), 3,
 IF(B259 &lt;= _xlfn.PERCENTILE.INC($B$2:$B$1001, 0.8), 2, 1))))</f>
        <v>4</v>
      </c>
      <c r="F259">
        <f t="shared" ref="F259:F322" si="21">IF(C259 &gt;= _xlfn.PERCENTILE.INC($C$2:$C$1001, 0.8), 5,
 IF(C259 &gt;= _xlfn.PERCENTILE.INC($C$2:$C$1001, 0.6), 4,
 IF(C259 &gt;= _xlfn.PERCENTILE.INC($C$2:$C$1001, 0.4), 3,
 IF(C259 &gt;= _xlfn.PERCENTILE.INC($C$2:$C$1001, 0.2), 2, 1))))</f>
        <v>3</v>
      </c>
      <c r="G259">
        <f t="shared" ref="G259:G322" si="22">IF(D259 &gt;= _xlfn.PERCENTILE.INC($D$2:$D$1001, 0.8), 5,
 IF(D259 &gt;= _xlfn.PERCENTILE.INC($D$2:$D$1001, 0.6), 4,
 IF(D259 &gt;= _xlfn.PERCENTILE.INC($D$2:$D$1001, 0.4), 3,
 IF(D259 &gt;= _xlfn.PERCENTILE.INC($D$2:$D$1001, 0.2), 2, 1))))</f>
        <v>1</v>
      </c>
      <c r="H259" s="3" t="str">
        <f t="shared" ref="H259:H322" si="23">TEXT(E259,"0") &amp; TEXT(F259,"0") &amp; TEXT(G259,"0")</f>
        <v>431</v>
      </c>
      <c r="I259" t="str">
        <f t="shared" ref="I259:I322" si="24">IF(AND(E259&gt;=4, F259&gt;=4, G259&gt;=4), "Champion",
 IF(AND(F259&gt;=4, G259&gt;=4), "Loyal Customer",
 IF(AND(E259&gt;=4, F259&gt;=3), "Potential Loyalist",
 IF(G259&gt;=4, "Big Spender",
 IF(AND(E259&lt;=2, F259&lt;=2), "At Risk",
 IF(E259&lt;=2, "About To Sleep",
 IF(AND(F259&lt;=2, G259&lt;=2), "Lost Customer", "Others")))))))</f>
        <v>Potential Loyalist</v>
      </c>
    </row>
    <row r="260" spans="1:9" x14ac:dyDescent="0.25">
      <c r="A260" s="9" t="s">
        <v>604</v>
      </c>
      <c r="B260" s="9">
        <v>686</v>
      </c>
      <c r="C260" s="9">
        <v>10</v>
      </c>
      <c r="D260" s="10">
        <v>170.35</v>
      </c>
      <c r="E260">
        <f t="shared" si="20"/>
        <v>3</v>
      </c>
      <c r="F260">
        <f t="shared" si="21"/>
        <v>5</v>
      </c>
      <c r="G260">
        <f t="shared" si="22"/>
        <v>2</v>
      </c>
      <c r="H260" s="3" t="str">
        <f t="shared" si="23"/>
        <v>352</v>
      </c>
      <c r="I260" t="str">
        <f t="shared" si="24"/>
        <v>Others</v>
      </c>
    </row>
    <row r="261" spans="1:9" x14ac:dyDescent="0.25">
      <c r="A261" s="9" t="s">
        <v>606</v>
      </c>
      <c r="B261" s="9">
        <v>631</v>
      </c>
      <c r="C261" s="9">
        <v>6</v>
      </c>
      <c r="D261" s="10">
        <v>123.7</v>
      </c>
      <c r="E261">
        <f t="shared" si="20"/>
        <v>3</v>
      </c>
      <c r="F261">
        <f t="shared" si="21"/>
        <v>3</v>
      </c>
      <c r="G261">
        <f t="shared" si="22"/>
        <v>1</v>
      </c>
      <c r="H261" s="3" t="str">
        <f t="shared" si="23"/>
        <v>331</v>
      </c>
      <c r="I261" t="str">
        <f t="shared" si="24"/>
        <v>Others</v>
      </c>
    </row>
    <row r="262" spans="1:9" x14ac:dyDescent="0.25">
      <c r="A262" s="9" t="s">
        <v>608</v>
      </c>
      <c r="B262" s="9">
        <v>543</v>
      </c>
      <c r="C262" s="9">
        <v>9</v>
      </c>
      <c r="D262" s="10">
        <v>201.6</v>
      </c>
      <c r="E262">
        <f t="shared" si="20"/>
        <v>5</v>
      </c>
      <c r="F262">
        <f t="shared" si="21"/>
        <v>4</v>
      </c>
      <c r="G262">
        <f t="shared" si="22"/>
        <v>2</v>
      </c>
      <c r="H262" s="3" t="str">
        <f t="shared" si="23"/>
        <v>542</v>
      </c>
      <c r="I262" t="str">
        <f t="shared" si="24"/>
        <v>Potential Loyalist</v>
      </c>
    </row>
    <row r="263" spans="1:9" x14ac:dyDescent="0.25">
      <c r="A263" s="9" t="s">
        <v>610</v>
      </c>
      <c r="B263" s="9">
        <v>749</v>
      </c>
      <c r="C263" s="9">
        <v>11</v>
      </c>
      <c r="D263" s="10">
        <v>116.14</v>
      </c>
      <c r="E263">
        <f t="shared" si="20"/>
        <v>2</v>
      </c>
      <c r="F263">
        <f t="shared" si="21"/>
        <v>5</v>
      </c>
      <c r="G263">
        <f t="shared" si="22"/>
        <v>1</v>
      </c>
      <c r="H263" s="3" t="str">
        <f t="shared" si="23"/>
        <v>251</v>
      </c>
      <c r="I263" t="str">
        <f t="shared" si="24"/>
        <v>About To Sleep</v>
      </c>
    </row>
    <row r="264" spans="1:9" x14ac:dyDescent="0.25">
      <c r="A264" s="9" t="s">
        <v>612</v>
      </c>
      <c r="B264" s="9">
        <v>680</v>
      </c>
      <c r="C264" s="9">
        <v>9</v>
      </c>
      <c r="D264" s="10">
        <v>483.38</v>
      </c>
      <c r="E264">
        <f t="shared" si="20"/>
        <v>3</v>
      </c>
      <c r="F264">
        <f t="shared" si="21"/>
        <v>4</v>
      </c>
      <c r="G264">
        <f t="shared" si="22"/>
        <v>5</v>
      </c>
      <c r="H264" s="3" t="str">
        <f t="shared" si="23"/>
        <v>345</v>
      </c>
      <c r="I264" t="str">
        <f t="shared" si="24"/>
        <v>Loyal Customer</v>
      </c>
    </row>
    <row r="265" spans="1:9" x14ac:dyDescent="0.25">
      <c r="A265" s="9" t="s">
        <v>614</v>
      </c>
      <c r="B265" s="9">
        <v>522</v>
      </c>
      <c r="C265" s="9">
        <v>9</v>
      </c>
      <c r="D265" s="10">
        <v>418.62</v>
      </c>
      <c r="E265">
        <f t="shared" si="20"/>
        <v>5</v>
      </c>
      <c r="F265">
        <f t="shared" si="21"/>
        <v>4</v>
      </c>
      <c r="G265">
        <f t="shared" si="22"/>
        <v>5</v>
      </c>
      <c r="H265" s="3" t="str">
        <f t="shared" si="23"/>
        <v>545</v>
      </c>
      <c r="I265" t="str">
        <f t="shared" si="24"/>
        <v>Champion</v>
      </c>
    </row>
    <row r="266" spans="1:9" x14ac:dyDescent="0.25">
      <c r="A266" s="9" t="s">
        <v>616</v>
      </c>
      <c r="B266" s="9">
        <v>559</v>
      </c>
      <c r="C266" s="9">
        <v>12</v>
      </c>
      <c r="D266" s="10">
        <v>139.83000000000001</v>
      </c>
      <c r="E266">
        <f t="shared" si="20"/>
        <v>4</v>
      </c>
      <c r="F266">
        <f t="shared" si="21"/>
        <v>5</v>
      </c>
      <c r="G266">
        <f t="shared" si="22"/>
        <v>2</v>
      </c>
      <c r="H266" s="3" t="str">
        <f t="shared" si="23"/>
        <v>452</v>
      </c>
      <c r="I266" t="str">
        <f t="shared" si="24"/>
        <v>Potential Loyalist</v>
      </c>
    </row>
    <row r="267" spans="1:9" x14ac:dyDescent="0.25">
      <c r="A267" s="9" t="s">
        <v>618</v>
      </c>
      <c r="B267" s="9">
        <v>830</v>
      </c>
      <c r="C267" s="9">
        <v>4</v>
      </c>
      <c r="D267" s="10">
        <v>54.17</v>
      </c>
      <c r="E267">
        <f t="shared" si="20"/>
        <v>1</v>
      </c>
      <c r="F267">
        <f t="shared" si="21"/>
        <v>2</v>
      </c>
      <c r="G267">
        <f t="shared" si="22"/>
        <v>1</v>
      </c>
      <c r="H267" s="3" t="str">
        <f t="shared" si="23"/>
        <v>121</v>
      </c>
      <c r="I267" t="str">
        <f t="shared" si="24"/>
        <v>At Risk</v>
      </c>
    </row>
    <row r="268" spans="1:9" x14ac:dyDescent="0.25">
      <c r="A268" s="9" t="s">
        <v>620</v>
      </c>
      <c r="B268" s="9">
        <v>784</v>
      </c>
      <c r="C268" s="9">
        <v>10</v>
      </c>
      <c r="D268" s="10">
        <v>437.59</v>
      </c>
      <c r="E268">
        <f t="shared" si="20"/>
        <v>1</v>
      </c>
      <c r="F268">
        <f t="shared" si="21"/>
        <v>5</v>
      </c>
      <c r="G268">
        <f t="shared" si="22"/>
        <v>5</v>
      </c>
      <c r="H268" s="3" t="str">
        <f t="shared" si="23"/>
        <v>155</v>
      </c>
      <c r="I268" t="str">
        <f t="shared" si="24"/>
        <v>Loyal Customer</v>
      </c>
    </row>
    <row r="269" spans="1:9" x14ac:dyDescent="0.25">
      <c r="A269" s="9" t="s">
        <v>622</v>
      </c>
      <c r="B269" s="9">
        <v>535</v>
      </c>
      <c r="C269" s="9">
        <v>5</v>
      </c>
      <c r="D269" s="10">
        <v>113.57</v>
      </c>
      <c r="E269">
        <f t="shared" si="20"/>
        <v>5</v>
      </c>
      <c r="F269">
        <f t="shared" si="21"/>
        <v>2</v>
      </c>
      <c r="G269">
        <f t="shared" si="22"/>
        <v>1</v>
      </c>
      <c r="H269" s="3" t="str">
        <f t="shared" si="23"/>
        <v>521</v>
      </c>
      <c r="I269" t="str">
        <f t="shared" si="24"/>
        <v>Lost Customer</v>
      </c>
    </row>
    <row r="270" spans="1:9" x14ac:dyDescent="0.25">
      <c r="A270" s="9" t="s">
        <v>624</v>
      </c>
      <c r="B270" s="9">
        <v>753</v>
      </c>
      <c r="C270" s="9">
        <v>6</v>
      </c>
      <c r="D270" s="10">
        <v>305.54000000000002</v>
      </c>
      <c r="E270">
        <f t="shared" si="20"/>
        <v>2</v>
      </c>
      <c r="F270">
        <f t="shared" si="21"/>
        <v>3</v>
      </c>
      <c r="G270">
        <f t="shared" si="22"/>
        <v>3</v>
      </c>
      <c r="H270" s="3" t="str">
        <f t="shared" si="23"/>
        <v>233</v>
      </c>
      <c r="I270" t="str">
        <f t="shared" si="24"/>
        <v>About To Sleep</v>
      </c>
    </row>
    <row r="271" spans="1:9" x14ac:dyDescent="0.25">
      <c r="A271" s="9" t="s">
        <v>626</v>
      </c>
      <c r="B271" s="9">
        <v>833</v>
      </c>
      <c r="C271" s="9">
        <v>2</v>
      </c>
      <c r="D271" s="10">
        <v>339.12</v>
      </c>
      <c r="E271">
        <f t="shared" si="20"/>
        <v>1</v>
      </c>
      <c r="F271">
        <f t="shared" si="21"/>
        <v>1</v>
      </c>
      <c r="G271">
        <f t="shared" si="22"/>
        <v>4</v>
      </c>
      <c r="H271" s="3" t="str">
        <f t="shared" si="23"/>
        <v>114</v>
      </c>
      <c r="I271" t="str">
        <f t="shared" si="24"/>
        <v>Big Spender</v>
      </c>
    </row>
    <row r="272" spans="1:9" x14ac:dyDescent="0.25">
      <c r="A272" s="9" t="s">
        <v>628</v>
      </c>
      <c r="B272" s="9">
        <v>782</v>
      </c>
      <c r="C272" s="9">
        <v>11</v>
      </c>
      <c r="D272" s="10">
        <v>323.39999999999998</v>
      </c>
      <c r="E272">
        <f t="shared" si="20"/>
        <v>1</v>
      </c>
      <c r="F272">
        <f t="shared" si="21"/>
        <v>5</v>
      </c>
      <c r="G272">
        <f t="shared" si="22"/>
        <v>3</v>
      </c>
      <c r="H272" s="3" t="str">
        <f t="shared" si="23"/>
        <v>153</v>
      </c>
      <c r="I272" t="str">
        <f t="shared" si="24"/>
        <v>About To Sleep</v>
      </c>
    </row>
    <row r="273" spans="1:9" x14ac:dyDescent="0.25">
      <c r="A273" s="9" t="s">
        <v>630</v>
      </c>
      <c r="B273" s="9">
        <v>582</v>
      </c>
      <c r="C273" s="9">
        <v>9</v>
      </c>
      <c r="D273" s="10">
        <v>472.61</v>
      </c>
      <c r="E273">
        <f t="shared" si="20"/>
        <v>4</v>
      </c>
      <c r="F273">
        <f t="shared" si="21"/>
        <v>4</v>
      </c>
      <c r="G273">
        <f t="shared" si="22"/>
        <v>5</v>
      </c>
      <c r="H273" s="3" t="str">
        <f t="shared" si="23"/>
        <v>445</v>
      </c>
      <c r="I273" t="str">
        <f t="shared" si="24"/>
        <v>Champion</v>
      </c>
    </row>
    <row r="274" spans="1:9" x14ac:dyDescent="0.25">
      <c r="A274" s="9" t="s">
        <v>632</v>
      </c>
      <c r="B274" s="9">
        <v>535</v>
      </c>
      <c r="C274" s="9">
        <v>10</v>
      </c>
      <c r="D274" s="10">
        <v>68.02</v>
      </c>
      <c r="E274">
        <f t="shared" si="20"/>
        <v>5</v>
      </c>
      <c r="F274">
        <f t="shared" si="21"/>
        <v>5</v>
      </c>
      <c r="G274">
        <f t="shared" si="22"/>
        <v>1</v>
      </c>
      <c r="H274" s="3" t="str">
        <f t="shared" si="23"/>
        <v>551</v>
      </c>
      <c r="I274" t="str">
        <f t="shared" si="24"/>
        <v>Potential Loyalist</v>
      </c>
    </row>
    <row r="275" spans="1:9" x14ac:dyDescent="0.25">
      <c r="A275" s="9" t="s">
        <v>634</v>
      </c>
      <c r="B275" s="9">
        <v>645</v>
      </c>
      <c r="C275" s="9">
        <v>7</v>
      </c>
      <c r="D275" s="10">
        <v>199.44</v>
      </c>
      <c r="E275">
        <f t="shared" si="20"/>
        <v>3</v>
      </c>
      <c r="F275">
        <f t="shared" si="21"/>
        <v>3</v>
      </c>
      <c r="G275">
        <f t="shared" si="22"/>
        <v>2</v>
      </c>
      <c r="H275" s="3" t="str">
        <f t="shared" si="23"/>
        <v>332</v>
      </c>
      <c r="I275" t="str">
        <f t="shared" si="24"/>
        <v>Others</v>
      </c>
    </row>
    <row r="276" spans="1:9" x14ac:dyDescent="0.25">
      <c r="A276" s="9" t="s">
        <v>636</v>
      </c>
      <c r="B276" s="9">
        <v>726</v>
      </c>
      <c r="C276" s="9">
        <v>4</v>
      </c>
      <c r="D276" s="10">
        <v>250.73</v>
      </c>
      <c r="E276">
        <f t="shared" si="20"/>
        <v>2</v>
      </c>
      <c r="F276">
        <f t="shared" si="21"/>
        <v>2</v>
      </c>
      <c r="G276">
        <f t="shared" si="22"/>
        <v>3</v>
      </c>
      <c r="H276" s="3" t="str">
        <f t="shared" si="23"/>
        <v>223</v>
      </c>
      <c r="I276" t="str">
        <f t="shared" si="24"/>
        <v>At Risk</v>
      </c>
    </row>
    <row r="277" spans="1:9" x14ac:dyDescent="0.25">
      <c r="A277" s="9" t="s">
        <v>638</v>
      </c>
      <c r="B277" s="9">
        <v>606</v>
      </c>
      <c r="C277" s="9">
        <v>12</v>
      </c>
      <c r="D277" s="10">
        <v>372.49</v>
      </c>
      <c r="E277">
        <f t="shared" si="20"/>
        <v>4</v>
      </c>
      <c r="F277">
        <f t="shared" si="21"/>
        <v>5</v>
      </c>
      <c r="G277">
        <f t="shared" si="22"/>
        <v>4</v>
      </c>
      <c r="H277" s="3" t="str">
        <f t="shared" si="23"/>
        <v>454</v>
      </c>
      <c r="I277" t="str">
        <f t="shared" si="24"/>
        <v>Champion</v>
      </c>
    </row>
    <row r="278" spans="1:9" x14ac:dyDescent="0.25">
      <c r="A278" s="9" t="s">
        <v>640</v>
      </c>
      <c r="B278" s="9">
        <v>790</v>
      </c>
      <c r="C278" s="9">
        <v>2</v>
      </c>
      <c r="D278" s="10">
        <v>186.85</v>
      </c>
      <c r="E278">
        <f t="shared" si="20"/>
        <v>1</v>
      </c>
      <c r="F278">
        <f t="shared" si="21"/>
        <v>1</v>
      </c>
      <c r="G278">
        <f t="shared" si="22"/>
        <v>2</v>
      </c>
      <c r="H278" s="3" t="str">
        <f t="shared" si="23"/>
        <v>112</v>
      </c>
      <c r="I278" t="str">
        <f t="shared" si="24"/>
        <v>At Risk</v>
      </c>
    </row>
    <row r="279" spans="1:9" x14ac:dyDescent="0.25">
      <c r="A279" s="9" t="s">
        <v>642</v>
      </c>
      <c r="B279" s="9">
        <v>814</v>
      </c>
      <c r="C279" s="9">
        <v>10</v>
      </c>
      <c r="D279" s="10">
        <v>73.319999999999993</v>
      </c>
      <c r="E279">
        <f t="shared" si="20"/>
        <v>1</v>
      </c>
      <c r="F279">
        <f t="shared" si="21"/>
        <v>5</v>
      </c>
      <c r="G279">
        <f t="shared" si="22"/>
        <v>1</v>
      </c>
      <c r="H279" s="3" t="str">
        <f t="shared" si="23"/>
        <v>151</v>
      </c>
      <c r="I279" t="str">
        <f t="shared" si="24"/>
        <v>About To Sleep</v>
      </c>
    </row>
    <row r="280" spans="1:9" x14ac:dyDescent="0.25">
      <c r="A280" s="9" t="s">
        <v>644</v>
      </c>
      <c r="B280" s="9">
        <v>801</v>
      </c>
      <c r="C280" s="9">
        <v>6</v>
      </c>
      <c r="D280" s="10">
        <v>214.59</v>
      </c>
      <c r="E280">
        <f t="shared" si="20"/>
        <v>1</v>
      </c>
      <c r="F280">
        <f t="shared" si="21"/>
        <v>3</v>
      </c>
      <c r="G280">
        <f t="shared" si="22"/>
        <v>2</v>
      </c>
      <c r="H280" s="3" t="str">
        <f t="shared" si="23"/>
        <v>132</v>
      </c>
      <c r="I280" t="str">
        <f t="shared" si="24"/>
        <v>About To Sleep</v>
      </c>
    </row>
    <row r="281" spans="1:9" x14ac:dyDescent="0.25">
      <c r="A281" s="9" t="s">
        <v>646</v>
      </c>
      <c r="B281" s="9">
        <v>813</v>
      </c>
      <c r="C281" s="9">
        <v>12</v>
      </c>
      <c r="D281" s="10">
        <v>467.32</v>
      </c>
      <c r="E281">
        <f t="shared" si="20"/>
        <v>1</v>
      </c>
      <c r="F281">
        <f t="shared" si="21"/>
        <v>5</v>
      </c>
      <c r="G281">
        <f t="shared" si="22"/>
        <v>5</v>
      </c>
      <c r="H281" s="3" t="str">
        <f t="shared" si="23"/>
        <v>155</v>
      </c>
      <c r="I281" t="str">
        <f t="shared" si="24"/>
        <v>Loyal Customer</v>
      </c>
    </row>
    <row r="282" spans="1:9" x14ac:dyDescent="0.25">
      <c r="A282" s="9" t="s">
        <v>648</v>
      </c>
      <c r="B282" s="9">
        <v>666</v>
      </c>
      <c r="C282" s="9">
        <v>4</v>
      </c>
      <c r="D282" s="10">
        <v>475.65</v>
      </c>
      <c r="E282">
        <f t="shared" si="20"/>
        <v>3</v>
      </c>
      <c r="F282">
        <f t="shared" si="21"/>
        <v>2</v>
      </c>
      <c r="G282">
        <f t="shared" si="22"/>
        <v>5</v>
      </c>
      <c r="H282" s="3" t="str">
        <f t="shared" si="23"/>
        <v>325</v>
      </c>
      <c r="I282" t="str">
        <f t="shared" si="24"/>
        <v>Big Spender</v>
      </c>
    </row>
    <row r="283" spans="1:9" x14ac:dyDescent="0.25">
      <c r="A283" s="9" t="s">
        <v>650</v>
      </c>
      <c r="B283" s="9">
        <v>608</v>
      </c>
      <c r="C283" s="9">
        <v>11</v>
      </c>
      <c r="D283" s="10">
        <v>161.38</v>
      </c>
      <c r="E283">
        <f t="shared" si="20"/>
        <v>4</v>
      </c>
      <c r="F283">
        <f t="shared" si="21"/>
        <v>5</v>
      </c>
      <c r="G283">
        <f t="shared" si="22"/>
        <v>2</v>
      </c>
      <c r="H283" s="3" t="str">
        <f t="shared" si="23"/>
        <v>452</v>
      </c>
      <c r="I283" t="str">
        <f t="shared" si="24"/>
        <v>Potential Loyalist</v>
      </c>
    </row>
    <row r="284" spans="1:9" x14ac:dyDescent="0.25">
      <c r="A284" s="9" t="s">
        <v>652</v>
      </c>
      <c r="B284" s="9">
        <v>512</v>
      </c>
      <c r="C284" s="9">
        <v>4</v>
      </c>
      <c r="D284" s="10">
        <v>249.78</v>
      </c>
      <c r="E284">
        <f t="shared" si="20"/>
        <v>5</v>
      </c>
      <c r="F284">
        <f t="shared" si="21"/>
        <v>2</v>
      </c>
      <c r="G284">
        <f t="shared" si="22"/>
        <v>3</v>
      </c>
      <c r="H284" s="3" t="str">
        <f t="shared" si="23"/>
        <v>523</v>
      </c>
      <c r="I284" t="str">
        <f t="shared" si="24"/>
        <v>Others</v>
      </c>
    </row>
    <row r="285" spans="1:9" x14ac:dyDescent="0.25">
      <c r="A285" s="9" t="s">
        <v>654</v>
      </c>
      <c r="B285" s="9">
        <v>731</v>
      </c>
      <c r="C285" s="9">
        <v>9</v>
      </c>
      <c r="D285" s="10">
        <v>149.88</v>
      </c>
      <c r="E285">
        <f t="shared" si="20"/>
        <v>2</v>
      </c>
      <c r="F285">
        <f t="shared" si="21"/>
        <v>4</v>
      </c>
      <c r="G285">
        <f t="shared" si="22"/>
        <v>2</v>
      </c>
      <c r="H285" s="3" t="str">
        <f t="shared" si="23"/>
        <v>242</v>
      </c>
      <c r="I285" t="str">
        <f t="shared" si="24"/>
        <v>About To Sleep</v>
      </c>
    </row>
    <row r="286" spans="1:9" x14ac:dyDescent="0.25">
      <c r="A286" s="9" t="s">
        <v>656</v>
      </c>
      <c r="B286" s="9">
        <v>815</v>
      </c>
      <c r="C286" s="9">
        <v>5</v>
      </c>
      <c r="D286" s="10">
        <v>347.09</v>
      </c>
      <c r="E286">
        <f t="shared" si="20"/>
        <v>1</v>
      </c>
      <c r="F286">
        <f t="shared" si="21"/>
        <v>2</v>
      </c>
      <c r="G286">
        <f t="shared" si="22"/>
        <v>4</v>
      </c>
      <c r="H286" s="3" t="str">
        <f t="shared" si="23"/>
        <v>124</v>
      </c>
      <c r="I286" t="str">
        <f t="shared" si="24"/>
        <v>Big Spender</v>
      </c>
    </row>
    <row r="287" spans="1:9" x14ac:dyDescent="0.25">
      <c r="A287" s="9" t="s">
        <v>658</v>
      </c>
      <c r="B287" s="9">
        <v>591</v>
      </c>
      <c r="C287" s="9">
        <v>9</v>
      </c>
      <c r="D287" s="10">
        <v>345.49</v>
      </c>
      <c r="E287">
        <f t="shared" si="20"/>
        <v>4</v>
      </c>
      <c r="F287">
        <f t="shared" si="21"/>
        <v>4</v>
      </c>
      <c r="G287">
        <f t="shared" si="22"/>
        <v>4</v>
      </c>
      <c r="H287" s="3" t="str">
        <f t="shared" si="23"/>
        <v>444</v>
      </c>
      <c r="I287" t="str">
        <f t="shared" si="24"/>
        <v>Champion</v>
      </c>
    </row>
    <row r="288" spans="1:9" x14ac:dyDescent="0.25">
      <c r="A288" s="9" t="s">
        <v>660</v>
      </c>
      <c r="B288" s="9">
        <v>660</v>
      </c>
      <c r="C288" s="9">
        <v>2</v>
      </c>
      <c r="D288" s="10">
        <v>297.24</v>
      </c>
      <c r="E288">
        <f t="shared" si="20"/>
        <v>3</v>
      </c>
      <c r="F288">
        <f t="shared" si="21"/>
        <v>1</v>
      </c>
      <c r="G288">
        <f t="shared" si="22"/>
        <v>3</v>
      </c>
      <c r="H288" s="3" t="str">
        <f t="shared" si="23"/>
        <v>313</v>
      </c>
      <c r="I288" t="str">
        <f t="shared" si="24"/>
        <v>Others</v>
      </c>
    </row>
    <row r="289" spans="1:9" x14ac:dyDescent="0.25">
      <c r="A289" s="9" t="s">
        <v>662</v>
      </c>
      <c r="B289" s="9">
        <v>778</v>
      </c>
      <c r="C289" s="9">
        <v>12</v>
      </c>
      <c r="D289" s="10">
        <v>494.34</v>
      </c>
      <c r="E289">
        <f t="shared" si="20"/>
        <v>1</v>
      </c>
      <c r="F289">
        <f t="shared" si="21"/>
        <v>5</v>
      </c>
      <c r="G289">
        <f t="shared" si="22"/>
        <v>5</v>
      </c>
      <c r="H289" s="3" t="str">
        <f t="shared" si="23"/>
        <v>155</v>
      </c>
      <c r="I289" t="str">
        <f t="shared" si="24"/>
        <v>Loyal Customer</v>
      </c>
    </row>
    <row r="290" spans="1:9" x14ac:dyDescent="0.25">
      <c r="A290" s="9" t="s">
        <v>664</v>
      </c>
      <c r="B290" s="9">
        <v>710</v>
      </c>
      <c r="C290" s="9">
        <v>5</v>
      </c>
      <c r="D290" s="10">
        <v>443.52</v>
      </c>
      <c r="E290">
        <f t="shared" si="20"/>
        <v>2</v>
      </c>
      <c r="F290">
        <f t="shared" si="21"/>
        <v>2</v>
      </c>
      <c r="G290">
        <f t="shared" si="22"/>
        <v>5</v>
      </c>
      <c r="H290" s="3" t="str">
        <f t="shared" si="23"/>
        <v>225</v>
      </c>
      <c r="I290" t="str">
        <f t="shared" si="24"/>
        <v>Big Spender</v>
      </c>
    </row>
    <row r="291" spans="1:9" x14ac:dyDescent="0.25">
      <c r="A291" s="9" t="s">
        <v>666</v>
      </c>
      <c r="B291" s="9">
        <v>608</v>
      </c>
      <c r="C291" s="9">
        <v>7</v>
      </c>
      <c r="D291" s="10">
        <v>457.18</v>
      </c>
      <c r="E291">
        <f t="shared" si="20"/>
        <v>4</v>
      </c>
      <c r="F291">
        <f t="shared" si="21"/>
        <v>3</v>
      </c>
      <c r="G291">
        <f t="shared" si="22"/>
        <v>5</v>
      </c>
      <c r="H291" s="3" t="str">
        <f t="shared" si="23"/>
        <v>435</v>
      </c>
      <c r="I291" t="str">
        <f t="shared" si="24"/>
        <v>Potential Loyalist</v>
      </c>
    </row>
    <row r="292" spans="1:9" x14ac:dyDescent="0.25">
      <c r="A292" s="9" t="s">
        <v>668</v>
      </c>
      <c r="B292" s="9">
        <v>525</v>
      </c>
      <c r="C292" s="9">
        <v>4</v>
      </c>
      <c r="D292" s="10">
        <v>407.88</v>
      </c>
      <c r="E292">
        <f t="shared" si="20"/>
        <v>5</v>
      </c>
      <c r="F292">
        <f t="shared" si="21"/>
        <v>2</v>
      </c>
      <c r="G292">
        <f t="shared" si="22"/>
        <v>4</v>
      </c>
      <c r="H292" s="3" t="str">
        <f t="shared" si="23"/>
        <v>524</v>
      </c>
      <c r="I292" t="str">
        <f t="shared" si="24"/>
        <v>Big Spender</v>
      </c>
    </row>
    <row r="293" spans="1:9" x14ac:dyDescent="0.25">
      <c r="A293" s="9" t="s">
        <v>670</v>
      </c>
      <c r="B293" s="9">
        <v>695</v>
      </c>
      <c r="C293" s="9">
        <v>8</v>
      </c>
      <c r="D293" s="10">
        <v>448.68</v>
      </c>
      <c r="E293">
        <f t="shared" si="20"/>
        <v>2</v>
      </c>
      <c r="F293">
        <f t="shared" si="21"/>
        <v>4</v>
      </c>
      <c r="G293">
        <f t="shared" si="22"/>
        <v>5</v>
      </c>
      <c r="H293" s="3" t="str">
        <f t="shared" si="23"/>
        <v>245</v>
      </c>
      <c r="I293" t="str">
        <f t="shared" si="24"/>
        <v>Loyal Customer</v>
      </c>
    </row>
    <row r="294" spans="1:9" x14ac:dyDescent="0.25">
      <c r="A294" s="9" t="s">
        <v>672</v>
      </c>
      <c r="B294" s="9">
        <v>483</v>
      </c>
      <c r="C294" s="9">
        <v>7</v>
      </c>
      <c r="D294" s="10">
        <v>255.96</v>
      </c>
      <c r="E294">
        <f t="shared" si="20"/>
        <v>5</v>
      </c>
      <c r="F294">
        <f t="shared" si="21"/>
        <v>3</v>
      </c>
      <c r="G294">
        <f t="shared" si="22"/>
        <v>3</v>
      </c>
      <c r="H294" s="3" t="str">
        <f t="shared" si="23"/>
        <v>533</v>
      </c>
      <c r="I294" t="str">
        <f t="shared" si="24"/>
        <v>Potential Loyalist</v>
      </c>
    </row>
    <row r="295" spans="1:9" x14ac:dyDescent="0.25">
      <c r="A295" s="9" t="s">
        <v>674</v>
      </c>
      <c r="B295" s="9">
        <v>652</v>
      </c>
      <c r="C295" s="9">
        <v>7</v>
      </c>
      <c r="D295" s="10">
        <v>146.07</v>
      </c>
      <c r="E295">
        <f t="shared" si="20"/>
        <v>3</v>
      </c>
      <c r="F295">
        <f t="shared" si="21"/>
        <v>3</v>
      </c>
      <c r="G295">
        <f t="shared" si="22"/>
        <v>2</v>
      </c>
      <c r="H295" s="3" t="str">
        <f t="shared" si="23"/>
        <v>332</v>
      </c>
      <c r="I295" t="str">
        <f t="shared" si="24"/>
        <v>Others</v>
      </c>
    </row>
    <row r="296" spans="1:9" x14ac:dyDescent="0.25">
      <c r="A296" s="9" t="s">
        <v>676</v>
      </c>
      <c r="B296" s="9">
        <v>476</v>
      </c>
      <c r="C296" s="9">
        <v>4</v>
      </c>
      <c r="D296" s="10">
        <v>311.89999999999998</v>
      </c>
      <c r="E296">
        <f t="shared" si="20"/>
        <v>5</v>
      </c>
      <c r="F296">
        <f t="shared" si="21"/>
        <v>2</v>
      </c>
      <c r="G296">
        <f t="shared" si="22"/>
        <v>3</v>
      </c>
      <c r="H296" s="3" t="str">
        <f t="shared" si="23"/>
        <v>523</v>
      </c>
      <c r="I296" t="str">
        <f t="shared" si="24"/>
        <v>Others</v>
      </c>
    </row>
    <row r="297" spans="1:9" x14ac:dyDescent="0.25">
      <c r="A297" s="9" t="s">
        <v>678</v>
      </c>
      <c r="B297" s="9">
        <v>770</v>
      </c>
      <c r="C297" s="9">
        <v>4</v>
      </c>
      <c r="D297" s="10">
        <v>301.60000000000002</v>
      </c>
      <c r="E297">
        <f t="shared" si="20"/>
        <v>1</v>
      </c>
      <c r="F297">
        <f t="shared" si="21"/>
        <v>2</v>
      </c>
      <c r="G297">
        <f t="shared" si="22"/>
        <v>3</v>
      </c>
      <c r="H297" s="3" t="str">
        <f t="shared" si="23"/>
        <v>123</v>
      </c>
      <c r="I297" t="str">
        <f t="shared" si="24"/>
        <v>At Risk</v>
      </c>
    </row>
    <row r="298" spans="1:9" x14ac:dyDescent="0.25">
      <c r="A298" s="9" t="s">
        <v>680</v>
      </c>
      <c r="B298" s="9">
        <v>652</v>
      </c>
      <c r="C298" s="9">
        <v>3</v>
      </c>
      <c r="D298" s="10">
        <v>297.45</v>
      </c>
      <c r="E298">
        <f t="shared" si="20"/>
        <v>3</v>
      </c>
      <c r="F298">
        <f t="shared" si="21"/>
        <v>1</v>
      </c>
      <c r="G298">
        <f t="shared" si="22"/>
        <v>3</v>
      </c>
      <c r="H298" s="3" t="str">
        <f t="shared" si="23"/>
        <v>313</v>
      </c>
      <c r="I298" t="str">
        <f t="shared" si="24"/>
        <v>Others</v>
      </c>
    </row>
    <row r="299" spans="1:9" x14ac:dyDescent="0.25">
      <c r="A299" s="9" t="s">
        <v>682</v>
      </c>
      <c r="B299" s="9">
        <v>635</v>
      </c>
      <c r="C299" s="9">
        <v>3</v>
      </c>
      <c r="D299" s="10">
        <v>157.26</v>
      </c>
      <c r="E299">
        <f t="shared" si="20"/>
        <v>3</v>
      </c>
      <c r="F299">
        <f t="shared" si="21"/>
        <v>1</v>
      </c>
      <c r="G299">
        <f t="shared" si="22"/>
        <v>2</v>
      </c>
      <c r="H299" s="3" t="str">
        <f t="shared" si="23"/>
        <v>312</v>
      </c>
      <c r="I299" t="str">
        <f t="shared" si="24"/>
        <v>Lost Customer</v>
      </c>
    </row>
    <row r="300" spans="1:9" x14ac:dyDescent="0.25">
      <c r="A300" s="9" t="s">
        <v>684</v>
      </c>
      <c r="B300" s="9">
        <v>624</v>
      </c>
      <c r="C300" s="9">
        <v>3</v>
      </c>
      <c r="D300" s="10">
        <v>239.46</v>
      </c>
      <c r="E300">
        <f t="shared" si="20"/>
        <v>4</v>
      </c>
      <c r="F300">
        <f t="shared" si="21"/>
        <v>1</v>
      </c>
      <c r="G300">
        <f t="shared" si="22"/>
        <v>3</v>
      </c>
      <c r="H300" s="3" t="str">
        <f t="shared" si="23"/>
        <v>413</v>
      </c>
      <c r="I300" t="str">
        <f t="shared" si="24"/>
        <v>Others</v>
      </c>
    </row>
    <row r="301" spans="1:9" x14ac:dyDescent="0.25">
      <c r="A301" s="9" t="s">
        <v>686</v>
      </c>
      <c r="B301" s="9">
        <v>839</v>
      </c>
      <c r="C301" s="9">
        <v>10</v>
      </c>
      <c r="D301" s="10">
        <v>240.82</v>
      </c>
      <c r="E301">
        <f t="shared" si="20"/>
        <v>1</v>
      </c>
      <c r="F301">
        <f t="shared" si="21"/>
        <v>5</v>
      </c>
      <c r="G301">
        <f t="shared" si="22"/>
        <v>3</v>
      </c>
      <c r="H301" s="3" t="str">
        <f t="shared" si="23"/>
        <v>153</v>
      </c>
      <c r="I301" t="str">
        <f t="shared" si="24"/>
        <v>About To Sleep</v>
      </c>
    </row>
    <row r="302" spans="1:9" x14ac:dyDescent="0.25">
      <c r="A302" s="9" t="s">
        <v>688</v>
      </c>
      <c r="B302" s="9">
        <v>741</v>
      </c>
      <c r="C302" s="9">
        <v>6</v>
      </c>
      <c r="D302" s="10">
        <v>302.07</v>
      </c>
      <c r="E302">
        <f t="shared" si="20"/>
        <v>2</v>
      </c>
      <c r="F302">
        <f t="shared" si="21"/>
        <v>3</v>
      </c>
      <c r="G302">
        <f t="shared" si="22"/>
        <v>3</v>
      </c>
      <c r="H302" s="3" t="str">
        <f t="shared" si="23"/>
        <v>233</v>
      </c>
      <c r="I302" t="str">
        <f t="shared" si="24"/>
        <v>About To Sleep</v>
      </c>
    </row>
    <row r="303" spans="1:9" x14ac:dyDescent="0.25">
      <c r="A303" s="9" t="s">
        <v>690</v>
      </c>
      <c r="B303" s="9">
        <v>552</v>
      </c>
      <c r="C303" s="9">
        <v>2</v>
      </c>
      <c r="D303" s="10">
        <v>367.99</v>
      </c>
      <c r="E303">
        <f t="shared" si="20"/>
        <v>5</v>
      </c>
      <c r="F303">
        <f t="shared" si="21"/>
        <v>1</v>
      </c>
      <c r="G303">
        <f t="shared" si="22"/>
        <v>4</v>
      </c>
      <c r="H303" s="3" t="str">
        <f t="shared" si="23"/>
        <v>514</v>
      </c>
      <c r="I303" t="str">
        <f t="shared" si="24"/>
        <v>Big Spender</v>
      </c>
    </row>
    <row r="304" spans="1:9" x14ac:dyDescent="0.25">
      <c r="A304" s="9" t="s">
        <v>692</v>
      </c>
      <c r="B304" s="9">
        <v>818</v>
      </c>
      <c r="C304" s="9">
        <v>7</v>
      </c>
      <c r="D304" s="10">
        <v>359.75</v>
      </c>
      <c r="E304">
        <f t="shared" si="20"/>
        <v>1</v>
      </c>
      <c r="F304">
        <f t="shared" si="21"/>
        <v>3</v>
      </c>
      <c r="G304">
        <f t="shared" si="22"/>
        <v>4</v>
      </c>
      <c r="H304" s="3" t="str">
        <f t="shared" si="23"/>
        <v>134</v>
      </c>
      <c r="I304" t="str">
        <f t="shared" si="24"/>
        <v>Big Spender</v>
      </c>
    </row>
    <row r="305" spans="1:9" x14ac:dyDescent="0.25">
      <c r="A305" s="9" t="s">
        <v>694</v>
      </c>
      <c r="B305" s="9">
        <v>505</v>
      </c>
      <c r="C305" s="9">
        <v>2</v>
      </c>
      <c r="D305" s="10">
        <v>204.44</v>
      </c>
      <c r="E305">
        <f t="shared" si="20"/>
        <v>5</v>
      </c>
      <c r="F305">
        <f t="shared" si="21"/>
        <v>1</v>
      </c>
      <c r="G305">
        <f t="shared" si="22"/>
        <v>2</v>
      </c>
      <c r="H305" s="3" t="str">
        <f t="shared" si="23"/>
        <v>512</v>
      </c>
      <c r="I305" t="str">
        <f t="shared" si="24"/>
        <v>Lost Customer</v>
      </c>
    </row>
    <row r="306" spans="1:9" x14ac:dyDescent="0.25">
      <c r="A306" s="9" t="s">
        <v>696</v>
      </c>
      <c r="B306" s="9">
        <v>791</v>
      </c>
      <c r="C306" s="9">
        <v>7</v>
      </c>
      <c r="D306" s="10">
        <v>228.93</v>
      </c>
      <c r="E306">
        <f t="shared" si="20"/>
        <v>1</v>
      </c>
      <c r="F306">
        <f t="shared" si="21"/>
        <v>3</v>
      </c>
      <c r="G306">
        <f t="shared" si="22"/>
        <v>3</v>
      </c>
      <c r="H306" s="3" t="str">
        <f t="shared" si="23"/>
        <v>133</v>
      </c>
      <c r="I306" t="str">
        <f t="shared" si="24"/>
        <v>About To Sleep</v>
      </c>
    </row>
    <row r="307" spans="1:9" x14ac:dyDescent="0.25">
      <c r="A307" s="9" t="s">
        <v>698</v>
      </c>
      <c r="B307" s="9">
        <v>609</v>
      </c>
      <c r="C307" s="9">
        <v>11</v>
      </c>
      <c r="D307" s="10">
        <v>355.31</v>
      </c>
      <c r="E307">
        <f t="shared" si="20"/>
        <v>4</v>
      </c>
      <c r="F307">
        <f t="shared" si="21"/>
        <v>5</v>
      </c>
      <c r="G307">
        <f t="shared" si="22"/>
        <v>4</v>
      </c>
      <c r="H307" s="3" t="str">
        <f t="shared" si="23"/>
        <v>454</v>
      </c>
      <c r="I307" t="str">
        <f t="shared" si="24"/>
        <v>Champion</v>
      </c>
    </row>
    <row r="308" spans="1:9" x14ac:dyDescent="0.25">
      <c r="A308" s="9" t="s">
        <v>699</v>
      </c>
      <c r="B308" s="9">
        <v>518</v>
      </c>
      <c r="C308" s="9">
        <v>12</v>
      </c>
      <c r="D308" s="10">
        <v>334.67</v>
      </c>
      <c r="E308">
        <f t="shared" si="20"/>
        <v>5</v>
      </c>
      <c r="F308">
        <f t="shared" si="21"/>
        <v>5</v>
      </c>
      <c r="G308">
        <f t="shared" si="22"/>
        <v>4</v>
      </c>
      <c r="H308" s="3" t="str">
        <f t="shared" si="23"/>
        <v>554</v>
      </c>
      <c r="I308" t="str">
        <f t="shared" si="24"/>
        <v>Champion</v>
      </c>
    </row>
    <row r="309" spans="1:9" x14ac:dyDescent="0.25">
      <c r="A309" s="9" t="s">
        <v>701</v>
      </c>
      <c r="B309" s="9">
        <v>685</v>
      </c>
      <c r="C309" s="9">
        <v>5</v>
      </c>
      <c r="D309" s="10">
        <v>182.72</v>
      </c>
      <c r="E309">
        <f t="shared" si="20"/>
        <v>3</v>
      </c>
      <c r="F309">
        <f t="shared" si="21"/>
        <v>2</v>
      </c>
      <c r="G309">
        <f t="shared" si="22"/>
        <v>2</v>
      </c>
      <c r="H309" s="3" t="str">
        <f t="shared" si="23"/>
        <v>322</v>
      </c>
      <c r="I309" t="str">
        <f t="shared" si="24"/>
        <v>Lost Customer</v>
      </c>
    </row>
    <row r="310" spans="1:9" x14ac:dyDescent="0.25">
      <c r="A310" s="9" t="s">
        <v>703</v>
      </c>
      <c r="B310" s="9">
        <v>516</v>
      </c>
      <c r="C310" s="9">
        <v>11</v>
      </c>
      <c r="D310" s="10">
        <v>260.22000000000003</v>
      </c>
      <c r="E310">
        <f t="shared" si="20"/>
        <v>5</v>
      </c>
      <c r="F310">
        <f t="shared" si="21"/>
        <v>5</v>
      </c>
      <c r="G310">
        <f t="shared" si="22"/>
        <v>3</v>
      </c>
      <c r="H310" s="3" t="str">
        <f t="shared" si="23"/>
        <v>553</v>
      </c>
      <c r="I310" t="str">
        <f t="shared" si="24"/>
        <v>Potential Loyalist</v>
      </c>
    </row>
    <row r="311" spans="1:9" x14ac:dyDescent="0.25">
      <c r="A311" s="9" t="s">
        <v>705</v>
      </c>
      <c r="B311" s="9">
        <v>729</v>
      </c>
      <c r="C311" s="9">
        <v>8</v>
      </c>
      <c r="D311" s="10">
        <v>454.93</v>
      </c>
      <c r="E311">
        <f t="shared" si="20"/>
        <v>2</v>
      </c>
      <c r="F311">
        <f t="shared" si="21"/>
        <v>4</v>
      </c>
      <c r="G311">
        <f t="shared" si="22"/>
        <v>5</v>
      </c>
      <c r="H311" s="3" t="str">
        <f t="shared" si="23"/>
        <v>245</v>
      </c>
      <c r="I311" t="str">
        <f t="shared" si="24"/>
        <v>Loyal Customer</v>
      </c>
    </row>
    <row r="312" spans="1:9" x14ac:dyDescent="0.25">
      <c r="A312" s="9" t="s">
        <v>707</v>
      </c>
      <c r="B312" s="9">
        <v>547</v>
      </c>
      <c r="C312" s="9">
        <v>11</v>
      </c>
      <c r="D312" s="10">
        <v>325.42</v>
      </c>
      <c r="E312">
        <f t="shared" si="20"/>
        <v>5</v>
      </c>
      <c r="F312">
        <f t="shared" si="21"/>
        <v>5</v>
      </c>
      <c r="G312">
        <f t="shared" si="22"/>
        <v>4</v>
      </c>
      <c r="H312" s="3" t="str">
        <f t="shared" si="23"/>
        <v>554</v>
      </c>
      <c r="I312" t="str">
        <f t="shared" si="24"/>
        <v>Champion</v>
      </c>
    </row>
    <row r="313" spans="1:9" x14ac:dyDescent="0.25">
      <c r="A313" s="9" t="s">
        <v>709</v>
      </c>
      <c r="B313" s="9">
        <v>801</v>
      </c>
      <c r="C313" s="9">
        <v>2</v>
      </c>
      <c r="D313" s="10">
        <v>351.36</v>
      </c>
      <c r="E313">
        <f t="shared" si="20"/>
        <v>1</v>
      </c>
      <c r="F313">
        <f t="shared" si="21"/>
        <v>1</v>
      </c>
      <c r="G313">
        <f t="shared" si="22"/>
        <v>4</v>
      </c>
      <c r="H313" s="3" t="str">
        <f t="shared" si="23"/>
        <v>114</v>
      </c>
      <c r="I313" t="str">
        <f t="shared" si="24"/>
        <v>Big Spender</v>
      </c>
    </row>
    <row r="314" spans="1:9" x14ac:dyDescent="0.25">
      <c r="A314" s="9" t="s">
        <v>711</v>
      </c>
      <c r="B314" s="9">
        <v>501</v>
      </c>
      <c r="C314" s="9">
        <v>8</v>
      </c>
      <c r="D314" s="10">
        <v>333.63</v>
      </c>
      <c r="E314">
        <f t="shared" si="20"/>
        <v>5</v>
      </c>
      <c r="F314">
        <f t="shared" si="21"/>
        <v>4</v>
      </c>
      <c r="G314">
        <f t="shared" si="22"/>
        <v>4</v>
      </c>
      <c r="H314" s="3" t="str">
        <f t="shared" si="23"/>
        <v>544</v>
      </c>
      <c r="I314" t="str">
        <f t="shared" si="24"/>
        <v>Champion</v>
      </c>
    </row>
    <row r="315" spans="1:9" x14ac:dyDescent="0.25">
      <c r="A315" s="9" t="s">
        <v>713</v>
      </c>
      <c r="B315" s="9">
        <v>661</v>
      </c>
      <c r="C315" s="9">
        <v>4</v>
      </c>
      <c r="D315" s="10">
        <v>469.9</v>
      </c>
      <c r="E315">
        <f t="shared" si="20"/>
        <v>3</v>
      </c>
      <c r="F315">
        <f t="shared" si="21"/>
        <v>2</v>
      </c>
      <c r="G315">
        <f t="shared" si="22"/>
        <v>5</v>
      </c>
      <c r="H315" s="3" t="str">
        <f t="shared" si="23"/>
        <v>325</v>
      </c>
      <c r="I315" t="str">
        <f t="shared" si="24"/>
        <v>Big Spender</v>
      </c>
    </row>
    <row r="316" spans="1:9" x14ac:dyDescent="0.25">
      <c r="A316" s="9" t="s">
        <v>715</v>
      </c>
      <c r="B316" s="9">
        <v>622</v>
      </c>
      <c r="C316" s="9">
        <v>4</v>
      </c>
      <c r="D316" s="10">
        <v>207.52</v>
      </c>
      <c r="E316">
        <f t="shared" si="20"/>
        <v>4</v>
      </c>
      <c r="F316">
        <f t="shared" si="21"/>
        <v>2</v>
      </c>
      <c r="G316">
        <f t="shared" si="22"/>
        <v>2</v>
      </c>
      <c r="H316" s="3" t="str">
        <f t="shared" si="23"/>
        <v>422</v>
      </c>
      <c r="I316" t="str">
        <f t="shared" si="24"/>
        <v>Lost Customer</v>
      </c>
    </row>
    <row r="317" spans="1:9" x14ac:dyDescent="0.25">
      <c r="A317" s="9" t="s">
        <v>717</v>
      </c>
      <c r="B317" s="9">
        <v>514</v>
      </c>
      <c r="C317" s="9">
        <v>7</v>
      </c>
      <c r="D317" s="10">
        <v>125.89</v>
      </c>
      <c r="E317">
        <f t="shared" si="20"/>
        <v>5</v>
      </c>
      <c r="F317">
        <f t="shared" si="21"/>
        <v>3</v>
      </c>
      <c r="G317">
        <f t="shared" si="22"/>
        <v>1</v>
      </c>
      <c r="H317" s="3" t="str">
        <f t="shared" si="23"/>
        <v>531</v>
      </c>
      <c r="I317" t="str">
        <f t="shared" si="24"/>
        <v>Potential Loyalist</v>
      </c>
    </row>
    <row r="318" spans="1:9" x14ac:dyDescent="0.25">
      <c r="A318" s="9" t="s">
        <v>719</v>
      </c>
      <c r="B318" s="9">
        <v>624</v>
      </c>
      <c r="C318" s="9">
        <v>9</v>
      </c>
      <c r="D318" s="10">
        <v>170.77</v>
      </c>
      <c r="E318">
        <f t="shared" si="20"/>
        <v>4</v>
      </c>
      <c r="F318">
        <f t="shared" si="21"/>
        <v>4</v>
      </c>
      <c r="G318">
        <f t="shared" si="22"/>
        <v>2</v>
      </c>
      <c r="H318" s="3" t="str">
        <f t="shared" si="23"/>
        <v>442</v>
      </c>
      <c r="I318" t="str">
        <f t="shared" si="24"/>
        <v>Potential Loyalist</v>
      </c>
    </row>
    <row r="319" spans="1:9" x14ac:dyDescent="0.25">
      <c r="A319" s="9" t="s">
        <v>721</v>
      </c>
      <c r="B319" s="9">
        <v>829</v>
      </c>
      <c r="C319" s="9">
        <v>2</v>
      </c>
      <c r="D319" s="10">
        <v>63.91</v>
      </c>
      <c r="E319">
        <f t="shared" si="20"/>
        <v>1</v>
      </c>
      <c r="F319">
        <f t="shared" si="21"/>
        <v>1</v>
      </c>
      <c r="G319">
        <f t="shared" si="22"/>
        <v>1</v>
      </c>
      <c r="H319" s="3" t="str">
        <f t="shared" si="23"/>
        <v>111</v>
      </c>
      <c r="I319" t="str">
        <f t="shared" si="24"/>
        <v>At Risk</v>
      </c>
    </row>
    <row r="320" spans="1:9" x14ac:dyDescent="0.25">
      <c r="A320" s="9" t="s">
        <v>723</v>
      </c>
      <c r="B320" s="9">
        <v>517</v>
      </c>
      <c r="C320" s="9">
        <v>7</v>
      </c>
      <c r="D320" s="10">
        <v>340.55</v>
      </c>
      <c r="E320">
        <f t="shared" si="20"/>
        <v>5</v>
      </c>
      <c r="F320">
        <f t="shared" si="21"/>
        <v>3</v>
      </c>
      <c r="G320">
        <f t="shared" si="22"/>
        <v>4</v>
      </c>
      <c r="H320" s="3" t="str">
        <f t="shared" si="23"/>
        <v>534</v>
      </c>
      <c r="I320" t="str">
        <f t="shared" si="24"/>
        <v>Potential Loyalist</v>
      </c>
    </row>
    <row r="321" spans="1:9" x14ac:dyDescent="0.25">
      <c r="A321" s="9" t="s">
        <v>725</v>
      </c>
      <c r="B321" s="9">
        <v>593</v>
      </c>
      <c r="C321" s="9">
        <v>6</v>
      </c>
      <c r="D321" s="10">
        <v>378.14</v>
      </c>
      <c r="E321">
        <f t="shared" si="20"/>
        <v>4</v>
      </c>
      <c r="F321">
        <f t="shared" si="21"/>
        <v>3</v>
      </c>
      <c r="G321">
        <f t="shared" si="22"/>
        <v>4</v>
      </c>
      <c r="H321" s="3" t="str">
        <f t="shared" si="23"/>
        <v>434</v>
      </c>
      <c r="I321" t="str">
        <f t="shared" si="24"/>
        <v>Potential Loyalist</v>
      </c>
    </row>
    <row r="322" spans="1:9" x14ac:dyDescent="0.25">
      <c r="A322" s="9" t="s">
        <v>727</v>
      </c>
      <c r="B322" s="9">
        <v>625</v>
      </c>
      <c r="C322" s="9">
        <v>9</v>
      </c>
      <c r="D322" s="10">
        <v>235.84</v>
      </c>
      <c r="E322">
        <f t="shared" si="20"/>
        <v>4</v>
      </c>
      <c r="F322">
        <f t="shared" si="21"/>
        <v>4</v>
      </c>
      <c r="G322">
        <f t="shared" si="22"/>
        <v>3</v>
      </c>
      <c r="H322" s="3" t="str">
        <f t="shared" si="23"/>
        <v>443</v>
      </c>
      <c r="I322" t="str">
        <f t="shared" si="24"/>
        <v>Potential Loyalist</v>
      </c>
    </row>
    <row r="323" spans="1:9" x14ac:dyDescent="0.25">
      <c r="A323" s="9" t="s">
        <v>728</v>
      </c>
      <c r="B323" s="9">
        <v>742</v>
      </c>
      <c r="C323" s="9">
        <v>5</v>
      </c>
      <c r="D323" s="10">
        <v>164.44</v>
      </c>
      <c r="E323">
        <f t="shared" ref="E323:E386" si="25">IF(B323 &lt;= _xlfn.PERCENTILE.INC($B$2:$B$1001, 0.2), 5,
 IF(B323 &lt;= _xlfn.PERCENTILE.INC($B$2:$B$1001, 0.4), 4,
 IF(B323 &lt;= _xlfn.PERCENTILE.INC($B$2:$B$1001, 0.6), 3,
 IF(B323 &lt;= _xlfn.PERCENTILE.INC($B$2:$B$1001, 0.8), 2, 1))))</f>
        <v>2</v>
      </c>
      <c r="F323">
        <f t="shared" ref="F323:F386" si="26">IF(C323 &gt;= _xlfn.PERCENTILE.INC($C$2:$C$1001, 0.8), 5,
 IF(C323 &gt;= _xlfn.PERCENTILE.INC($C$2:$C$1001, 0.6), 4,
 IF(C323 &gt;= _xlfn.PERCENTILE.INC($C$2:$C$1001, 0.4), 3,
 IF(C323 &gt;= _xlfn.PERCENTILE.INC($C$2:$C$1001, 0.2), 2, 1))))</f>
        <v>2</v>
      </c>
      <c r="G323">
        <f t="shared" ref="G323:G386" si="27">IF(D323 &gt;= _xlfn.PERCENTILE.INC($D$2:$D$1001, 0.8), 5,
 IF(D323 &gt;= _xlfn.PERCENTILE.INC($D$2:$D$1001, 0.6), 4,
 IF(D323 &gt;= _xlfn.PERCENTILE.INC($D$2:$D$1001, 0.4), 3,
 IF(D323 &gt;= _xlfn.PERCENTILE.INC($D$2:$D$1001, 0.2), 2, 1))))</f>
        <v>2</v>
      </c>
      <c r="H323" s="3" t="str">
        <f t="shared" ref="H323:H386" si="28">TEXT(E323,"0") &amp; TEXT(F323,"0") &amp; TEXT(G323,"0")</f>
        <v>222</v>
      </c>
      <c r="I323" t="str">
        <f t="shared" ref="I323:I386" si="29">IF(AND(E323&gt;=4, F323&gt;=4, G323&gt;=4), "Champion",
 IF(AND(F323&gt;=4, G323&gt;=4), "Loyal Customer",
 IF(AND(E323&gt;=4, F323&gt;=3), "Potential Loyalist",
 IF(G323&gt;=4, "Big Spender",
 IF(AND(E323&lt;=2, F323&lt;=2), "At Risk",
 IF(E323&lt;=2, "About To Sleep",
 IF(AND(F323&lt;=2, G323&lt;=2), "Lost Customer", "Others")))))))</f>
        <v>At Risk</v>
      </c>
    </row>
    <row r="324" spans="1:9" x14ac:dyDescent="0.25">
      <c r="A324" s="9" t="s">
        <v>730</v>
      </c>
      <c r="B324" s="9">
        <v>729</v>
      </c>
      <c r="C324" s="9">
        <v>3</v>
      </c>
      <c r="D324" s="10">
        <v>455.81</v>
      </c>
      <c r="E324">
        <f t="shared" si="25"/>
        <v>2</v>
      </c>
      <c r="F324">
        <f t="shared" si="26"/>
        <v>1</v>
      </c>
      <c r="G324">
        <f t="shared" si="27"/>
        <v>5</v>
      </c>
      <c r="H324" s="3" t="str">
        <f t="shared" si="28"/>
        <v>215</v>
      </c>
      <c r="I324" t="str">
        <f t="shared" si="29"/>
        <v>Big Spender</v>
      </c>
    </row>
    <row r="325" spans="1:9" x14ac:dyDescent="0.25">
      <c r="A325" s="9" t="s">
        <v>732</v>
      </c>
      <c r="B325" s="9">
        <v>672</v>
      </c>
      <c r="C325" s="9">
        <v>7</v>
      </c>
      <c r="D325" s="10">
        <v>298.32</v>
      </c>
      <c r="E325">
        <f t="shared" si="25"/>
        <v>3</v>
      </c>
      <c r="F325">
        <f t="shared" si="26"/>
        <v>3</v>
      </c>
      <c r="G325">
        <f t="shared" si="27"/>
        <v>3</v>
      </c>
      <c r="H325" s="3" t="str">
        <f t="shared" si="28"/>
        <v>333</v>
      </c>
      <c r="I325" t="str">
        <f t="shared" si="29"/>
        <v>Others</v>
      </c>
    </row>
    <row r="326" spans="1:9" x14ac:dyDescent="0.25">
      <c r="A326" s="9" t="s">
        <v>734</v>
      </c>
      <c r="B326" s="9">
        <v>762</v>
      </c>
      <c r="C326" s="9">
        <v>7</v>
      </c>
      <c r="D326" s="10">
        <v>351.71</v>
      </c>
      <c r="E326">
        <f t="shared" si="25"/>
        <v>1</v>
      </c>
      <c r="F326">
        <f t="shared" si="26"/>
        <v>3</v>
      </c>
      <c r="G326">
        <f t="shared" si="27"/>
        <v>4</v>
      </c>
      <c r="H326" s="3" t="str">
        <f t="shared" si="28"/>
        <v>134</v>
      </c>
      <c r="I326" t="str">
        <f t="shared" si="29"/>
        <v>Big Spender</v>
      </c>
    </row>
    <row r="327" spans="1:9" x14ac:dyDescent="0.25">
      <c r="A327" s="9" t="s">
        <v>736</v>
      </c>
      <c r="B327" s="9">
        <v>615</v>
      </c>
      <c r="C327" s="9">
        <v>11</v>
      </c>
      <c r="D327" s="10">
        <v>393.48</v>
      </c>
      <c r="E327">
        <f t="shared" si="25"/>
        <v>4</v>
      </c>
      <c r="F327">
        <f t="shared" si="26"/>
        <v>5</v>
      </c>
      <c r="G327">
        <f t="shared" si="27"/>
        <v>4</v>
      </c>
      <c r="H327" s="3" t="str">
        <f t="shared" si="28"/>
        <v>454</v>
      </c>
      <c r="I327" t="str">
        <f t="shared" si="29"/>
        <v>Champion</v>
      </c>
    </row>
    <row r="328" spans="1:9" x14ac:dyDescent="0.25">
      <c r="A328" s="9" t="s">
        <v>738</v>
      </c>
      <c r="B328" s="9">
        <v>691</v>
      </c>
      <c r="C328" s="9">
        <v>6</v>
      </c>
      <c r="D328" s="10">
        <v>241.72</v>
      </c>
      <c r="E328">
        <f t="shared" si="25"/>
        <v>3</v>
      </c>
      <c r="F328">
        <f t="shared" si="26"/>
        <v>3</v>
      </c>
      <c r="G328">
        <f t="shared" si="27"/>
        <v>3</v>
      </c>
      <c r="H328" s="3" t="str">
        <f t="shared" si="28"/>
        <v>333</v>
      </c>
      <c r="I328" t="str">
        <f t="shared" si="29"/>
        <v>Others</v>
      </c>
    </row>
    <row r="329" spans="1:9" x14ac:dyDescent="0.25">
      <c r="A329" s="9" t="s">
        <v>740</v>
      </c>
      <c r="B329" s="9">
        <v>503</v>
      </c>
      <c r="C329" s="9">
        <v>3</v>
      </c>
      <c r="D329" s="10">
        <v>280.2</v>
      </c>
      <c r="E329">
        <f t="shared" si="25"/>
        <v>5</v>
      </c>
      <c r="F329">
        <f t="shared" si="26"/>
        <v>1</v>
      </c>
      <c r="G329">
        <f t="shared" si="27"/>
        <v>3</v>
      </c>
      <c r="H329" s="3" t="str">
        <f t="shared" si="28"/>
        <v>513</v>
      </c>
      <c r="I329" t="str">
        <f t="shared" si="29"/>
        <v>Others</v>
      </c>
    </row>
    <row r="330" spans="1:9" x14ac:dyDescent="0.25">
      <c r="A330" s="9" t="s">
        <v>741</v>
      </c>
      <c r="B330" s="9">
        <v>578</v>
      </c>
      <c r="C330" s="9">
        <v>5</v>
      </c>
      <c r="D330" s="10">
        <v>178.04</v>
      </c>
      <c r="E330">
        <f t="shared" si="25"/>
        <v>4</v>
      </c>
      <c r="F330">
        <f t="shared" si="26"/>
        <v>2</v>
      </c>
      <c r="G330">
        <f t="shared" si="27"/>
        <v>2</v>
      </c>
      <c r="H330" s="3" t="str">
        <f t="shared" si="28"/>
        <v>422</v>
      </c>
      <c r="I330" t="str">
        <f t="shared" si="29"/>
        <v>Lost Customer</v>
      </c>
    </row>
    <row r="331" spans="1:9" x14ac:dyDescent="0.25">
      <c r="A331" s="9" t="s">
        <v>743</v>
      </c>
      <c r="B331" s="9">
        <v>759</v>
      </c>
      <c r="C331" s="9">
        <v>5</v>
      </c>
      <c r="D331" s="10">
        <v>347.99</v>
      </c>
      <c r="E331">
        <f t="shared" si="25"/>
        <v>2</v>
      </c>
      <c r="F331">
        <f t="shared" si="26"/>
        <v>2</v>
      </c>
      <c r="G331">
        <f t="shared" si="27"/>
        <v>4</v>
      </c>
      <c r="H331" s="3" t="str">
        <f t="shared" si="28"/>
        <v>224</v>
      </c>
      <c r="I331" t="str">
        <f t="shared" si="29"/>
        <v>Big Spender</v>
      </c>
    </row>
    <row r="332" spans="1:9" x14ac:dyDescent="0.25">
      <c r="A332" s="9" t="s">
        <v>745</v>
      </c>
      <c r="B332" s="9">
        <v>788</v>
      </c>
      <c r="C332" s="9">
        <v>3</v>
      </c>
      <c r="D332" s="10">
        <v>343.81</v>
      </c>
      <c r="E332">
        <f t="shared" si="25"/>
        <v>1</v>
      </c>
      <c r="F332">
        <f t="shared" si="26"/>
        <v>1</v>
      </c>
      <c r="G332">
        <f t="shared" si="27"/>
        <v>4</v>
      </c>
      <c r="H332" s="3" t="str">
        <f t="shared" si="28"/>
        <v>114</v>
      </c>
      <c r="I332" t="str">
        <f t="shared" si="29"/>
        <v>Big Spender</v>
      </c>
    </row>
    <row r="333" spans="1:9" x14ac:dyDescent="0.25">
      <c r="A333" s="9" t="s">
        <v>747</v>
      </c>
      <c r="B333" s="9">
        <v>481</v>
      </c>
      <c r="C333" s="9">
        <v>7</v>
      </c>
      <c r="D333" s="10">
        <v>105.29</v>
      </c>
      <c r="E333">
        <f t="shared" si="25"/>
        <v>5</v>
      </c>
      <c r="F333">
        <f t="shared" si="26"/>
        <v>3</v>
      </c>
      <c r="G333">
        <f t="shared" si="27"/>
        <v>1</v>
      </c>
      <c r="H333" s="3" t="str">
        <f t="shared" si="28"/>
        <v>531</v>
      </c>
      <c r="I333" t="str">
        <f t="shared" si="29"/>
        <v>Potential Loyalist</v>
      </c>
    </row>
    <row r="334" spans="1:9" x14ac:dyDescent="0.25">
      <c r="A334" s="9" t="s">
        <v>749</v>
      </c>
      <c r="B334" s="9">
        <v>601</v>
      </c>
      <c r="C334" s="9">
        <v>3</v>
      </c>
      <c r="D334" s="10">
        <v>483.66</v>
      </c>
      <c r="E334">
        <f t="shared" si="25"/>
        <v>4</v>
      </c>
      <c r="F334">
        <f t="shared" si="26"/>
        <v>1</v>
      </c>
      <c r="G334">
        <f t="shared" si="27"/>
        <v>5</v>
      </c>
      <c r="H334" s="3" t="str">
        <f t="shared" si="28"/>
        <v>415</v>
      </c>
      <c r="I334" t="str">
        <f t="shared" si="29"/>
        <v>Big Spender</v>
      </c>
    </row>
    <row r="335" spans="1:9" x14ac:dyDescent="0.25">
      <c r="A335" s="9" t="s">
        <v>751</v>
      </c>
      <c r="B335" s="9">
        <v>813</v>
      </c>
      <c r="C335" s="9">
        <v>8</v>
      </c>
      <c r="D335" s="10">
        <v>69.41</v>
      </c>
      <c r="E335">
        <f t="shared" si="25"/>
        <v>1</v>
      </c>
      <c r="F335">
        <f t="shared" si="26"/>
        <v>4</v>
      </c>
      <c r="G335">
        <f t="shared" si="27"/>
        <v>1</v>
      </c>
      <c r="H335" s="3" t="str">
        <f t="shared" si="28"/>
        <v>141</v>
      </c>
      <c r="I335" t="str">
        <f t="shared" si="29"/>
        <v>About To Sleep</v>
      </c>
    </row>
    <row r="336" spans="1:9" x14ac:dyDescent="0.25">
      <c r="A336" s="9" t="s">
        <v>753</v>
      </c>
      <c r="B336" s="9">
        <v>520</v>
      </c>
      <c r="C336" s="9">
        <v>11</v>
      </c>
      <c r="D336" s="10">
        <v>207.18</v>
      </c>
      <c r="E336">
        <f t="shared" si="25"/>
        <v>5</v>
      </c>
      <c r="F336">
        <f t="shared" si="26"/>
        <v>5</v>
      </c>
      <c r="G336">
        <f t="shared" si="27"/>
        <v>2</v>
      </c>
      <c r="H336" s="3" t="str">
        <f t="shared" si="28"/>
        <v>552</v>
      </c>
      <c r="I336" t="str">
        <f t="shared" si="29"/>
        <v>Potential Loyalist</v>
      </c>
    </row>
    <row r="337" spans="1:9" x14ac:dyDescent="0.25">
      <c r="A337" s="9" t="s">
        <v>755</v>
      </c>
      <c r="B337" s="9">
        <v>498</v>
      </c>
      <c r="C337" s="9">
        <v>11</v>
      </c>
      <c r="D337" s="10">
        <v>454.15</v>
      </c>
      <c r="E337">
        <f t="shared" si="25"/>
        <v>5</v>
      </c>
      <c r="F337">
        <f t="shared" si="26"/>
        <v>5</v>
      </c>
      <c r="G337">
        <f t="shared" si="27"/>
        <v>5</v>
      </c>
      <c r="H337" s="3" t="str">
        <f t="shared" si="28"/>
        <v>555</v>
      </c>
      <c r="I337" t="str">
        <f t="shared" si="29"/>
        <v>Champion</v>
      </c>
    </row>
    <row r="338" spans="1:9" x14ac:dyDescent="0.25">
      <c r="A338" s="9" t="s">
        <v>757</v>
      </c>
      <c r="B338" s="9">
        <v>705</v>
      </c>
      <c r="C338" s="9">
        <v>11</v>
      </c>
      <c r="D338" s="10">
        <v>113.01</v>
      </c>
      <c r="E338">
        <f t="shared" si="25"/>
        <v>2</v>
      </c>
      <c r="F338">
        <f t="shared" si="26"/>
        <v>5</v>
      </c>
      <c r="G338">
        <f t="shared" si="27"/>
        <v>1</v>
      </c>
      <c r="H338" s="3" t="str">
        <f t="shared" si="28"/>
        <v>251</v>
      </c>
      <c r="I338" t="str">
        <f t="shared" si="29"/>
        <v>About To Sleep</v>
      </c>
    </row>
    <row r="339" spans="1:9" x14ac:dyDescent="0.25">
      <c r="A339" s="9" t="s">
        <v>759</v>
      </c>
      <c r="B339" s="9">
        <v>625</v>
      </c>
      <c r="C339" s="9">
        <v>4</v>
      </c>
      <c r="D339" s="10">
        <v>419.13</v>
      </c>
      <c r="E339">
        <f t="shared" si="25"/>
        <v>4</v>
      </c>
      <c r="F339">
        <f t="shared" si="26"/>
        <v>2</v>
      </c>
      <c r="G339">
        <f t="shared" si="27"/>
        <v>5</v>
      </c>
      <c r="H339" s="3" t="str">
        <f t="shared" si="28"/>
        <v>425</v>
      </c>
      <c r="I339" t="str">
        <f t="shared" si="29"/>
        <v>Big Spender</v>
      </c>
    </row>
    <row r="340" spans="1:9" x14ac:dyDescent="0.25">
      <c r="A340" s="9" t="s">
        <v>761</v>
      </c>
      <c r="B340" s="9">
        <v>560</v>
      </c>
      <c r="C340" s="9">
        <v>5</v>
      </c>
      <c r="D340" s="10">
        <v>183.86</v>
      </c>
      <c r="E340">
        <f t="shared" si="25"/>
        <v>4</v>
      </c>
      <c r="F340">
        <f t="shared" si="26"/>
        <v>2</v>
      </c>
      <c r="G340">
        <f t="shared" si="27"/>
        <v>2</v>
      </c>
      <c r="H340" s="3" t="str">
        <f t="shared" si="28"/>
        <v>422</v>
      </c>
      <c r="I340" t="str">
        <f t="shared" si="29"/>
        <v>Lost Customer</v>
      </c>
    </row>
    <row r="341" spans="1:9" x14ac:dyDescent="0.25">
      <c r="A341" s="9" t="s">
        <v>763</v>
      </c>
      <c r="B341" s="9">
        <v>664</v>
      </c>
      <c r="C341" s="9">
        <v>10</v>
      </c>
      <c r="D341" s="10">
        <v>53.87</v>
      </c>
      <c r="E341">
        <f t="shared" si="25"/>
        <v>3</v>
      </c>
      <c r="F341">
        <f t="shared" si="26"/>
        <v>5</v>
      </c>
      <c r="G341">
        <f t="shared" si="27"/>
        <v>1</v>
      </c>
      <c r="H341" s="3" t="str">
        <f t="shared" si="28"/>
        <v>351</v>
      </c>
      <c r="I341" t="str">
        <f t="shared" si="29"/>
        <v>Others</v>
      </c>
    </row>
    <row r="342" spans="1:9" x14ac:dyDescent="0.25">
      <c r="A342" s="9" t="s">
        <v>765</v>
      </c>
      <c r="B342" s="9">
        <v>746</v>
      </c>
      <c r="C342" s="9">
        <v>9</v>
      </c>
      <c r="D342" s="10">
        <v>427.82</v>
      </c>
      <c r="E342">
        <f t="shared" si="25"/>
        <v>2</v>
      </c>
      <c r="F342">
        <f t="shared" si="26"/>
        <v>4</v>
      </c>
      <c r="G342">
        <f t="shared" si="27"/>
        <v>5</v>
      </c>
      <c r="H342" s="3" t="str">
        <f t="shared" si="28"/>
        <v>245</v>
      </c>
      <c r="I342" t="str">
        <f t="shared" si="29"/>
        <v>Loyal Customer</v>
      </c>
    </row>
    <row r="343" spans="1:9" x14ac:dyDescent="0.25">
      <c r="A343" s="9" t="s">
        <v>767</v>
      </c>
      <c r="B343" s="9">
        <v>781</v>
      </c>
      <c r="C343" s="9">
        <v>6</v>
      </c>
      <c r="D343" s="10">
        <v>282.82</v>
      </c>
      <c r="E343">
        <f t="shared" si="25"/>
        <v>1</v>
      </c>
      <c r="F343">
        <f t="shared" si="26"/>
        <v>3</v>
      </c>
      <c r="G343">
        <f t="shared" si="27"/>
        <v>3</v>
      </c>
      <c r="H343" s="3" t="str">
        <f t="shared" si="28"/>
        <v>133</v>
      </c>
      <c r="I343" t="str">
        <f t="shared" si="29"/>
        <v>About To Sleep</v>
      </c>
    </row>
    <row r="344" spans="1:9" x14ac:dyDescent="0.25">
      <c r="A344" s="9" t="s">
        <v>769</v>
      </c>
      <c r="B344" s="9">
        <v>741</v>
      </c>
      <c r="C344" s="9">
        <v>7</v>
      </c>
      <c r="D344" s="10">
        <v>215.31</v>
      </c>
      <c r="E344">
        <f t="shared" si="25"/>
        <v>2</v>
      </c>
      <c r="F344">
        <f t="shared" si="26"/>
        <v>3</v>
      </c>
      <c r="G344">
        <f t="shared" si="27"/>
        <v>2</v>
      </c>
      <c r="H344" s="3" t="str">
        <f t="shared" si="28"/>
        <v>232</v>
      </c>
      <c r="I344" t="str">
        <f t="shared" si="29"/>
        <v>About To Sleep</v>
      </c>
    </row>
    <row r="345" spans="1:9" x14ac:dyDescent="0.25">
      <c r="A345" s="9" t="s">
        <v>771</v>
      </c>
      <c r="B345" s="9">
        <v>732</v>
      </c>
      <c r="C345" s="9">
        <v>11</v>
      </c>
      <c r="D345" s="10">
        <v>183.66</v>
      </c>
      <c r="E345">
        <f t="shared" si="25"/>
        <v>2</v>
      </c>
      <c r="F345">
        <f t="shared" si="26"/>
        <v>5</v>
      </c>
      <c r="G345">
        <f t="shared" si="27"/>
        <v>2</v>
      </c>
      <c r="H345" s="3" t="str">
        <f t="shared" si="28"/>
        <v>252</v>
      </c>
      <c r="I345" t="str">
        <f t="shared" si="29"/>
        <v>About To Sleep</v>
      </c>
    </row>
    <row r="346" spans="1:9" x14ac:dyDescent="0.25">
      <c r="A346" s="9" t="s">
        <v>773</v>
      </c>
      <c r="B346" s="9">
        <v>808</v>
      </c>
      <c r="C346" s="9">
        <v>10</v>
      </c>
      <c r="D346" s="10">
        <v>198.73</v>
      </c>
      <c r="E346">
        <f t="shared" si="25"/>
        <v>1</v>
      </c>
      <c r="F346">
        <f t="shared" si="26"/>
        <v>5</v>
      </c>
      <c r="G346">
        <f t="shared" si="27"/>
        <v>2</v>
      </c>
      <c r="H346" s="3" t="str">
        <f t="shared" si="28"/>
        <v>152</v>
      </c>
      <c r="I346" t="str">
        <f t="shared" si="29"/>
        <v>About To Sleep</v>
      </c>
    </row>
    <row r="347" spans="1:9" x14ac:dyDescent="0.25">
      <c r="A347" s="9" t="s">
        <v>775</v>
      </c>
      <c r="B347" s="9">
        <v>728</v>
      </c>
      <c r="C347" s="9">
        <v>5</v>
      </c>
      <c r="D347" s="10">
        <v>265.72000000000003</v>
      </c>
      <c r="E347">
        <f t="shared" si="25"/>
        <v>2</v>
      </c>
      <c r="F347">
        <f t="shared" si="26"/>
        <v>2</v>
      </c>
      <c r="G347">
        <f t="shared" si="27"/>
        <v>3</v>
      </c>
      <c r="H347" s="3" t="str">
        <f t="shared" si="28"/>
        <v>223</v>
      </c>
      <c r="I347" t="str">
        <f t="shared" si="29"/>
        <v>At Risk</v>
      </c>
    </row>
    <row r="348" spans="1:9" x14ac:dyDescent="0.25">
      <c r="A348" s="9" t="s">
        <v>777</v>
      </c>
      <c r="B348" s="9">
        <v>645</v>
      </c>
      <c r="C348" s="9">
        <v>2</v>
      </c>
      <c r="D348" s="10">
        <v>138.35</v>
      </c>
      <c r="E348">
        <f t="shared" si="25"/>
        <v>3</v>
      </c>
      <c r="F348">
        <f t="shared" si="26"/>
        <v>1</v>
      </c>
      <c r="G348">
        <f t="shared" si="27"/>
        <v>1</v>
      </c>
      <c r="H348" s="3" t="str">
        <f t="shared" si="28"/>
        <v>311</v>
      </c>
      <c r="I348" t="str">
        <f t="shared" si="29"/>
        <v>Lost Customer</v>
      </c>
    </row>
    <row r="349" spans="1:9" x14ac:dyDescent="0.25">
      <c r="A349" s="9" t="s">
        <v>779</v>
      </c>
      <c r="B349" s="9">
        <v>587</v>
      </c>
      <c r="C349" s="9">
        <v>3</v>
      </c>
      <c r="D349" s="10">
        <v>441.87</v>
      </c>
      <c r="E349">
        <f t="shared" si="25"/>
        <v>4</v>
      </c>
      <c r="F349">
        <f t="shared" si="26"/>
        <v>1</v>
      </c>
      <c r="G349">
        <f t="shared" si="27"/>
        <v>5</v>
      </c>
      <c r="H349" s="3" t="str">
        <f t="shared" si="28"/>
        <v>415</v>
      </c>
      <c r="I349" t="str">
        <f t="shared" si="29"/>
        <v>Big Spender</v>
      </c>
    </row>
    <row r="350" spans="1:9" x14ac:dyDescent="0.25">
      <c r="A350" s="9" t="s">
        <v>781</v>
      </c>
      <c r="B350" s="9">
        <v>630</v>
      </c>
      <c r="C350" s="9">
        <v>4</v>
      </c>
      <c r="D350" s="10">
        <v>178.29</v>
      </c>
      <c r="E350">
        <f t="shared" si="25"/>
        <v>3</v>
      </c>
      <c r="F350">
        <f t="shared" si="26"/>
        <v>2</v>
      </c>
      <c r="G350">
        <f t="shared" si="27"/>
        <v>2</v>
      </c>
      <c r="H350" s="3" t="str">
        <f t="shared" si="28"/>
        <v>322</v>
      </c>
      <c r="I350" t="str">
        <f t="shared" si="29"/>
        <v>Lost Customer</v>
      </c>
    </row>
    <row r="351" spans="1:9" x14ac:dyDescent="0.25">
      <c r="A351" s="9" t="s">
        <v>783</v>
      </c>
      <c r="B351" s="9">
        <v>552</v>
      </c>
      <c r="C351" s="9">
        <v>10</v>
      </c>
      <c r="D351" s="10">
        <v>77.08</v>
      </c>
      <c r="E351">
        <f t="shared" si="25"/>
        <v>5</v>
      </c>
      <c r="F351">
        <f t="shared" si="26"/>
        <v>5</v>
      </c>
      <c r="G351">
        <f t="shared" si="27"/>
        <v>1</v>
      </c>
      <c r="H351" s="3" t="str">
        <f t="shared" si="28"/>
        <v>551</v>
      </c>
      <c r="I351" t="str">
        <f t="shared" si="29"/>
        <v>Potential Loyalist</v>
      </c>
    </row>
    <row r="352" spans="1:9" x14ac:dyDescent="0.25">
      <c r="A352" s="9" t="s">
        <v>785</v>
      </c>
      <c r="B352" s="9">
        <v>658</v>
      </c>
      <c r="C352" s="9">
        <v>11</v>
      </c>
      <c r="D352" s="10">
        <v>266.89999999999998</v>
      </c>
      <c r="E352">
        <f t="shared" si="25"/>
        <v>3</v>
      </c>
      <c r="F352">
        <f t="shared" si="26"/>
        <v>5</v>
      </c>
      <c r="G352">
        <f t="shared" si="27"/>
        <v>3</v>
      </c>
      <c r="H352" s="3" t="str">
        <f t="shared" si="28"/>
        <v>353</v>
      </c>
      <c r="I352" t="str">
        <f t="shared" si="29"/>
        <v>Others</v>
      </c>
    </row>
    <row r="353" spans="1:9" x14ac:dyDescent="0.25">
      <c r="A353" s="9" t="s">
        <v>787</v>
      </c>
      <c r="B353" s="9">
        <v>716</v>
      </c>
      <c r="C353" s="9">
        <v>4</v>
      </c>
      <c r="D353" s="10">
        <v>269.83999999999997</v>
      </c>
      <c r="E353">
        <f t="shared" si="25"/>
        <v>2</v>
      </c>
      <c r="F353">
        <f t="shared" si="26"/>
        <v>2</v>
      </c>
      <c r="G353">
        <f t="shared" si="27"/>
        <v>3</v>
      </c>
      <c r="H353" s="3" t="str">
        <f t="shared" si="28"/>
        <v>223</v>
      </c>
      <c r="I353" t="str">
        <f t="shared" si="29"/>
        <v>At Risk</v>
      </c>
    </row>
    <row r="354" spans="1:9" x14ac:dyDescent="0.25">
      <c r="A354" s="9" t="s">
        <v>789</v>
      </c>
      <c r="B354" s="9">
        <v>779</v>
      </c>
      <c r="C354" s="9">
        <v>8</v>
      </c>
      <c r="D354" s="10">
        <v>334.22</v>
      </c>
      <c r="E354">
        <f t="shared" si="25"/>
        <v>1</v>
      </c>
      <c r="F354">
        <f t="shared" si="26"/>
        <v>4</v>
      </c>
      <c r="G354">
        <f t="shared" si="27"/>
        <v>4</v>
      </c>
      <c r="H354" s="3" t="str">
        <f t="shared" si="28"/>
        <v>144</v>
      </c>
      <c r="I354" t="str">
        <f t="shared" si="29"/>
        <v>Loyal Customer</v>
      </c>
    </row>
    <row r="355" spans="1:9" x14ac:dyDescent="0.25">
      <c r="A355" s="9" t="s">
        <v>791</v>
      </c>
      <c r="B355" s="9">
        <v>733</v>
      </c>
      <c r="C355" s="9">
        <v>8</v>
      </c>
      <c r="D355" s="10">
        <v>474.56</v>
      </c>
      <c r="E355">
        <f t="shared" si="25"/>
        <v>2</v>
      </c>
      <c r="F355">
        <f t="shared" si="26"/>
        <v>4</v>
      </c>
      <c r="G355">
        <f t="shared" si="27"/>
        <v>5</v>
      </c>
      <c r="H355" s="3" t="str">
        <f t="shared" si="28"/>
        <v>245</v>
      </c>
      <c r="I355" t="str">
        <f t="shared" si="29"/>
        <v>Loyal Customer</v>
      </c>
    </row>
    <row r="356" spans="1:9" x14ac:dyDescent="0.25">
      <c r="A356" s="9" t="s">
        <v>793</v>
      </c>
      <c r="B356" s="9">
        <v>598</v>
      </c>
      <c r="C356" s="9">
        <v>4</v>
      </c>
      <c r="D356" s="10">
        <v>360.91</v>
      </c>
      <c r="E356">
        <f t="shared" si="25"/>
        <v>4</v>
      </c>
      <c r="F356">
        <f t="shared" si="26"/>
        <v>2</v>
      </c>
      <c r="G356">
        <f t="shared" si="27"/>
        <v>4</v>
      </c>
      <c r="H356" s="3" t="str">
        <f t="shared" si="28"/>
        <v>424</v>
      </c>
      <c r="I356" t="str">
        <f t="shared" si="29"/>
        <v>Big Spender</v>
      </c>
    </row>
    <row r="357" spans="1:9" x14ac:dyDescent="0.25">
      <c r="A357" s="9" t="s">
        <v>795</v>
      </c>
      <c r="B357" s="9">
        <v>727</v>
      </c>
      <c r="C357" s="9">
        <v>6</v>
      </c>
      <c r="D357" s="10">
        <v>373.49</v>
      </c>
      <c r="E357">
        <f t="shared" si="25"/>
        <v>2</v>
      </c>
      <c r="F357">
        <f t="shared" si="26"/>
        <v>3</v>
      </c>
      <c r="G357">
        <f t="shared" si="27"/>
        <v>4</v>
      </c>
      <c r="H357" s="3" t="str">
        <f t="shared" si="28"/>
        <v>234</v>
      </c>
      <c r="I357" t="str">
        <f t="shared" si="29"/>
        <v>Big Spender</v>
      </c>
    </row>
    <row r="358" spans="1:9" x14ac:dyDescent="0.25">
      <c r="A358" s="9" t="s">
        <v>797</v>
      </c>
      <c r="B358" s="9">
        <v>511</v>
      </c>
      <c r="C358" s="9">
        <v>5</v>
      </c>
      <c r="D358" s="10">
        <v>462.3</v>
      </c>
      <c r="E358">
        <f t="shared" si="25"/>
        <v>5</v>
      </c>
      <c r="F358">
        <f t="shared" si="26"/>
        <v>2</v>
      </c>
      <c r="G358">
        <f t="shared" si="27"/>
        <v>5</v>
      </c>
      <c r="H358" s="3" t="str">
        <f t="shared" si="28"/>
        <v>525</v>
      </c>
      <c r="I358" t="str">
        <f t="shared" si="29"/>
        <v>Big Spender</v>
      </c>
    </row>
    <row r="359" spans="1:9" x14ac:dyDescent="0.25">
      <c r="A359" s="9" t="s">
        <v>799</v>
      </c>
      <c r="B359" s="9">
        <v>495</v>
      </c>
      <c r="C359" s="9">
        <v>8</v>
      </c>
      <c r="D359" s="10">
        <v>332.67</v>
      </c>
      <c r="E359">
        <f t="shared" si="25"/>
        <v>5</v>
      </c>
      <c r="F359">
        <f t="shared" si="26"/>
        <v>4</v>
      </c>
      <c r="G359">
        <f t="shared" si="27"/>
        <v>4</v>
      </c>
      <c r="H359" s="3" t="str">
        <f t="shared" si="28"/>
        <v>544</v>
      </c>
      <c r="I359" t="str">
        <f t="shared" si="29"/>
        <v>Champion</v>
      </c>
    </row>
    <row r="360" spans="1:9" x14ac:dyDescent="0.25">
      <c r="A360" s="9" t="s">
        <v>801</v>
      </c>
      <c r="B360" s="9">
        <v>695</v>
      </c>
      <c r="C360" s="9">
        <v>9</v>
      </c>
      <c r="D360" s="10">
        <v>235.39</v>
      </c>
      <c r="E360">
        <f t="shared" si="25"/>
        <v>2</v>
      </c>
      <c r="F360">
        <f t="shared" si="26"/>
        <v>4</v>
      </c>
      <c r="G360">
        <f t="shared" si="27"/>
        <v>3</v>
      </c>
      <c r="H360" s="3" t="str">
        <f t="shared" si="28"/>
        <v>243</v>
      </c>
      <c r="I360" t="str">
        <f t="shared" si="29"/>
        <v>About To Sleep</v>
      </c>
    </row>
    <row r="361" spans="1:9" x14ac:dyDescent="0.25">
      <c r="A361" s="9" t="s">
        <v>803</v>
      </c>
      <c r="B361" s="9">
        <v>634</v>
      </c>
      <c r="C361" s="9">
        <v>7</v>
      </c>
      <c r="D361" s="10">
        <v>269.77999999999997</v>
      </c>
      <c r="E361">
        <f t="shared" si="25"/>
        <v>3</v>
      </c>
      <c r="F361">
        <f t="shared" si="26"/>
        <v>3</v>
      </c>
      <c r="G361">
        <f t="shared" si="27"/>
        <v>3</v>
      </c>
      <c r="H361" s="3" t="str">
        <f t="shared" si="28"/>
        <v>333</v>
      </c>
      <c r="I361" t="str">
        <f t="shared" si="29"/>
        <v>Others</v>
      </c>
    </row>
    <row r="362" spans="1:9" x14ac:dyDescent="0.25">
      <c r="A362" s="9" t="s">
        <v>805</v>
      </c>
      <c r="B362" s="9">
        <v>712</v>
      </c>
      <c r="C362" s="9">
        <v>2</v>
      </c>
      <c r="D362" s="10">
        <v>498.33</v>
      </c>
      <c r="E362">
        <f t="shared" si="25"/>
        <v>2</v>
      </c>
      <c r="F362">
        <f t="shared" si="26"/>
        <v>1</v>
      </c>
      <c r="G362">
        <f t="shared" si="27"/>
        <v>5</v>
      </c>
      <c r="H362" s="3" t="str">
        <f t="shared" si="28"/>
        <v>215</v>
      </c>
      <c r="I362" t="str">
        <f t="shared" si="29"/>
        <v>Big Spender</v>
      </c>
    </row>
    <row r="363" spans="1:9" x14ac:dyDescent="0.25">
      <c r="A363" s="9" t="s">
        <v>807</v>
      </c>
      <c r="B363" s="9">
        <v>692</v>
      </c>
      <c r="C363" s="9">
        <v>7</v>
      </c>
      <c r="D363" s="10">
        <v>182.94</v>
      </c>
      <c r="E363">
        <f t="shared" si="25"/>
        <v>3</v>
      </c>
      <c r="F363">
        <f t="shared" si="26"/>
        <v>3</v>
      </c>
      <c r="G363">
        <f t="shared" si="27"/>
        <v>2</v>
      </c>
      <c r="H363" s="3" t="str">
        <f t="shared" si="28"/>
        <v>332</v>
      </c>
      <c r="I363" t="str">
        <f t="shared" si="29"/>
        <v>Others</v>
      </c>
    </row>
    <row r="364" spans="1:9" x14ac:dyDescent="0.25">
      <c r="A364" s="9" t="s">
        <v>809</v>
      </c>
      <c r="B364" s="9">
        <v>665</v>
      </c>
      <c r="C364" s="9">
        <v>7</v>
      </c>
      <c r="D364" s="10">
        <v>121.7</v>
      </c>
      <c r="E364">
        <f t="shared" si="25"/>
        <v>3</v>
      </c>
      <c r="F364">
        <f t="shared" si="26"/>
        <v>3</v>
      </c>
      <c r="G364">
        <f t="shared" si="27"/>
        <v>1</v>
      </c>
      <c r="H364" s="3" t="str">
        <f t="shared" si="28"/>
        <v>331</v>
      </c>
      <c r="I364" t="str">
        <f t="shared" si="29"/>
        <v>Others</v>
      </c>
    </row>
    <row r="365" spans="1:9" x14ac:dyDescent="0.25">
      <c r="A365" s="9" t="s">
        <v>811</v>
      </c>
      <c r="B365" s="9">
        <v>828</v>
      </c>
      <c r="C365" s="9">
        <v>4</v>
      </c>
      <c r="D365" s="10">
        <v>489.27</v>
      </c>
      <c r="E365">
        <f t="shared" si="25"/>
        <v>1</v>
      </c>
      <c r="F365">
        <f t="shared" si="26"/>
        <v>2</v>
      </c>
      <c r="G365">
        <f t="shared" si="27"/>
        <v>5</v>
      </c>
      <c r="H365" s="3" t="str">
        <f t="shared" si="28"/>
        <v>125</v>
      </c>
      <c r="I365" t="str">
        <f t="shared" si="29"/>
        <v>Big Spender</v>
      </c>
    </row>
    <row r="366" spans="1:9" x14ac:dyDescent="0.25">
      <c r="A366" s="9" t="s">
        <v>813</v>
      </c>
      <c r="B366" s="9">
        <v>768</v>
      </c>
      <c r="C366" s="9">
        <v>6</v>
      </c>
      <c r="D366" s="10">
        <v>303.93</v>
      </c>
      <c r="E366">
        <f t="shared" si="25"/>
        <v>1</v>
      </c>
      <c r="F366">
        <f t="shared" si="26"/>
        <v>3</v>
      </c>
      <c r="G366">
        <f t="shared" si="27"/>
        <v>3</v>
      </c>
      <c r="H366" s="3" t="str">
        <f t="shared" si="28"/>
        <v>133</v>
      </c>
      <c r="I366" t="str">
        <f t="shared" si="29"/>
        <v>About To Sleep</v>
      </c>
    </row>
    <row r="367" spans="1:9" x14ac:dyDescent="0.25">
      <c r="A367" s="9" t="s">
        <v>815</v>
      </c>
      <c r="B367" s="9">
        <v>661</v>
      </c>
      <c r="C367" s="9">
        <v>11</v>
      </c>
      <c r="D367" s="10">
        <v>302.74</v>
      </c>
      <c r="E367">
        <f t="shared" si="25"/>
        <v>3</v>
      </c>
      <c r="F367">
        <f t="shared" si="26"/>
        <v>5</v>
      </c>
      <c r="G367">
        <f t="shared" si="27"/>
        <v>3</v>
      </c>
      <c r="H367" s="3" t="str">
        <f t="shared" si="28"/>
        <v>353</v>
      </c>
      <c r="I367" t="str">
        <f t="shared" si="29"/>
        <v>Others</v>
      </c>
    </row>
    <row r="368" spans="1:9" x14ac:dyDescent="0.25">
      <c r="A368" s="9" t="s">
        <v>817</v>
      </c>
      <c r="B368" s="9">
        <v>720</v>
      </c>
      <c r="C368" s="9">
        <v>11</v>
      </c>
      <c r="D368" s="10">
        <v>157.21</v>
      </c>
      <c r="E368">
        <f t="shared" si="25"/>
        <v>2</v>
      </c>
      <c r="F368">
        <f t="shared" si="26"/>
        <v>5</v>
      </c>
      <c r="G368">
        <f t="shared" si="27"/>
        <v>2</v>
      </c>
      <c r="H368" s="3" t="str">
        <f t="shared" si="28"/>
        <v>252</v>
      </c>
      <c r="I368" t="str">
        <f t="shared" si="29"/>
        <v>About To Sleep</v>
      </c>
    </row>
    <row r="369" spans="1:9" x14ac:dyDescent="0.25">
      <c r="A369" s="9" t="s">
        <v>819</v>
      </c>
      <c r="B369" s="9">
        <v>675</v>
      </c>
      <c r="C369" s="9">
        <v>2</v>
      </c>
      <c r="D369" s="10">
        <v>159.44999999999999</v>
      </c>
      <c r="E369">
        <f t="shared" si="25"/>
        <v>3</v>
      </c>
      <c r="F369">
        <f t="shared" si="26"/>
        <v>1</v>
      </c>
      <c r="G369">
        <f t="shared" si="27"/>
        <v>2</v>
      </c>
      <c r="H369" s="3" t="str">
        <f t="shared" si="28"/>
        <v>312</v>
      </c>
      <c r="I369" t="str">
        <f t="shared" si="29"/>
        <v>Lost Customer</v>
      </c>
    </row>
    <row r="370" spans="1:9" x14ac:dyDescent="0.25">
      <c r="A370" s="9" t="s">
        <v>821</v>
      </c>
      <c r="B370" s="9">
        <v>624</v>
      </c>
      <c r="C370" s="9">
        <v>2</v>
      </c>
      <c r="D370" s="10">
        <v>312.93</v>
      </c>
      <c r="E370">
        <f t="shared" si="25"/>
        <v>4</v>
      </c>
      <c r="F370">
        <f t="shared" si="26"/>
        <v>1</v>
      </c>
      <c r="G370">
        <f t="shared" si="27"/>
        <v>3</v>
      </c>
      <c r="H370" s="3" t="str">
        <f t="shared" si="28"/>
        <v>413</v>
      </c>
      <c r="I370" t="str">
        <f t="shared" si="29"/>
        <v>Others</v>
      </c>
    </row>
    <row r="371" spans="1:9" x14ac:dyDescent="0.25">
      <c r="A371" s="9" t="s">
        <v>823</v>
      </c>
      <c r="B371" s="9">
        <v>713</v>
      </c>
      <c r="C371" s="9">
        <v>4</v>
      </c>
      <c r="D371" s="10">
        <v>65.680000000000007</v>
      </c>
      <c r="E371">
        <f t="shared" si="25"/>
        <v>2</v>
      </c>
      <c r="F371">
        <f t="shared" si="26"/>
        <v>2</v>
      </c>
      <c r="G371">
        <f t="shared" si="27"/>
        <v>1</v>
      </c>
      <c r="H371" s="3" t="str">
        <f t="shared" si="28"/>
        <v>221</v>
      </c>
      <c r="I371" t="str">
        <f t="shared" si="29"/>
        <v>At Risk</v>
      </c>
    </row>
    <row r="372" spans="1:9" x14ac:dyDescent="0.25">
      <c r="A372" s="9" t="s">
        <v>825</v>
      </c>
      <c r="B372" s="9">
        <v>521</v>
      </c>
      <c r="C372" s="9">
        <v>5</v>
      </c>
      <c r="D372" s="10">
        <v>61.86</v>
      </c>
      <c r="E372">
        <f t="shared" si="25"/>
        <v>5</v>
      </c>
      <c r="F372">
        <f t="shared" si="26"/>
        <v>2</v>
      </c>
      <c r="G372">
        <f t="shared" si="27"/>
        <v>1</v>
      </c>
      <c r="H372" s="3" t="str">
        <f t="shared" si="28"/>
        <v>521</v>
      </c>
      <c r="I372" t="str">
        <f t="shared" si="29"/>
        <v>Lost Customer</v>
      </c>
    </row>
    <row r="373" spans="1:9" x14ac:dyDescent="0.25">
      <c r="A373" s="9" t="s">
        <v>827</v>
      </c>
      <c r="B373" s="9">
        <v>794</v>
      </c>
      <c r="C373" s="9">
        <v>6</v>
      </c>
      <c r="D373" s="10">
        <v>343.77</v>
      </c>
      <c r="E373">
        <f t="shared" si="25"/>
        <v>1</v>
      </c>
      <c r="F373">
        <f t="shared" si="26"/>
        <v>3</v>
      </c>
      <c r="G373">
        <f t="shared" si="27"/>
        <v>4</v>
      </c>
      <c r="H373" s="3" t="str">
        <f t="shared" si="28"/>
        <v>134</v>
      </c>
      <c r="I373" t="str">
        <f t="shared" si="29"/>
        <v>Big Spender</v>
      </c>
    </row>
    <row r="374" spans="1:9" x14ac:dyDescent="0.25">
      <c r="A374" s="9" t="s">
        <v>829</v>
      </c>
      <c r="B374" s="9">
        <v>623</v>
      </c>
      <c r="C374" s="9">
        <v>2</v>
      </c>
      <c r="D374" s="10">
        <v>107.21</v>
      </c>
      <c r="E374">
        <f t="shared" si="25"/>
        <v>4</v>
      </c>
      <c r="F374">
        <f t="shared" si="26"/>
        <v>1</v>
      </c>
      <c r="G374">
        <f t="shared" si="27"/>
        <v>1</v>
      </c>
      <c r="H374" s="3" t="str">
        <f t="shared" si="28"/>
        <v>411</v>
      </c>
      <c r="I374" t="str">
        <f t="shared" si="29"/>
        <v>Lost Customer</v>
      </c>
    </row>
    <row r="375" spans="1:9" x14ac:dyDescent="0.25">
      <c r="A375" s="9" t="s">
        <v>831</v>
      </c>
      <c r="B375" s="9">
        <v>617</v>
      </c>
      <c r="C375" s="9">
        <v>12</v>
      </c>
      <c r="D375" s="10">
        <v>148.97999999999999</v>
      </c>
      <c r="E375">
        <f t="shared" si="25"/>
        <v>4</v>
      </c>
      <c r="F375">
        <f t="shared" si="26"/>
        <v>5</v>
      </c>
      <c r="G375">
        <f t="shared" si="27"/>
        <v>2</v>
      </c>
      <c r="H375" s="3" t="str">
        <f t="shared" si="28"/>
        <v>452</v>
      </c>
      <c r="I375" t="str">
        <f t="shared" si="29"/>
        <v>Potential Loyalist</v>
      </c>
    </row>
    <row r="376" spans="1:9" x14ac:dyDescent="0.25">
      <c r="A376" s="9" t="s">
        <v>833</v>
      </c>
      <c r="B376" s="9">
        <v>491</v>
      </c>
      <c r="C376" s="9">
        <v>4</v>
      </c>
      <c r="D376" s="10">
        <v>490.41</v>
      </c>
      <c r="E376">
        <f t="shared" si="25"/>
        <v>5</v>
      </c>
      <c r="F376">
        <f t="shared" si="26"/>
        <v>2</v>
      </c>
      <c r="G376">
        <f t="shared" si="27"/>
        <v>5</v>
      </c>
      <c r="H376" s="3" t="str">
        <f t="shared" si="28"/>
        <v>525</v>
      </c>
      <c r="I376" t="str">
        <f t="shared" si="29"/>
        <v>Big Spender</v>
      </c>
    </row>
    <row r="377" spans="1:9" x14ac:dyDescent="0.25">
      <c r="A377" s="9" t="s">
        <v>835</v>
      </c>
      <c r="B377" s="9">
        <v>775</v>
      </c>
      <c r="C377" s="9">
        <v>4</v>
      </c>
      <c r="D377" s="10">
        <v>461.34</v>
      </c>
      <c r="E377">
        <f t="shared" si="25"/>
        <v>1</v>
      </c>
      <c r="F377">
        <f t="shared" si="26"/>
        <v>2</v>
      </c>
      <c r="G377">
        <f t="shared" si="27"/>
        <v>5</v>
      </c>
      <c r="H377" s="3" t="str">
        <f t="shared" si="28"/>
        <v>125</v>
      </c>
      <c r="I377" t="str">
        <f t="shared" si="29"/>
        <v>Big Spender</v>
      </c>
    </row>
    <row r="378" spans="1:9" x14ac:dyDescent="0.25">
      <c r="A378" s="9" t="s">
        <v>837</v>
      </c>
      <c r="B378" s="9">
        <v>699</v>
      </c>
      <c r="C378" s="9">
        <v>7</v>
      </c>
      <c r="D378" s="10">
        <v>338.89</v>
      </c>
      <c r="E378">
        <f t="shared" si="25"/>
        <v>2</v>
      </c>
      <c r="F378">
        <f t="shared" si="26"/>
        <v>3</v>
      </c>
      <c r="G378">
        <f t="shared" si="27"/>
        <v>4</v>
      </c>
      <c r="H378" s="3" t="str">
        <f t="shared" si="28"/>
        <v>234</v>
      </c>
      <c r="I378" t="str">
        <f t="shared" si="29"/>
        <v>Big Spender</v>
      </c>
    </row>
    <row r="379" spans="1:9" x14ac:dyDescent="0.25">
      <c r="A379" s="9" t="s">
        <v>839</v>
      </c>
      <c r="B379" s="9">
        <v>758</v>
      </c>
      <c r="C379" s="9">
        <v>3</v>
      </c>
      <c r="D379" s="10">
        <v>222.63</v>
      </c>
      <c r="E379">
        <f t="shared" si="25"/>
        <v>2</v>
      </c>
      <c r="F379">
        <f t="shared" si="26"/>
        <v>1</v>
      </c>
      <c r="G379">
        <f t="shared" si="27"/>
        <v>2</v>
      </c>
      <c r="H379" s="3" t="str">
        <f t="shared" si="28"/>
        <v>212</v>
      </c>
      <c r="I379" t="str">
        <f t="shared" si="29"/>
        <v>At Risk</v>
      </c>
    </row>
    <row r="380" spans="1:9" x14ac:dyDescent="0.25">
      <c r="A380" s="9" t="s">
        <v>841</v>
      </c>
      <c r="B380" s="9">
        <v>575</v>
      </c>
      <c r="C380" s="9">
        <v>2</v>
      </c>
      <c r="D380" s="10">
        <v>71.95</v>
      </c>
      <c r="E380">
        <f t="shared" si="25"/>
        <v>4</v>
      </c>
      <c r="F380">
        <f t="shared" si="26"/>
        <v>1</v>
      </c>
      <c r="G380">
        <f t="shared" si="27"/>
        <v>1</v>
      </c>
      <c r="H380" s="3" t="str">
        <f t="shared" si="28"/>
        <v>411</v>
      </c>
      <c r="I380" t="str">
        <f t="shared" si="29"/>
        <v>Lost Customer</v>
      </c>
    </row>
    <row r="381" spans="1:9" x14ac:dyDescent="0.25">
      <c r="A381" s="9" t="s">
        <v>843</v>
      </c>
      <c r="B381" s="9">
        <v>748</v>
      </c>
      <c r="C381" s="9">
        <v>9</v>
      </c>
      <c r="D381" s="10">
        <v>264.52</v>
      </c>
      <c r="E381">
        <f t="shared" si="25"/>
        <v>2</v>
      </c>
      <c r="F381">
        <f t="shared" si="26"/>
        <v>4</v>
      </c>
      <c r="G381">
        <f t="shared" si="27"/>
        <v>3</v>
      </c>
      <c r="H381" s="3" t="str">
        <f t="shared" si="28"/>
        <v>243</v>
      </c>
      <c r="I381" t="str">
        <f t="shared" si="29"/>
        <v>About To Sleep</v>
      </c>
    </row>
    <row r="382" spans="1:9" x14ac:dyDescent="0.25">
      <c r="A382" s="9" t="s">
        <v>845</v>
      </c>
      <c r="B382" s="9">
        <v>811</v>
      </c>
      <c r="C382" s="9">
        <v>9</v>
      </c>
      <c r="D382" s="10">
        <v>414.8</v>
      </c>
      <c r="E382">
        <f t="shared" si="25"/>
        <v>1</v>
      </c>
      <c r="F382">
        <f t="shared" si="26"/>
        <v>4</v>
      </c>
      <c r="G382">
        <f t="shared" si="27"/>
        <v>5</v>
      </c>
      <c r="H382" s="3" t="str">
        <f t="shared" si="28"/>
        <v>145</v>
      </c>
      <c r="I382" t="str">
        <f t="shared" si="29"/>
        <v>Loyal Customer</v>
      </c>
    </row>
    <row r="383" spans="1:9" x14ac:dyDescent="0.25">
      <c r="A383" s="9" t="s">
        <v>847</v>
      </c>
      <c r="B383" s="9">
        <v>692</v>
      </c>
      <c r="C383" s="9">
        <v>12</v>
      </c>
      <c r="D383" s="10">
        <v>50.79</v>
      </c>
      <c r="E383">
        <f t="shared" si="25"/>
        <v>3</v>
      </c>
      <c r="F383">
        <f t="shared" si="26"/>
        <v>5</v>
      </c>
      <c r="G383">
        <f t="shared" si="27"/>
        <v>1</v>
      </c>
      <c r="H383" s="3" t="str">
        <f t="shared" si="28"/>
        <v>351</v>
      </c>
      <c r="I383" t="str">
        <f t="shared" si="29"/>
        <v>Others</v>
      </c>
    </row>
    <row r="384" spans="1:9" x14ac:dyDescent="0.25">
      <c r="A384" s="9" t="s">
        <v>849</v>
      </c>
      <c r="B384" s="9">
        <v>608</v>
      </c>
      <c r="C384" s="9">
        <v>10</v>
      </c>
      <c r="D384" s="10">
        <v>264.3</v>
      </c>
      <c r="E384">
        <f t="shared" si="25"/>
        <v>4</v>
      </c>
      <c r="F384">
        <f t="shared" si="26"/>
        <v>5</v>
      </c>
      <c r="G384">
        <f t="shared" si="27"/>
        <v>3</v>
      </c>
      <c r="H384" s="3" t="str">
        <f t="shared" si="28"/>
        <v>453</v>
      </c>
      <c r="I384" t="str">
        <f t="shared" si="29"/>
        <v>Potential Loyalist</v>
      </c>
    </row>
    <row r="385" spans="1:9" x14ac:dyDescent="0.25">
      <c r="A385" s="9" t="s">
        <v>851</v>
      </c>
      <c r="B385" s="9">
        <v>795</v>
      </c>
      <c r="C385" s="9">
        <v>12</v>
      </c>
      <c r="D385" s="10">
        <v>122.46</v>
      </c>
      <c r="E385">
        <f t="shared" si="25"/>
        <v>1</v>
      </c>
      <c r="F385">
        <f t="shared" si="26"/>
        <v>5</v>
      </c>
      <c r="G385">
        <f t="shared" si="27"/>
        <v>1</v>
      </c>
      <c r="H385" s="3" t="str">
        <f t="shared" si="28"/>
        <v>151</v>
      </c>
      <c r="I385" t="str">
        <f t="shared" si="29"/>
        <v>About To Sleep</v>
      </c>
    </row>
    <row r="386" spans="1:9" x14ac:dyDescent="0.25">
      <c r="A386" s="9" t="s">
        <v>853</v>
      </c>
      <c r="B386" s="9">
        <v>646</v>
      </c>
      <c r="C386" s="9">
        <v>8</v>
      </c>
      <c r="D386" s="10">
        <v>238.01</v>
      </c>
      <c r="E386">
        <f t="shared" si="25"/>
        <v>3</v>
      </c>
      <c r="F386">
        <f t="shared" si="26"/>
        <v>4</v>
      </c>
      <c r="G386">
        <f t="shared" si="27"/>
        <v>3</v>
      </c>
      <c r="H386" s="3" t="str">
        <f t="shared" si="28"/>
        <v>343</v>
      </c>
      <c r="I386" t="str">
        <f t="shared" si="29"/>
        <v>Others</v>
      </c>
    </row>
    <row r="387" spans="1:9" x14ac:dyDescent="0.25">
      <c r="A387" s="9" t="s">
        <v>855</v>
      </c>
      <c r="B387" s="9">
        <v>733</v>
      </c>
      <c r="C387" s="9">
        <v>4</v>
      </c>
      <c r="D387" s="10">
        <v>490.34</v>
      </c>
      <c r="E387">
        <f t="shared" ref="E387:E450" si="30">IF(B387 &lt;= _xlfn.PERCENTILE.INC($B$2:$B$1001, 0.2), 5,
 IF(B387 &lt;= _xlfn.PERCENTILE.INC($B$2:$B$1001, 0.4), 4,
 IF(B387 &lt;= _xlfn.PERCENTILE.INC($B$2:$B$1001, 0.6), 3,
 IF(B387 &lt;= _xlfn.PERCENTILE.INC($B$2:$B$1001, 0.8), 2, 1))))</f>
        <v>2</v>
      </c>
      <c r="F387">
        <f t="shared" ref="F387:F450" si="31">IF(C387 &gt;= _xlfn.PERCENTILE.INC($C$2:$C$1001, 0.8), 5,
 IF(C387 &gt;= _xlfn.PERCENTILE.INC($C$2:$C$1001, 0.6), 4,
 IF(C387 &gt;= _xlfn.PERCENTILE.INC($C$2:$C$1001, 0.4), 3,
 IF(C387 &gt;= _xlfn.PERCENTILE.INC($C$2:$C$1001, 0.2), 2, 1))))</f>
        <v>2</v>
      </c>
      <c r="G387">
        <f t="shared" ref="G387:G450" si="32">IF(D387 &gt;= _xlfn.PERCENTILE.INC($D$2:$D$1001, 0.8), 5,
 IF(D387 &gt;= _xlfn.PERCENTILE.INC($D$2:$D$1001, 0.6), 4,
 IF(D387 &gt;= _xlfn.PERCENTILE.INC($D$2:$D$1001, 0.4), 3,
 IF(D387 &gt;= _xlfn.PERCENTILE.INC($D$2:$D$1001, 0.2), 2, 1))))</f>
        <v>5</v>
      </c>
      <c r="H387" s="3" t="str">
        <f t="shared" ref="H387:H450" si="33">TEXT(E387,"0") &amp; TEXT(F387,"0") &amp; TEXT(G387,"0")</f>
        <v>225</v>
      </c>
      <c r="I387" t="str">
        <f t="shared" ref="I387:I450" si="34">IF(AND(E387&gt;=4, F387&gt;=4, G387&gt;=4), "Champion",
 IF(AND(F387&gt;=4, G387&gt;=4), "Loyal Customer",
 IF(AND(E387&gt;=4, F387&gt;=3), "Potential Loyalist",
 IF(G387&gt;=4, "Big Spender",
 IF(AND(E387&lt;=2, F387&lt;=2), "At Risk",
 IF(E387&lt;=2, "About To Sleep",
 IF(AND(F387&lt;=2, G387&lt;=2), "Lost Customer", "Others")))))))</f>
        <v>Big Spender</v>
      </c>
    </row>
    <row r="388" spans="1:9" x14ac:dyDescent="0.25">
      <c r="A388" s="9" t="s">
        <v>857</v>
      </c>
      <c r="B388" s="9">
        <v>507</v>
      </c>
      <c r="C388" s="9">
        <v>4</v>
      </c>
      <c r="D388" s="10">
        <v>245.98</v>
      </c>
      <c r="E388">
        <f t="shared" si="30"/>
        <v>5</v>
      </c>
      <c r="F388">
        <f t="shared" si="31"/>
        <v>2</v>
      </c>
      <c r="G388">
        <f t="shared" si="32"/>
        <v>3</v>
      </c>
      <c r="H388" s="3" t="str">
        <f t="shared" si="33"/>
        <v>523</v>
      </c>
      <c r="I388" t="str">
        <f t="shared" si="34"/>
        <v>Others</v>
      </c>
    </row>
    <row r="389" spans="1:9" x14ac:dyDescent="0.25">
      <c r="A389" s="9" t="s">
        <v>859</v>
      </c>
      <c r="B389" s="9">
        <v>539</v>
      </c>
      <c r="C389" s="9">
        <v>9</v>
      </c>
      <c r="D389" s="10">
        <v>390.83</v>
      </c>
      <c r="E389">
        <f t="shared" si="30"/>
        <v>5</v>
      </c>
      <c r="F389">
        <f t="shared" si="31"/>
        <v>4</v>
      </c>
      <c r="G389">
        <f t="shared" si="32"/>
        <v>4</v>
      </c>
      <c r="H389" s="3" t="str">
        <f t="shared" si="33"/>
        <v>544</v>
      </c>
      <c r="I389" t="str">
        <f t="shared" si="34"/>
        <v>Champion</v>
      </c>
    </row>
    <row r="390" spans="1:9" x14ac:dyDescent="0.25">
      <c r="A390" s="9" t="s">
        <v>861</v>
      </c>
      <c r="B390" s="9">
        <v>647</v>
      </c>
      <c r="C390" s="9">
        <v>6</v>
      </c>
      <c r="D390" s="10">
        <v>158.84</v>
      </c>
      <c r="E390">
        <f t="shared" si="30"/>
        <v>3</v>
      </c>
      <c r="F390">
        <f t="shared" si="31"/>
        <v>3</v>
      </c>
      <c r="G390">
        <f t="shared" si="32"/>
        <v>2</v>
      </c>
      <c r="H390" s="3" t="str">
        <f t="shared" si="33"/>
        <v>332</v>
      </c>
      <c r="I390" t="str">
        <f t="shared" si="34"/>
        <v>Others</v>
      </c>
    </row>
    <row r="391" spans="1:9" x14ac:dyDescent="0.25">
      <c r="A391" s="9" t="s">
        <v>863</v>
      </c>
      <c r="B391" s="9">
        <v>633</v>
      </c>
      <c r="C391" s="9">
        <v>8</v>
      </c>
      <c r="D391" s="10">
        <v>439.24</v>
      </c>
      <c r="E391">
        <f t="shared" si="30"/>
        <v>3</v>
      </c>
      <c r="F391">
        <f t="shared" si="31"/>
        <v>4</v>
      </c>
      <c r="G391">
        <f t="shared" si="32"/>
        <v>5</v>
      </c>
      <c r="H391" s="3" t="str">
        <f t="shared" si="33"/>
        <v>345</v>
      </c>
      <c r="I391" t="str">
        <f t="shared" si="34"/>
        <v>Loyal Customer</v>
      </c>
    </row>
    <row r="392" spans="1:9" x14ac:dyDescent="0.25">
      <c r="A392" s="9" t="s">
        <v>865</v>
      </c>
      <c r="B392" s="9">
        <v>501</v>
      </c>
      <c r="C392" s="9">
        <v>12</v>
      </c>
      <c r="D392" s="10">
        <v>92.43</v>
      </c>
      <c r="E392">
        <f t="shared" si="30"/>
        <v>5</v>
      </c>
      <c r="F392">
        <f t="shared" si="31"/>
        <v>5</v>
      </c>
      <c r="G392">
        <f t="shared" si="32"/>
        <v>1</v>
      </c>
      <c r="H392" s="3" t="str">
        <f t="shared" si="33"/>
        <v>551</v>
      </c>
      <c r="I392" t="str">
        <f t="shared" si="34"/>
        <v>Potential Loyalist</v>
      </c>
    </row>
    <row r="393" spans="1:9" x14ac:dyDescent="0.25">
      <c r="A393" s="9" t="s">
        <v>867</v>
      </c>
      <c r="B393" s="9">
        <v>616</v>
      </c>
      <c r="C393" s="9">
        <v>9</v>
      </c>
      <c r="D393" s="10">
        <v>333.15</v>
      </c>
      <c r="E393">
        <f t="shared" si="30"/>
        <v>4</v>
      </c>
      <c r="F393">
        <f t="shared" si="31"/>
        <v>4</v>
      </c>
      <c r="G393">
        <f t="shared" si="32"/>
        <v>4</v>
      </c>
      <c r="H393" s="3" t="str">
        <f t="shared" si="33"/>
        <v>444</v>
      </c>
      <c r="I393" t="str">
        <f t="shared" si="34"/>
        <v>Champion</v>
      </c>
    </row>
    <row r="394" spans="1:9" x14ac:dyDescent="0.25">
      <c r="A394" s="9" t="s">
        <v>869</v>
      </c>
      <c r="B394" s="9">
        <v>839</v>
      </c>
      <c r="C394" s="9">
        <v>9</v>
      </c>
      <c r="D394" s="10">
        <v>64.22</v>
      </c>
      <c r="E394">
        <f t="shared" si="30"/>
        <v>1</v>
      </c>
      <c r="F394">
        <f t="shared" si="31"/>
        <v>4</v>
      </c>
      <c r="G394">
        <f t="shared" si="32"/>
        <v>1</v>
      </c>
      <c r="H394" s="3" t="str">
        <f t="shared" si="33"/>
        <v>141</v>
      </c>
      <c r="I394" t="str">
        <f t="shared" si="34"/>
        <v>About To Sleep</v>
      </c>
    </row>
    <row r="395" spans="1:9" x14ac:dyDescent="0.25">
      <c r="A395" s="9" t="s">
        <v>871</v>
      </c>
      <c r="B395" s="9">
        <v>532</v>
      </c>
      <c r="C395" s="9">
        <v>3</v>
      </c>
      <c r="D395" s="10">
        <v>290.52999999999997</v>
      </c>
      <c r="E395">
        <f t="shared" si="30"/>
        <v>5</v>
      </c>
      <c r="F395">
        <f t="shared" si="31"/>
        <v>1</v>
      </c>
      <c r="G395">
        <f t="shared" si="32"/>
        <v>3</v>
      </c>
      <c r="H395" s="3" t="str">
        <f t="shared" si="33"/>
        <v>513</v>
      </c>
      <c r="I395" t="str">
        <f t="shared" si="34"/>
        <v>Others</v>
      </c>
    </row>
    <row r="396" spans="1:9" x14ac:dyDescent="0.25">
      <c r="A396" s="9" t="s">
        <v>873</v>
      </c>
      <c r="B396" s="9">
        <v>654</v>
      </c>
      <c r="C396" s="9">
        <v>6</v>
      </c>
      <c r="D396" s="10">
        <v>251.8</v>
      </c>
      <c r="E396">
        <f t="shared" si="30"/>
        <v>3</v>
      </c>
      <c r="F396">
        <f t="shared" si="31"/>
        <v>3</v>
      </c>
      <c r="G396">
        <f t="shared" si="32"/>
        <v>3</v>
      </c>
      <c r="H396" s="3" t="str">
        <f t="shared" si="33"/>
        <v>333</v>
      </c>
      <c r="I396" t="str">
        <f t="shared" si="34"/>
        <v>Others</v>
      </c>
    </row>
    <row r="397" spans="1:9" x14ac:dyDescent="0.25">
      <c r="A397" s="9" t="s">
        <v>875</v>
      </c>
      <c r="B397" s="9">
        <v>720</v>
      </c>
      <c r="C397" s="9">
        <v>3</v>
      </c>
      <c r="D397" s="10">
        <v>480.52</v>
      </c>
      <c r="E397">
        <f t="shared" si="30"/>
        <v>2</v>
      </c>
      <c r="F397">
        <f t="shared" si="31"/>
        <v>1</v>
      </c>
      <c r="G397">
        <f t="shared" si="32"/>
        <v>5</v>
      </c>
      <c r="H397" s="3" t="str">
        <f t="shared" si="33"/>
        <v>215</v>
      </c>
      <c r="I397" t="str">
        <f t="shared" si="34"/>
        <v>Big Spender</v>
      </c>
    </row>
    <row r="398" spans="1:9" x14ac:dyDescent="0.25">
      <c r="A398" s="9" t="s">
        <v>877</v>
      </c>
      <c r="B398" s="9">
        <v>794</v>
      </c>
      <c r="C398" s="9">
        <v>10</v>
      </c>
      <c r="D398" s="10">
        <v>461.71</v>
      </c>
      <c r="E398">
        <f t="shared" si="30"/>
        <v>1</v>
      </c>
      <c r="F398">
        <f t="shared" si="31"/>
        <v>5</v>
      </c>
      <c r="G398">
        <f t="shared" si="32"/>
        <v>5</v>
      </c>
      <c r="H398" s="3" t="str">
        <f t="shared" si="33"/>
        <v>155</v>
      </c>
      <c r="I398" t="str">
        <f t="shared" si="34"/>
        <v>Loyal Customer</v>
      </c>
    </row>
    <row r="399" spans="1:9" x14ac:dyDescent="0.25">
      <c r="A399" s="9" t="s">
        <v>879</v>
      </c>
      <c r="B399" s="9">
        <v>761</v>
      </c>
      <c r="C399" s="9">
        <v>12</v>
      </c>
      <c r="D399" s="10">
        <v>288.33999999999997</v>
      </c>
      <c r="E399">
        <f t="shared" si="30"/>
        <v>2</v>
      </c>
      <c r="F399">
        <f t="shared" si="31"/>
        <v>5</v>
      </c>
      <c r="G399">
        <f t="shared" si="32"/>
        <v>3</v>
      </c>
      <c r="H399" s="3" t="str">
        <f t="shared" si="33"/>
        <v>253</v>
      </c>
      <c r="I399" t="str">
        <f t="shared" si="34"/>
        <v>About To Sleep</v>
      </c>
    </row>
    <row r="400" spans="1:9" x14ac:dyDescent="0.25">
      <c r="A400" s="9" t="s">
        <v>881</v>
      </c>
      <c r="B400" s="9">
        <v>540</v>
      </c>
      <c r="C400" s="9">
        <v>3</v>
      </c>
      <c r="D400" s="10">
        <v>194.08</v>
      </c>
      <c r="E400">
        <f t="shared" si="30"/>
        <v>5</v>
      </c>
      <c r="F400">
        <f t="shared" si="31"/>
        <v>1</v>
      </c>
      <c r="G400">
        <f t="shared" si="32"/>
        <v>2</v>
      </c>
      <c r="H400" s="3" t="str">
        <f t="shared" si="33"/>
        <v>512</v>
      </c>
      <c r="I400" t="str">
        <f t="shared" si="34"/>
        <v>Lost Customer</v>
      </c>
    </row>
    <row r="401" spans="1:9" x14ac:dyDescent="0.25">
      <c r="A401" s="9" t="s">
        <v>883</v>
      </c>
      <c r="B401" s="9">
        <v>716</v>
      </c>
      <c r="C401" s="9">
        <v>11</v>
      </c>
      <c r="D401" s="10">
        <v>198.45</v>
      </c>
      <c r="E401">
        <f t="shared" si="30"/>
        <v>2</v>
      </c>
      <c r="F401">
        <f t="shared" si="31"/>
        <v>5</v>
      </c>
      <c r="G401">
        <f t="shared" si="32"/>
        <v>2</v>
      </c>
      <c r="H401" s="3" t="str">
        <f t="shared" si="33"/>
        <v>252</v>
      </c>
      <c r="I401" t="str">
        <f t="shared" si="34"/>
        <v>About To Sleep</v>
      </c>
    </row>
    <row r="402" spans="1:9" x14ac:dyDescent="0.25">
      <c r="A402" s="9" t="s">
        <v>885</v>
      </c>
      <c r="B402" s="9">
        <v>536</v>
      </c>
      <c r="C402" s="9">
        <v>5</v>
      </c>
      <c r="D402" s="10">
        <v>216.45</v>
      </c>
      <c r="E402">
        <f t="shared" si="30"/>
        <v>5</v>
      </c>
      <c r="F402">
        <f t="shared" si="31"/>
        <v>2</v>
      </c>
      <c r="G402">
        <f t="shared" si="32"/>
        <v>2</v>
      </c>
      <c r="H402" s="3" t="str">
        <f t="shared" si="33"/>
        <v>522</v>
      </c>
      <c r="I402" t="str">
        <f t="shared" si="34"/>
        <v>Lost Customer</v>
      </c>
    </row>
    <row r="403" spans="1:9" x14ac:dyDescent="0.25">
      <c r="A403" s="9" t="s">
        <v>887</v>
      </c>
      <c r="B403" s="9">
        <v>804</v>
      </c>
      <c r="C403" s="9">
        <v>5</v>
      </c>
      <c r="D403" s="10">
        <v>358.72</v>
      </c>
      <c r="E403">
        <f t="shared" si="30"/>
        <v>1</v>
      </c>
      <c r="F403">
        <f t="shared" si="31"/>
        <v>2</v>
      </c>
      <c r="G403">
        <f t="shared" si="32"/>
        <v>4</v>
      </c>
      <c r="H403" s="3" t="str">
        <f t="shared" si="33"/>
        <v>124</v>
      </c>
      <c r="I403" t="str">
        <f t="shared" si="34"/>
        <v>Big Spender</v>
      </c>
    </row>
    <row r="404" spans="1:9" x14ac:dyDescent="0.25">
      <c r="A404" s="9" t="s">
        <v>889</v>
      </c>
      <c r="B404" s="9">
        <v>641</v>
      </c>
      <c r="C404" s="9">
        <v>9</v>
      </c>
      <c r="D404" s="10">
        <v>367.56</v>
      </c>
      <c r="E404">
        <f t="shared" si="30"/>
        <v>3</v>
      </c>
      <c r="F404">
        <f t="shared" si="31"/>
        <v>4</v>
      </c>
      <c r="G404">
        <f t="shared" si="32"/>
        <v>4</v>
      </c>
      <c r="H404" s="3" t="str">
        <f t="shared" si="33"/>
        <v>344</v>
      </c>
      <c r="I404" t="str">
        <f t="shared" si="34"/>
        <v>Loyal Customer</v>
      </c>
    </row>
    <row r="405" spans="1:9" x14ac:dyDescent="0.25">
      <c r="A405" s="9" t="s">
        <v>891</v>
      </c>
      <c r="B405" s="9">
        <v>835</v>
      </c>
      <c r="C405" s="9">
        <v>10</v>
      </c>
      <c r="D405" s="10">
        <v>88.78</v>
      </c>
      <c r="E405">
        <f t="shared" si="30"/>
        <v>1</v>
      </c>
      <c r="F405">
        <f t="shared" si="31"/>
        <v>5</v>
      </c>
      <c r="G405">
        <f t="shared" si="32"/>
        <v>1</v>
      </c>
      <c r="H405" s="3" t="str">
        <f t="shared" si="33"/>
        <v>151</v>
      </c>
      <c r="I405" t="str">
        <f t="shared" si="34"/>
        <v>About To Sleep</v>
      </c>
    </row>
    <row r="406" spans="1:9" x14ac:dyDescent="0.25">
      <c r="A406" s="9" t="s">
        <v>893</v>
      </c>
      <c r="B406" s="9">
        <v>746</v>
      </c>
      <c r="C406" s="9">
        <v>10</v>
      </c>
      <c r="D406" s="10">
        <v>465.85</v>
      </c>
      <c r="E406">
        <f t="shared" si="30"/>
        <v>2</v>
      </c>
      <c r="F406">
        <f t="shared" si="31"/>
        <v>5</v>
      </c>
      <c r="G406">
        <f t="shared" si="32"/>
        <v>5</v>
      </c>
      <c r="H406" s="3" t="str">
        <f t="shared" si="33"/>
        <v>255</v>
      </c>
      <c r="I406" t="str">
        <f t="shared" si="34"/>
        <v>Loyal Customer</v>
      </c>
    </row>
    <row r="407" spans="1:9" x14ac:dyDescent="0.25">
      <c r="A407" s="9" t="s">
        <v>895</v>
      </c>
      <c r="B407" s="9">
        <v>782</v>
      </c>
      <c r="C407" s="9">
        <v>3</v>
      </c>
      <c r="D407" s="10">
        <v>262.61</v>
      </c>
      <c r="E407">
        <f t="shared" si="30"/>
        <v>1</v>
      </c>
      <c r="F407">
        <f t="shared" si="31"/>
        <v>1</v>
      </c>
      <c r="G407">
        <f t="shared" si="32"/>
        <v>3</v>
      </c>
      <c r="H407" s="3" t="str">
        <f t="shared" si="33"/>
        <v>113</v>
      </c>
      <c r="I407" t="str">
        <f t="shared" si="34"/>
        <v>At Risk</v>
      </c>
    </row>
    <row r="408" spans="1:9" x14ac:dyDescent="0.25">
      <c r="A408" s="9" t="s">
        <v>897</v>
      </c>
      <c r="B408" s="9">
        <v>539</v>
      </c>
      <c r="C408" s="9">
        <v>8</v>
      </c>
      <c r="D408" s="10">
        <v>91.24</v>
      </c>
      <c r="E408">
        <f t="shared" si="30"/>
        <v>5</v>
      </c>
      <c r="F408">
        <f t="shared" si="31"/>
        <v>4</v>
      </c>
      <c r="G408">
        <f t="shared" si="32"/>
        <v>1</v>
      </c>
      <c r="H408" s="3" t="str">
        <f t="shared" si="33"/>
        <v>541</v>
      </c>
      <c r="I408" t="str">
        <f t="shared" si="34"/>
        <v>Potential Loyalist</v>
      </c>
    </row>
    <row r="409" spans="1:9" x14ac:dyDescent="0.25">
      <c r="A409" s="9" t="s">
        <v>899</v>
      </c>
      <c r="B409" s="9">
        <v>668</v>
      </c>
      <c r="C409" s="9">
        <v>5</v>
      </c>
      <c r="D409" s="10">
        <v>425.69</v>
      </c>
      <c r="E409">
        <f t="shared" si="30"/>
        <v>3</v>
      </c>
      <c r="F409">
        <f t="shared" si="31"/>
        <v>2</v>
      </c>
      <c r="G409">
        <f t="shared" si="32"/>
        <v>5</v>
      </c>
      <c r="H409" s="3" t="str">
        <f t="shared" si="33"/>
        <v>325</v>
      </c>
      <c r="I409" t="str">
        <f t="shared" si="34"/>
        <v>Big Spender</v>
      </c>
    </row>
    <row r="410" spans="1:9" x14ac:dyDescent="0.25">
      <c r="A410" s="9" t="s">
        <v>901</v>
      </c>
      <c r="B410" s="9">
        <v>683</v>
      </c>
      <c r="C410" s="9">
        <v>9</v>
      </c>
      <c r="D410" s="10">
        <v>446.11</v>
      </c>
      <c r="E410">
        <f t="shared" si="30"/>
        <v>3</v>
      </c>
      <c r="F410">
        <f t="shared" si="31"/>
        <v>4</v>
      </c>
      <c r="G410">
        <f t="shared" si="32"/>
        <v>5</v>
      </c>
      <c r="H410" s="3" t="str">
        <f t="shared" si="33"/>
        <v>345</v>
      </c>
      <c r="I410" t="str">
        <f t="shared" si="34"/>
        <v>Loyal Customer</v>
      </c>
    </row>
    <row r="411" spans="1:9" x14ac:dyDescent="0.25">
      <c r="A411" s="9" t="s">
        <v>903</v>
      </c>
      <c r="B411" s="9">
        <v>482</v>
      </c>
      <c r="C411" s="9">
        <v>8</v>
      </c>
      <c r="D411" s="10">
        <v>490.11</v>
      </c>
      <c r="E411">
        <f t="shared" si="30"/>
        <v>5</v>
      </c>
      <c r="F411">
        <f t="shared" si="31"/>
        <v>4</v>
      </c>
      <c r="G411">
        <f t="shared" si="32"/>
        <v>5</v>
      </c>
      <c r="H411" s="3" t="str">
        <f t="shared" si="33"/>
        <v>545</v>
      </c>
      <c r="I411" t="str">
        <f t="shared" si="34"/>
        <v>Champion</v>
      </c>
    </row>
    <row r="412" spans="1:9" x14ac:dyDescent="0.25">
      <c r="A412" s="9" t="s">
        <v>905</v>
      </c>
      <c r="B412" s="9">
        <v>522</v>
      </c>
      <c r="C412" s="9">
        <v>6</v>
      </c>
      <c r="D412" s="10">
        <v>403.57</v>
      </c>
      <c r="E412">
        <f t="shared" si="30"/>
        <v>5</v>
      </c>
      <c r="F412">
        <f t="shared" si="31"/>
        <v>3</v>
      </c>
      <c r="G412">
        <f t="shared" si="32"/>
        <v>4</v>
      </c>
      <c r="H412" s="3" t="str">
        <f t="shared" si="33"/>
        <v>534</v>
      </c>
      <c r="I412" t="str">
        <f t="shared" si="34"/>
        <v>Potential Loyalist</v>
      </c>
    </row>
    <row r="413" spans="1:9" x14ac:dyDescent="0.25">
      <c r="A413" s="9" t="s">
        <v>907</v>
      </c>
      <c r="B413" s="9">
        <v>488</v>
      </c>
      <c r="C413" s="9">
        <v>10</v>
      </c>
      <c r="D413" s="10">
        <v>442.15</v>
      </c>
      <c r="E413">
        <f t="shared" si="30"/>
        <v>5</v>
      </c>
      <c r="F413">
        <f t="shared" si="31"/>
        <v>5</v>
      </c>
      <c r="G413">
        <f t="shared" si="32"/>
        <v>5</v>
      </c>
      <c r="H413" s="3" t="str">
        <f t="shared" si="33"/>
        <v>555</v>
      </c>
      <c r="I413" t="str">
        <f t="shared" si="34"/>
        <v>Champion</v>
      </c>
    </row>
    <row r="414" spans="1:9" x14ac:dyDescent="0.25">
      <c r="A414" s="9" t="s">
        <v>909</v>
      </c>
      <c r="B414" s="9">
        <v>740</v>
      </c>
      <c r="C414" s="9">
        <v>5</v>
      </c>
      <c r="D414" s="10">
        <v>78.709999999999994</v>
      </c>
      <c r="E414">
        <f t="shared" si="30"/>
        <v>2</v>
      </c>
      <c r="F414">
        <f t="shared" si="31"/>
        <v>2</v>
      </c>
      <c r="G414">
        <f t="shared" si="32"/>
        <v>1</v>
      </c>
      <c r="H414" s="3" t="str">
        <f t="shared" si="33"/>
        <v>221</v>
      </c>
      <c r="I414" t="str">
        <f t="shared" si="34"/>
        <v>At Risk</v>
      </c>
    </row>
    <row r="415" spans="1:9" x14ac:dyDescent="0.25">
      <c r="A415" s="9" t="s">
        <v>911</v>
      </c>
      <c r="B415" s="9">
        <v>500</v>
      </c>
      <c r="C415" s="9">
        <v>2</v>
      </c>
      <c r="D415" s="10">
        <v>491.51</v>
      </c>
      <c r="E415">
        <f t="shared" si="30"/>
        <v>5</v>
      </c>
      <c r="F415">
        <f t="shared" si="31"/>
        <v>1</v>
      </c>
      <c r="G415">
        <f t="shared" si="32"/>
        <v>5</v>
      </c>
      <c r="H415" s="3" t="str">
        <f t="shared" si="33"/>
        <v>515</v>
      </c>
      <c r="I415" t="str">
        <f t="shared" si="34"/>
        <v>Big Spender</v>
      </c>
    </row>
    <row r="416" spans="1:9" x14ac:dyDescent="0.25">
      <c r="A416" s="9" t="s">
        <v>913</v>
      </c>
      <c r="B416" s="9">
        <v>538</v>
      </c>
      <c r="C416" s="9">
        <v>12</v>
      </c>
      <c r="D416" s="10">
        <v>457.39</v>
      </c>
      <c r="E416">
        <f t="shared" si="30"/>
        <v>5</v>
      </c>
      <c r="F416">
        <f t="shared" si="31"/>
        <v>5</v>
      </c>
      <c r="G416">
        <f t="shared" si="32"/>
        <v>5</v>
      </c>
      <c r="H416" s="3" t="str">
        <f t="shared" si="33"/>
        <v>555</v>
      </c>
      <c r="I416" t="str">
        <f t="shared" si="34"/>
        <v>Champion</v>
      </c>
    </row>
    <row r="417" spans="1:9" x14ac:dyDescent="0.25">
      <c r="A417" s="9" t="s">
        <v>915</v>
      </c>
      <c r="B417" s="9">
        <v>649</v>
      </c>
      <c r="C417" s="9">
        <v>12</v>
      </c>
      <c r="D417" s="10">
        <v>178.61</v>
      </c>
      <c r="E417">
        <f t="shared" si="30"/>
        <v>3</v>
      </c>
      <c r="F417">
        <f t="shared" si="31"/>
        <v>5</v>
      </c>
      <c r="G417">
        <f t="shared" si="32"/>
        <v>2</v>
      </c>
      <c r="H417" s="3" t="str">
        <f t="shared" si="33"/>
        <v>352</v>
      </c>
      <c r="I417" t="str">
        <f t="shared" si="34"/>
        <v>Others</v>
      </c>
    </row>
    <row r="418" spans="1:9" x14ac:dyDescent="0.25">
      <c r="A418" s="9" t="s">
        <v>917</v>
      </c>
      <c r="B418" s="9">
        <v>811</v>
      </c>
      <c r="C418" s="9">
        <v>7</v>
      </c>
      <c r="D418" s="10">
        <v>492.51</v>
      </c>
      <c r="E418">
        <f t="shared" si="30"/>
        <v>1</v>
      </c>
      <c r="F418">
        <f t="shared" si="31"/>
        <v>3</v>
      </c>
      <c r="G418">
        <f t="shared" si="32"/>
        <v>5</v>
      </c>
      <c r="H418" s="3" t="str">
        <f t="shared" si="33"/>
        <v>135</v>
      </c>
      <c r="I418" t="str">
        <f t="shared" si="34"/>
        <v>Big Spender</v>
      </c>
    </row>
    <row r="419" spans="1:9" x14ac:dyDescent="0.25">
      <c r="A419" s="9" t="s">
        <v>919</v>
      </c>
      <c r="B419" s="9">
        <v>616</v>
      </c>
      <c r="C419" s="9">
        <v>3</v>
      </c>
      <c r="D419" s="10">
        <v>411.4</v>
      </c>
      <c r="E419">
        <f t="shared" si="30"/>
        <v>4</v>
      </c>
      <c r="F419">
        <f t="shared" si="31"/>
        <v>1</v>
      </c>
      <c r="G419">
        <f t="shared" si="32"/>
        <v>4</v>
      </c>
      <c r="H419" s="3" t="str">
        <f t="shared" si="33"/>
        <v>414</v>
      </c>
      <c r="I419" t="str">
        <f t="shared" si="34"/>
        <v>Big Spender</v>
      </c>
    </row>
    <row r="420" spans="1:9" x14ac:dyDescent="0.25">
      <c r="A420" s="9" t="s">
        <v>921</v>
      </c>
      <c r="B420" s="9">
        <v>764</v>
      </c>
      <c r="C420" s="9">
        <v>11</v>
      </c>
      <c r="D420" s="10">
        <v>96.52</v>
      </c>
      <c r="E420">
        <f t="shared" si="30"/>
        <v>1</v>
      </c>
      <c r="F420">
        <f t="shared" si="31"/>
        <v>5</v>
      </c>
      <c r="G420">
        <f t="shared" si="32"/>
        <v>1</v>
      </c>
      <c r="H420" s="3" t="str">
        <f t="shared" si="33"/>
        <v>151</v>
      </c>
      <c r="I420" t="str">
        <f t="shared" si="34"/>
        <v>About To Sleep</v>
      </c>
    </row>
    <row r="421" spans="1:9" x14ac:dyDescent="0.25">
      <c r="A421" s="9" t="s">
        <v>923</v>
      </c>
      <c r="B421" s="9">
        <v>576</v>
      </c>
      <c r="C421" s="9">
        <v>6</v>
      </c>
      <c r="D421" s="10">
        <v>65.45</v>
      </c>
      <c r="E421">
        <f t="shared" si="30"/>
        <v>4</v>
      </c>
      <c r="F421">
        <f t="shared" si="31"/>
        <v>3</v>
      </c>
      <c r="G421">
        <f t="shared" si="32"/>
        <v>1</v>
      </c>
      <c r="H421" s="3" t="str">
        <f t="shared" si="33"/>
        <v>431</v>
      </c>
      <c r="I421" t="str">
        <f t="shared" si="34"/>
        <v>Potential Loyalist</v>
      </c>
    </row>
    <row r="422" spans="1:9" x14ac:dyDescent="0.25">
      <c r="A422" s="9" t="s">
        <v>925</v>
      </c>
      <c r="B422" s="9">
        <v>756</v>
      </c>
      <c r="C422" s="9">
        <v>3</v>
      </c>
      <c r="D422" s="10">
        <v>255.86</v>
      </c>
      <c r="E422">
        <f t="shared" si="30"/>
        <v>2</v>
      </c>
      <c r="F422">
        <f t="shared" si="31"/>
        <v>1</v>
      </c>
      <c r="G422">
        <f t="shared" si="32"/>
        <v>3</v>
      </c>
      <c r="H422" s="3" t="str">
        <f t="shared" si="33"/>
        <v>213</v>
      </c>
      <c r="I422" t="str">
        <f t="shared" si="34"/>
        <v>At Risk</v>
      </c>
    </row>
    <row r="423" spans="1:9" x14ac:dyDescent="0.25">
      <c r="A423" s="9" t="s">
        <v>927</v>
      </c>
      <c r="B423" s="9">
        <v>524</v>
      </c>
      <c r="C423" s="9">
        <v>10</v>
      </c>
      <c r="D423" s="10">
        <v>74.69</v>
      </c>
      <c r="E423">
        <f t="shared" si="30"/>
        <v>5</v>
      </c>
      <c r="F423">
        <f t="shared" si="31"/>
        <v>5</v>
      </c>
      <c r="G423">
        <f t="shared" si="32"/>
        <v>1</v>
      </c>
      <c r="H423" s="3" t="str">
        <f t="shared" si="33"/>
        <v>551</v>
      </c>
      <c r="I423" t="str">
        <f t="shared" si="34"/>
        <v>Potential Loyalist</v>
      </c>
    </row>
    <row r="424" spans="1:9" x14ac:dyDescent="0.25">
      <c r="A424" s="9" t="s">
        <v>929</v>
      </c>
      <c r="B424" s="9">
        <v>744</v>
      </c>
      <c r="C424" s="9">
        <v>8</v>
      </c>
      <c r="D424" s="10">
        <v>430.75</v>
      </c>
      <c r="E424">
        <f t="shared" si="30"/>
        <v>2</v>
      </c>
      <c r="F424">
        <f t="shared" si="31"/>
        <v>4</v>
      </c>
      <c r="G424">
        <f t="shared" si="32"/>
        <v>5</v>
      </c>
      <c r="H424" s="3" t="str">
        <f t="shared" si="33"/>
        <v>245</v>
      </c>
      <c r="I424" t="str">
        <f t="shared" si="34"/>
        <v>Loyal Customer</v>
      </c>
    </row>
    <row r="425" spans="1:9" x14ac:dyDescent="0.25">
      <c r="A425" s="9" t="s">
        <v>931</v>
      </c>
      <c r="B425" s="9">
        <v>513</v>
      </c>
      <c r="C425" s="9">
        <v>2</v>
      </c>
      <c r="D425" s="10">
        <v>370.17</v>
      </c>
      <c r="E425">
        <f t="shared" si="30"/>
        <v>5</v>
      </c>
      <c r="F425">
        <f t="shared" si="31"/>
        <v>1</v>
      </c>
      <c r="G425">
        <f t="shared" si="32"/>
        <v>4</v>
      </c>
      <c r="H425" s="3" t="str">
        <f t="shared" si="33"/>
        <v>514</v>
      </c>
      <c r="I425" t="str">
        <f t="shared" si="34"/>
        <v>Big Spender</v>
      </c>
    </row>
    <row r="426" spans="1:9" x14ac:dyDescent="0.25">
      <c r="A426" s="9" t="s">
        <v>933</v>
      </c>
      <c r="B426" s="9">
        <v>648</v>
      </c>
      <c r="C426" s="9">
        <v>6</v>
      </c>
      <c r="D426" s="10">
        <v>384.26</v>
      </c>
      <c r="E426">
        <f t="shared" si="30"/>
        <v>3</v>
      </c>
      <c r="F426">
        <f t="shared" si="31"/>
        <v>3</v>
      </c>
      <c r="G426">
        <f t="shared" si="32"/>
        <v>4</v>
      </c>
      <c r="H426" s="3" t="str">
        <f t="shared" si="33"/>
        <v>334</v>
      </c>
      <c r="I426" t="str">
        <f t="shared" si="34"/>
        <v>Big Spender</v>
      </c>
    </row>
    <row r="427" spans="1:9" x14ac:dyDescent="0.25">
      <c r="A427" s="9" t="s">
        <v>935</v>
      </c>
      <c r="B427" s="9">
        <v>733</v>
      </c>
      <c r="C427" s="9">
        <v>2</v>
      </c>
      <c r="D427" s="10">
        <v>128.01</v>
      </c>
      <c r="E427">
        <f t="shared" si="30"/>
        <v>2</v>
      </c>
      <c r="F427">
        <f t="shared" si="31"/>
        <v>1</v>
      </c>
      <c r="G427">
        <f t="shared" si="32"/>
        <v>1</v>
      </c>
      <c r="H427" s="3" t="str">
        <f t="shared" si="33"/>
        <v>211</v>
      </c>
      <c r="I427" t="str">
        <f t="shared" si="34"/>
        <v>At Risk</v>
      </c>
    </row>
    <row r="428" spans="1:9" x14ac:dyDescent="0.25">
      <c r="A428" s="9" t="s">
        <v>937</v>
      </c>
      <c r="B428" s="9">
        <v>583</v>
      </c>
      <c r="C428" s="9">
        <v>4</v>
      </c>
      <c r="D428" s="10">
        <v>301.39999999999998</v>
      </c>
      <c r="E428">
        <f t="shared" si="30"/>
        <v>4</v>
      </c>
      <c r="F428">
        <f t="shared" si="31"/>
        <v>2</v>
      </c>
      <c r="G428">
        <f t="shared" si="32"/>
        <v>3</v>
      </c>
      <c r="H428" s="3" t="str">
        <f t="shared" si="33"/>
        <v>423</v>
      </c>
      <c r="I428" t="str">
        <f t="shared" si="34"/>
        <v>Others</v>
      </c>
    </row>
    <row r="429" spans="1:9" x14ac:dyDescent="0.25">
      <c r="A429" s="9" t="s">
        <v>939</v>
      </c>
      <c r="B429" s="9">
        <v>620</v>
      </c>
      <c r="C429" s="9">
        <v>6</v>
      </c>
      <c r="D429" s="10">
        <v>397.25</v>
      </c>
      <c r="E429">
        <f t="shared" si="30"/>
        <v>4</v>
      </c>
      <c r="F429">
        <f t="shared" si="31"/>
        <v>3</v>
      </c>
      <c r="G429">
        <f t="shared" si="32"/>
        <v>4</v>
      </c>
      <c r="H429" s="3" t="str">
        <f t="shared" si="33"/>
        <v>434</v>
      </c>
      <c r="I429" t="str">
        <f t="shared" si="34"/>
        <v>Potential Loyalist</v>
      </c>
    </row>
    <row r="430" spans="1:9" x14ac:dyDescent="0.25">
      <c r="A430" s="9" t="s">
        <v>941</v>
      </c>
      <c r="B430" s="9">
        <v>715</v>
      </c>
      <c r="C430" s="9">
        <v>3</v>
      </c>
      <c r="D430" s="10">
        <v>96.18</v>
      </c>
      <c r="E430">
        <f t="shared" si="30"/>
        <v>2</v>
      </c>
      <c r="F430">
        <f t="shared" si="31"/>
        <v>1</v>
      </c>
      <c r="G430">
        <f t="shared" si="32"/>
        <v>1</v>
      </c>
      <c r="H430" s="3" t="str">
        <f t="shared" si="33"/>
        <v>211</v>
      </c>
      <c r="I430" t="str">
        <f t="shared" si="34"/>
        <v>At Risk</v>
      </c>
    </row>
    <row r="431" spans="1:9" x14ac:dyDescent="0.25">
      <c r="A431" s="9" t="s">
        <v>943</v>
      </c>
      <c r="B431" s="9">
        <v>795</v>
      </c>
      <c r="C431" s="9">
        <v>4</v>
      </c>
      <c r="D431" s="10">
        <v>390.44</v>
      </c>
      <c r="E431">
        <f t="shared" si="30"/>
        <v>1</v>
      </c>
      <c r="F431">
        <f t="shared" si="31"/>
        <v>2</v>
      </c>
      <c r="G431">
        <f t="shared" si="32"/>
        <v>4</v>
      </c>
      <c r="H431" s="3" t="str">
        <f t="shared" si="33"/>
        <v>124</v>
      </c>
      <c r="I431" t="str">
        <f t="shared" si="34"/>
        <v>Big Spender</v>
      </c>
    </row>
    <row r="432" spans="1:9" x14ac:dyDescent="0.25">
      <c r="A432" s="9" t="s">
        <v>945</v>
      </c>
      <c r="B432" s="9">
        <v>815</v>
      </c>
      <c r="C432" s="9">
        <v>11</v>
      </c>
      <c r="D432" s="10">
        <v>61.5</v>
      </c>
      <c r="E432">
        <f t="shared" si="30"/>
        <v>1</v>
      </c>
      <c r="F432">
        <f t="shared" si="31"/>
        <v>5</v>
      </c>
      <c r="G432">
        <f t="shared" si="32"/>
        <v>1</v>
      </c>
      <c r="H432" s="3" t="str">
        <f t="shared" si="33"/>
        <v>151</v>
      </c>
      <c r="I432" t="str">
        <f t="shared" si="34"/>
        <v>About To Sleep</v>
      </c>
    </row>
    <row r="433" spans="1:9" x14ac:dyDescent="0.25">
      <c r="A433" s="9" t="s">
        <v>947</v>
      </c>
      <c r="B433" s="9">
        <v>697</v>
      </c>
      <c r="C433" s="9">
        <v>6</v>
      </c>
      <c r="D433" s="10">
        <v>234.44</v>
      </c>
      <c r="E433">
        <f t="shared" si="30"/>
        <v>2</v>
      </c>
      <c r="F433">
        <f t="shared" si="31"/>
        <v>3</v>
      </c>
      <c r="G433">
        <f t="shared" si="32"/>
        <v>3</v>
      </c>
      <c r="H433" s="3" t="str">
        <f t="shared" si="33"/>
        <v>233</v>
      </c>
      <c r="I433" t="str">
        <f t="shared" si="34"/>
        <v>About To Sleep</v>
      </c>
    </row>
    <row r="434" spans="1:9" x14ac:dyDescent="0.25">
      <c r="A434" s="9" t="s">
        <v>949</v>
      </c>
      <c r="B434" s="9">
        <v>730</v>
      </c>
      <c r="C434" s="9">
        <v>6</v>
      </c>
      <c r="D434" s="10">
        <v>318.83999999999997</v>
      </c>
      <c r="E434">
        <f t="shared" si="30"/>
        <v>2</v>
      </c>
      <c r="F434">
        <f t="shared" si="31"/>
        <v>3</v>
      </c>
      <c r="G434">
        <f t="shared" si="32"/>
        <v>3</v>
      </c>
      <c r="H434" s="3" t="str">
        <f t="shared" si="33"/>
        <v>233</v>
      </c>
      <c r="I434" t="str">
        <f t="shared" si="34"/>
        <v>About To Sleep</v>
      </c>
    </row>
    <row r="435" spans="1:9" x14ac:dyDescent="0.25">
      <c r="A435" s="9" t="s">
        <v>951</v>
      </c>
      <c r="B435" s="9">
        <v>680</v>
      </c>
      <c r="C435" s="9">
        <v>6</v>
      </c>
      <c r="D435" s="10">
        <v>327.32</v>
      </c>
      <c r="E435">
        <f t="shared" si="30"/>
        <v>3</v>
      </c>
      <c r="F435">
        <f t="shared" si="31"/>
        <v>3</v>
      </c>
      <c r="G435">
        <f t="shared" si="32"/>
        <v>4</v>
      </c>
      <c r="H435" s="3" t="str">
        <f t="shared" si="33"/>
        <v>334</v>
      </c>
      <c r="I435" t="str">
        <f t="shared" si="34"/>
        <v>Big Spender</v>
      </c>
    </row>
    <row r="436" spans="1:9" x14ac:dyDescent="0.25">
      <c r="A436" s="9" t="s">
        <v>953</v>
      </c>
      <c r="B436" s="9">
        <v>795</v>
      </c>
      <c r="C436" s="9">
        <v>3</v>
      </c>
      <c r="D436" s="10">
        <v>475.64</v>
      </c>
      <c r="E436">
        <f t="shared" si="30"/>
        <v>1</v>
      </c>
      <c r="F436">
        <f t="shared" si="31"/>
        <v>1</v>
      </c>
      <c r="G436">
        <f t="shared" si="32"/>
        <v>5</v>
      </c>
      <c r="H436" s="3" t="str">
        <f t="shared" si="33"/>
        <v>115</v>
      </c>
      <c r="I436" t="str">
        <f t="shared" si="34"/>
        <v>Big Spender</v>
      </c>
    </row>
    <row r="437" spans="1:9" x14ac:dyDescent="0.25">
      <c r="A437" s="9" t="s">
        <v>955</v>
      </c>
      <c r="B437" s="9">
        <v>732</v>
      </c>
      <c r="C437" s="9">
        <v>9</v>
      </c>
      <c r="D437" s="10">
        <v>68.59</v>
      </c>
      <c r="E437">
        <f t="shared" si="30"/>
        <v>2</v>
      </c>
      <c r="F437">
        <f t="shared" si="31"/>
        <v>4</v>
      </c>
      <c r="G437">
        <f t="shared" si="32"/>
        <v>1</v>
      </c>
      <c r="H437" s="3" t="str">
        <f t="shared" si="33"/>
        <v>241</v>
      </c>
      <c r="I437" t="str">
        <f t="shared" si="34"/>
        <v>About To Sleep</v>
      </c>
    </row>
    <row r="438" spans="1:9" x14ac:dyDescent="0.25">
      <c r="A438" s="9" t="s">
        <v>957</v>
      </c>
      <c r="B438" s="9">
        <v>652</v>
      </c>
      <c r="C438" s="9">
        <v>12</v>
      </c>
      <c r="D438" s="10">
        <v>133.04</v>
      </c>
      <c r="E438">
        <f t="shared" si="30"/>
        <v>3</v>
      </c>
      <c r="F438">
        <f t="shared" si="31"/>
        <v>5</v>
      </c>
      <c r="G438">
        <f t="shared" si="32"/>
        <v>1</v>
      </c>
      <c r="H438" s="3" t="str">
        <f t="shared" si="33"/>
        <v>351</v>
      </c>
      <c r="I438" t="str">
        <f t="shared" si="34"/>
        <v>Others</v>
      </c>
    </row>
    <row r="439" spans="1:9" x14ac:dyDescent="0.25">
      <c r="A439" s="9" t="s">
        <v>959</v>
      </c>
      <c r="B439" s="9">
        <v>491</v>
      </c>
      <c r="C439" s="9">
        <v>9</v>
      </c>
      <c r="D439" s="10">
        <v>196.63</v>
      </c>
      <c r="E439">
        <f t="shared" si="30"/>
        <v>5</v>
      </c>
      <c r="F439">
        <f t="shared" si="31"/>
        <v>4</v>
      </c>
      <c r="G439">
        <f t="shared" si="32"/>
        <v>2</v>
      </c>
      <c r="H439" s="3" t="str">
        <f t="shared" si="33"/>
        <v>542</v>
      </c>
      <c r="I439" t="str">
        <f t="shared" si="34"/>
        <v>Potential Loyalist</v>
      </c>
    </row>
    <row r="440" spans="1:9" x14ac:dyDescent="0.25">
      <c r="A440" s="9" t="s">
        <v>961</v>
      </c>
      <c r="B440" s="9">
        <v>631</v>
      </c>
      <c r="C440" s="9">
        <v>12</v>
      </c>
      <c r="D440" s="10">
        <v>473.96</v>
      </c>
      <c r="E440">
        <f t="shared" si="30"/>
        <v>3</v>
      </c>
      <c r="F440">
        <f t="shared" si="31"/>
        <v>5</v>
      </c>
      <c r="G440">
        <f t="shared" si="32"/>
        <v>5</v>
      </c>
      <c r="H440" s="3" t="str">
        <f t="shared" si="33"/>
        <v>355</v>
      </c>
      <c r="I440" t="str">
        <f t="shared" si="34"/>
        <v>Loyal Customer</v>
      </c>
    </row>
    <row r="441" spans="1:9" x14ac:dyDescent="0.25">
      <c r="A441" s="9" t="s">
        <v>963</v>
      </c>
      <c r="B441" s="9">
        <v>817</v>
      </c>
      <c r="C441" s="9">
        <v>8</v>
      </c>
      <c r="D441" s="10">
        <v>472.52</v>
      </c>
      <c r="E441">
        <f t="shared" si="30"/>
        <v>1</v>
      </c>
      <c r="F441">
        <f t="shared" si="31"/>
        <v>4</v>
      </c>
      <c r="G441">
        <f t="shared" si="32"/>
        <v>5</v>
      </c>
      <c r="H441" s="3" t="str">
        <f t="shared" si="33"/>
        <v>145</v>
      </c>
      <c r="I441" t="str">
        <f t="shared" si="34"/>
        <v>Loyal Customer</v>
      </c>
    </row>
    <row r="442" spans="1:9" x14ac:dyDescent="0.25">
      <c r="A442" s="9" t="s">
        <v>965</v>
      </c>
      <c r="B442" s="9">
        <v>800</v>
      </c>
      <c r="C442" s="9">
        <v>9</v>
      </c>
      <c r="D442" s="10">
        <v>335.8</v>
      </c>
      <c r="E442">
        <f t="shared" si="30"/>
        <v>1</v>
      </c>
      <c r="F442">
        <f t="shared" si="31"/>
        <v>4</v>
      </c>
      <c r="G442">
        <f t="shared" si="32"/>
        <v>4</v>
      </c>
      <c r="H442" s="3" t="str">
        <f t="shared" si="33"/>
        <v>144</v>
      </c>
      <c r="I442" t="str">
        <f t="shared" si="34"/>
        <v>Loyal Customer</v>
      </c>
    </row>
    <row r="443" spans="1:9" x14ac:dyDescent="0.25">
      <c r="A443" s="9" t="s">
        <v>967</v>
      </c>
      <c r="B443" s="9">
        <v>597</v>
      </c>
      <c r="C443" s="9">
        <v>12</v>
      </c>
      <c r="D443" s="10">
        <v>85.57</v>
      </c>
      <c r="E443">
        <f t="shared" si="30"/>
        <v>4</v>
      </c>
      <c r="F443">
        <f t="shared" si="31"/>
        <v>5</v>
      </c>
      <c r="G443">
        <f t="shared" si="32"/>
        <v>1</v>
      </c>
      <c r="H443" s="3" t="str">
        <f t="shared" si="33"/>
        <v>451</v>
      </c>
      <c r="I443" t="str">
        <f t="shared" si="34"/>
        <v>Potential Loyalist</v>
      </c>
    </row>
    <row r="444" spans="1:9" x14ac:dyDescent="0.25">
      <c r="A444" s="9" t="s">
        <v>969</v>
      </c>
      <c r="B444" s="9">
        <v>643</v>
      </c>
      <c r="C444" s="9">
        <v>11</v>
      </c>
      <c r="D444" s="10">
        <v>108.5</v>
      </c>
      <c r="E444">
        <f t="shared" si="30"/>
        <v>3</v>
      </c>
      <c r="F444">
        <f t="shared" si="31"/>
        <v>5</v>
      </c>
      <c r="G444">
        <f t="shared" si="32"/>
        <v>1</v>
      </c>
      <c r="H444" s="3" t="str">
        <f t="shared" si="33"/>
        <v>351</v>
      </c>
      <c r="I444" t="str">
        <f t="shared" si="34"/>
        <v>Others</v>
      </c>
    </row>
    <row r="445" spans="1:9" x14ac:dyDescent="0.25">
      <c r="A445" s="9" t="s">
        <v>971</v>
      </c>
      <c r="B445" s="9">
        <v>640</v>
      </c>
      <c r="C445" s="9">
        <v>8</v>
      </c>
      <c r="D445" s="10">
        <v>172.5</v>
      </c>
      <c r="E445">
        <f t="shared" si="30"/>
        <v>3</v>
      </c>
      <c r="F445">
        <f t="shared" si="31"/>
        <v>4</v>
      </c>
      <c r="G445">
        <f t="shared" si="32"/>
        <v>2</v>
      </c>
      <c r="H445" s="3" t="str">
        <f t="shared" si="33"/>
        <v>342</v>
      </c>
      <c r="I445" t="str">
        <f t="shared" si="34"/>
        <v>Others</v>
      </c>
    </row>
    <row r="446" spans="1:9" x14ac:dyDescent="0.25">
      <c r="A446" s="9" t="s">
        <v>973</v>
      </c>
      <c r="B446" s="9">
        <v>703</v>
      </c>
      <c r="C446" s="9">
        <v>6</v>
      </c>
      <c r="D446" s="10">
        <v>212.8</v>
      </c>
      <c r="E446">
        <f t="shared" si="30"/>
        <v>2</v>
      </c>
      <c r="F446">
        <f t="shared" si="31"/>
        <v>3</v>
      </c>
      <c r="G446">
        <f t="shared" si="32"/>
        <v>2</v>
      </c>
      <c r="H446" s="3" t="str">
        <f t="shared" si="33"/>
        <v>232</v>
      </c>
      <c r="I446" t="str">
        <f t="shared" si="34"/>
        <v>About To Sleep</v>
      </c>
    </row>
    <row r="447" spans="1:9" x14ac:dyDescent="0.25">
      <c r="A447" s="9" t="s">
        <v>975</v>
      </c>
      <c r="B447" s="9">
        <v>721</v>
      </c>
      <c r="C447" s="9">
        <v>7</v>
      </c>
      <c r="D447" s="10">
        <v>324.41000000000003</v>
      </c>
      <c r="E447">
        <f t="shared" si="30"/>
        <v>2</v>
      </c>
      <c r="F447">
        <f t="shared" si="31"/>
        <v>3</v>
      </c>
      <c r="G447">
        <f t="shared" si="32"/>
        <v>4</v>
      </c>
      <c r="H447" s="3" t="str">
        <f t="shared" si="33"/>
        <v>234</v>
      </c>
      <c r="I447" t="str">
        <f t="shared" si="34"/>
        <v>Big Spender</v>
      </c>
    </row>
    <row r="448" spans="1:9" x14ac:dyDescent="0.25">
      <c r="A448" s="9" t="s">
        <v>977</v>
      </c>
      <c r="B448" s="9">
        <v>837</v>
      </c>
      <c r="C448" s="9">
        <v>8</v>
      </c>
      <c r="D448" s="10">
        <v>342.39</v>
      </c>
      <c r="E448">
        <f t="shared" si="30"/>
        <v>1</v>
      </c>
      <c r="F448">
        <f t="shared" si="31"/>
        <v>4</v>
      </c>
      <c r="G448">
        <f t="shared" si="32"/>
        <v>4</v>
      </c>
      <c r="H448" s="3" t="str">
        <f t="shared" si="33"/>
        <v>144</v>
      </c>
      <c r="I448" t="str">
        <f t="shared" si="34"/>
        <v>Loyal Customer</v>
      </c>
    </row>
    <row r="449" spans="1:9" x14ac:dyDescent="0.25">
      <c r="A449" s="9" t="s">
        <v>979</v>
      </c>
      <c r="B449" s="9">
        <v>529</v>
      </c>
      <c r="C449" s="9">
        <v>9</v>
      </c>
      <c r="D449" s="10">
        <v>446.86</v>
      </c>
      <c r="E449">
        <f t="shared" si="30"/>
        <v>5</v>
      </c>
      <c r="F449">
        <f t="shared" si="31"/>
        <v>4</v>
      </c>
      <c r="G449">
        <f t="shared" si="32"/>
        <v>5</v>
      </c>
      <c r="H449" s="3" t="str">
        <f t="shared" si="33"/>
        <v>545</v>
      </c>
      <c r="I449" t="str">
        <f t="shared" si="34"/>
        <v>Champion</v>
      </c>
    </row>
    <row r="450" spans="1:9" x14ac:dyDescent="0.25">
      <c r="A450" s="9" t="s">
        <v>981</v>
      </c>
      <c r="B450" s="9">
        <v>725</v>
      </c>
      <c r="C450" s="9">
        <v>3</v>
      </c>
      <c r="D450" s="10">
        <v>463.15</v>
      </c>
      <c r="E450">
        <f t="shared" si="30"/>
        <v>2</v>
      </c>
      <c r="F450">
        <f t="shared" si="31"/>
        <v>1</v>
      </c>
      <c r="G450">
        <f t="shared" si="32"/>
        <v>5</v>
      </c>
      <c r="H450" s="3" t="str">
        <f t="shared" si="33"/>
        <v>215</v>
      </c>
      <c r="I450" t="str">
        <f t="shared" si="34"/>
        <v>Big Spender</v>
      </c>
    </row>
    <row r="451" spans="1:9" x14ac:dyDescent="0.25">
      <c r="A451" s="9" t="s">
        <v>983</v>
      </c>
      <c r="B451" s="9">
        <v>564</v>
      </c>
      <c r="C451" s="9">
        <v>12</v>
      </c>
      <c r="D451" s="10">
        <v>122.99</v>
      </c>
      <c r="E451">
        <f t="shared" ref="E451:E514" si="35">IF(B451 &lt;= _xlfn.PERCENTILE.INC($B$2:$B$1001, 0.2), 5,
 IF(B451 &lt;= _xlfn.PERCENTILE.INC($B$2:$B$1001, 0.4), 4,
 IF(B451 &lt;= _xlfn.PERCENTILE.INC($B$2:$B$1001, 0.6), 3,
 IF(B451 &lt;= _xlfn.PERCENTILE.INC($B$2:$B$1001, 0.8), 2, 1))))</f>
        <v>4</v>
      </c>
      <c r="F451">
        <f t="shared" ref="F451:F514" si="36">IF(C451 &gt;= _xlfn.PERCENTILE.INC($C$2:$C$1001, 0.8), 5,
 IF(C451 &gt;= _xlfn.PERCENTILE.INC($C$2:$C$1001, 0.6), 4,
 IF(C451 &gt;= _xlfn.PERCENTILE.INC($C$2:$C$1001, 0.4), 3,
 IF(C451 &gt;= _xlfn.PERCENTILE.INC($C$2:$C$1001, 0.2), 2, 1))))</f>
        <v>5</v>
      </c>
      <c r="G451">
        <f t="shared" ref="G451:G514" si="37">IF(D451 &gt;= _xlfn.PERCENTILE.INC($D$2:$D$1001, 0.8), 5,
 IF(D451 &gt;= _xlfn.PERCENTILE.INC($D$2:$D$1001, 0.6), 4,
 IF(D451 &gt;= _xlfn.PERCENTILE.INC($D$2:$D$1001, 0.4), 3,
 IF(D451 &gt;= _xlfn.PERCENTILE.INC($D$2:$D$1001, 0.2), 2, 1))))</f>
        <v>1</v>
      </c>
      <c r="H451" s="3" t="str">
        <f t="shared" ref="H451:H514" si="38">TEXT(E451,"0") &amp; TEXT(F451,"0") &amp; TEXT(G451,"0")</f>
        <v>451</v>
      </c>
      <c r="I451" t="str">
        <f t="shared" ref="I451:I514" si="39">IF(AND(E451&gt;=4, F451&gt;=4, G451&gt;=4), "Champion",
 IF(AND(F451&gt;=4, G451&gt;=4), "Loyal Customer",
 IF(AND(E451&gt;=4, F451&gt;=3), "Potential Loyalist",
 IF(G451&gt;=4, "Big Spender",
 IF(AND(E451&lt;=2, F451&lt;=2), "At Risk",
 IF(E451&lt;=2, "About To Sleep",
 IF(AND(F451&lt;=2, G451&lt;=2), "Lost Customer", "Others")))))))</f>
        <v>Potential Loyalist</v>
      </c>
    </row>
    <row r="452" spans="1:9" x14ac:dyDescent="0.25">
      <c r="A452" s="9" t="s">
        <v>985</v>
      </c>
      <c r="B452" s="9">
        <v>621</v>
      </c>
      <c r="C452" s="9">
        <v>7</v>
      </c>
      <c r="D452" s="10">
        <v>322.39999999999998</v>
      </c>
      <c r="E452">
        <f t="shared" si="35"/>
        <v>4</v>
      </c>
      <c r="F452">
        <f t="shared" si="36"/>
        <v>3</v>
      </c>
      <c r="G452">
        <f t="shared" si="37"/>
        <v>3</v>
      </c>
      <c r="H452" s="3" t="str">
        <f t="shared" si="38"/>
        <v>433</v>
      </c>
      <c r="I452" t="str">
        <f t="shared" si="39"/>
        <v>Potential Loyalist</v>
      </c>
    </row>
    <row r="453" spans="1:9" x14ac:dyDescent="0.25">
      <c r="A453" s="9" t="s">
        <v>987</v>
      </c>
      <c r="B453" s="9">
        <v>739</v>
      </c>
      <c r="C453" s="9">
        <v>5</v>
      </c>
      <c r="D453" s="10">
        <v>73.19</v>
      </c>
      <c r="E453">
        <f t="shared" si="35"/>
        <v>2</v>
      </c>
      <c r="F453">
        <f t="shared" si="36"/>
        <v>2</v>
      </c>
      <c r="G453">
        <f t="shared" si="37"/>
        <v>1</v>
      </c>
      <c r="H453" s="3" t="str">
        <f t="shared" si="38"/>
        <v>221</v>
      </c>
      <c r="I453" t="str">
        <f t="shared" si="39"/>
        <v>At Risk</v>
      </c>
    </row>
    <row r="454" spans="1:9" x14ac:dyDescent="0.25">
      <c r="A454" s="9" t="s">
        <v>989</v>
      </c>
      <c r="B454" s="9">
        <v>725</v>
      </c>
      <c r="C454" s="9">
        <v>10</v>
      </c>
      <c r="D454" s="10">
        <v>279.08</v>
      </c>
      <c r="E454">
        <f t="shared" si="35"/>
        <v>2</v>
      </c>
      <c r="F454">
        <f t="shared" si="36"/>
        <v>5</v>
      </c>
      <c r="G454">
        <f t="shared" si="37"/>
        <v>3</v>
      </c>
      <c r="H454" s="3" t="str">
        <f t="shared" si="38"/>
        <v>253</v>
      </c>
      <c r="I454" t="str">
        <f t="shared" si="39"/>
        <v>About To Sleep</v>
      </c>
    </row>
    <row r="455" spans="1:9" x14ac:dyDescent="0.25">
      <c r="A455" s="9" t="s">
        <v>990</v>
      </c>
      <c r="B455" s="9">
        <v>722</v>
      </c>
      <c r="C455" s="9">
        <v>10</v>
      </c>
      <c r="D455" s="10">
        <v>478.85</v>
      </c>
      <c r="E455">
        <f t="shared" si="35"/>
        <v>2</v>
      </c>
      <c r="F455">
        <f t="shared" si="36"/>
        <v>5</v>
      </c>
      <c r="G455">
        <f t="shared" si="37"/>
        <v>5</v>
      </c>
      <c r="H455" s="3" t="str">
        <f t="shared" si="38"/>
        <v>255</v>
      </c>
      <c r="I455" t="str">
        <f t="shared" si="39"/>
        <v>Loyal Customer</v>
      </c>
    </row>
    <row r="456" spans="1:9" x14ac:dyDescent="0.25">
      <c r="A456" s="9" t="s">
        <v>992</v>
      </c>
      <c r="B456" s="9">
        <v>588</v>
      </c>
      <c r="C456" s="9">
        <v>5</v>
      </c>
      <c r="D456" s="10">
        <v>86.39</v>
      </c>
      <c r="E456">
        <f t="shared" si="35"/>
        <v>4</v>
      </c>
      <c r="F456">
        <f t="shared" si="36"/>
        <v>2</v>
      </c>
      <c r="G456">
        <f t="shared" si="37"/>
        <v>1</v>
      </c>
      <c r="H456" s="3" t="str">
        <f t="shared" si="38"/>
        <v>421</v>
      </c>
      <c r="I456" t="str">
        <f t="shared" si="39"/>
        <v>Lost Customer</v>
      </c>
    </row>
    <row r="457" spans="1:9" x14ac:dyDescent="0.25">
      <c r="A457" s="9" t="s">
        <v>994</v>
      </c>
      <c r="B457" s="9">
        <v>712</v>
      </c>
      <c r="C457" s="9">
        <v>11</v>
      </c>
      <c r="D457" s="10">
        <v>192.35</v>
      </c>
      <c r="E457">
        <f t="shared" si="35"/>
        <v>2</v>
      </c>
      <c r="F457">
        <f t="shared" si="36"/>
        <v>5</v>
      </c>
      <c r="G457">
        <f t="shared" si="37"/>
        <v>2</v>
      </c>
      <c r="H457" s="3" t="str">
        <f t="shared" si="38"/>
        <v>252</v>
      </c>
      <c r="I457" t="str">
        <f t="shared" si="39"/>
        <v>About To Sleep</v>
      </c>
    </row>
    <row r="458" spans="1:9" x14ac:dyDescent="0.25">
      <c r="A458" s="9" t="s">
        <v>996</v>
      </c>
      <c r="B458" s="9">
        <v>680</v>
      </c>
      <c r="C458" s="9">
        <v>7</v>
      </c>
      <c r="D458" s="10">
        <v>235.32</v>
      </c>
      <c r="E458">
        <f t="shared" si="35"/>
        <v>3</v>
      </c>
      <c r="F458">
        <f t="shared" si="36"/>
        <v>3</v>
      </c>
      <c r="G458">
        <f t="shared" si="37"/>
        <v>3</v>
      </c>
      <c r="H458" s="3" t="str">
        <f t="shared" si="38"/>
        <v>333</v>
      </c>
      <c r="I458" t="str">
        <f t="shared" si="39"/>
        <v>Others</v>
      </c>
    </row>
    <row r="459" spans="1:9" x14ac:dyDescent="0.25">
      <c r="A459" s="9" t="s">
        <v>998</v>
      </c>
      <c r="B459" s="9">
        <v>601</v>
      </c>
      <c r="C459" s="9">
        <v>8</v>
      </c>
      <c r="D459" s="10">
        <v>212.63</v>
      </c>
      <c r="E459">
        <f t="shared" si="35"/>
        <v>4</v>
      </c>
      <c r="F459">
        <f t="shared" si="36"/>
        <v>4</v>
      </c>
      <c r="G459">
        <f t="shared" si="37"/>
        <v>2</v>
      </c>
      <c r="H459" s="3" t="str">
        <f t="shared" si="38"/>
        <v>442</v>
      </c>
      <c r="I459" t="str">
        <f t="shared" si="39"/>
        <v>Potential Loyalist</v>
      </c>
    </row>
    <row r="460" spans="1:9" x14ac:dyDescent="0.25">
      <c r="A460" s="9" t="s">
        <v>1000</v>
      </c>
      <c r="B460" s="9">
        <v>749</v>
      </c>
      <c r="C460" s="9">
        <v>8</v>
      </c>
      <c r="D460" s="10">
        <v>246.63</v>
      </c>
      <c r="E460">
        <f t="shared" si="35"/>
        <v>2</v>
      </c>
      <c r="F460">
        <f t="shared" si="36"/>
        <v>4</v>
      </c>
      <c r="G460">
        <f t="shared" si="37"/>
        <v>3</v>
      </c>
      <c r="H460" s="3" t="str">
        <f t="shared" si="38"/>
        <v>243</v>
      </c>
      <c r="I460" t="str">
        <f t="shared" si="39"/>
        <v>About To Sleep</v>
      </c>
    </row>
    <row r="461" spans="1:9" x14ac:dyDescent="0.25">
      <c r="A461" s="9" t="s">
        <v>1002</v>
      </c>
      <c r="B461" s="9">
        <v>599</v>
      </c>
      <c r="C461" s="9">
        <v>9</v>
      </c>
      <c r="D461" s="10">
        <v>228.47</v>
      </c>
      <c r="E461">
        <f t="shared" si="35"/>
        <v>4</v>
      </c>
      <c r="F461">
        <f t="shared" si="36"/>
        <v>4</v>
      </c>
      <c r="G461">
        <f t="shared" si="37"/>
        <v>3</v>
      </c>
      <c r="H461" s="3" t="str">
        <f t="shared" si="38"/>
        <v>443</v>
      </c>
      <c r="I461" t="str">
        <f t="shared" si="39"/>
        <v>Potential Loyalist</v>
      </c>
    </row>
    <row r="462" spans="1:9" x14ac:dyDescent="0.25">
      <c r="A462" s="9" t="s">
        <v>1003</v>
      </c>
      <c r="B462" s="9">
        <v>579</v>
      </c>
      <c r="C462" s="9">
        <v>6</v>
      </c>
      <c r="D462" s="10">
        <v>343.77</v>
      </c>
      <c r="E462">
        <f t="shared" si="35"/>
        <v>4</v>
      </c>
      <c r="F462">
        <f t="shared" si="36"/>
        <v>3</v>
      </c>
      <c r="G462">
        <f t="shared" si="37"/>
        <v>4</v>
      </c>
      <c r="H462" s="3" t="str">
        <f t="shared" si="38"/>
        <v>434</v>
      </c>
      <c r="I462" t="str">
        <f t="shared" si="39"/>
        <v>Potential Loyalist</v>
      </c>
    </row>
    <row r="463" spans="1:9" x14ac:dyDescent="0.25">
      <c r="A463" s="9" t="s">
        <v>1005</v>
      </c>
      <c r="B463" s="9">
        <v>592</v>
      </c>
      <c r="C463" s="9">
        <v>9</v>
      </c>
      <c r="D463" s="10">
        <v>339.32</v>
      </c>
      <c r="E463">
        <f t="shared" si="35"/>
        <v>4</v>
      </c>
      <c r="F463">
        <f t="shared" si="36"/>
        <v>4</v>
      </c>
      <c r="G463">
        <f t="shared" si="37"/>
        <v>4</v>
      </c>
      <c r="H463" s="3" t="str">
        <f t="shared" si="38"/>
        <v>444</v>
      </c>
      <c r="I463" t="str">
        <f t="shared" si="39"/>
        <v>Champion</v>
      </c>
    </row>
    <row r="464" spans="1:9" x14ac:dyDescent="0.25">
      <c r="A464" s="9" t="s">
        <v>1007</v>
      </c>
      <c r="B464" s="9">
        <v>622</v>
      </c>
      <c r="C464" s="9">
        <v>9</v>
      </c>
      <c r="D464" s="10">
        <v>327.05</v>
      </c>
      <c r="E464">
        <f t="shared" si="35"/>
        <v>4</v>
      </c>
      <c r="F464">
        <f t="shared" si="36"/>
        <v>4</v>
      </c>
      <c r="G464">
        <f t="shared" si="37"/>
        <v>4</v>
      </c>
      <c r="H464" s="3" t="str">
        <f t="shared" si="38"/>
        <v>444</v>
      </c>
      <c r="I464" t="str">
        <f t="shared" si="39"/>
        <v>Champion</v>
      </c>
    </row>
    <row r="465" spans="1:9" x14ac:dyDescent="0.25">
      <c r="A465" s="9" t="s">
        <v>1009</v>
      </c>
      <c r="B465" s="9">
        <v>671</v>
      </c>
      <c r="C465" s="9">
        <v>2</v>
      </c>
      <c r="D465" s="10">
        <v>334.45</v>
      </c>
      <c r="E465">
        <f t="shared" si="35"/>
        <v>3</v>
      </c>
      <c r="F465">
        <f t="shared" si="36"/>
        <v>1</v>
      </c>
      <c r="G465">
        <f t="shared" si="37"/>
        <v>4</v>
      </c>
      <c r="H465" s="3" t="str">
        <f t="shared" si="38"/>
        <v>314</v>
      </c>
      <c r="I465" t="str">
        <f t="shared" si="39"/>
        <v>Big Spender</v>
      </c>
    </row>
    <row r="466" spans="1:9" x14ac:dyDescent="0.25">
      <c r="A466" s="9" t="s">
        <v>1011</v>
      </c>
      <c r="B466" s="9">
        <v>602</v>
      </c>
      <c r="C466" s="9">
        <v>12</v>
      </c>
      <c r="D466" s="10">
        <v>366.16</v>
      </c>
      <c r="E466">
        <f t="shared" si="35"/>
        <v>4</v>
      </c>
      <c r="F466">
        <f t="shared" si="36"/>
        <v>5</v>
      </c>
      <c r="G466">
        <f t="shared" si="37"/>
        <v>4</v>
      </c>
      <c r="H466" s="3" t="str">
        <f t="shared" si="38"/>
        <v>454</v>
      </c>
      <c r="I466" t="str">
        <f t="shared" si="39"/>
        <v>Champion</v>
      </c>
    </row>
    <row r="467" spans="1:9" x14ac:dyDescent="0.25">
      <c r="A467" s="9" t="s">
        <v>1013</v>
      </c>
      <c r="B467" s="9">
        <v>726</v>
      </c>
      <c r="C467" s="9">
        <v>8</v>
      </c>
      <c r="D467" s="10">
        <v>481.78</v>
      </c>
      <c r="E467">
        <f t="shared" si="35"/>
        <v>2</v>
      </c>
      <c r="F467">
        <f t="shared" si="36"/>
        <v>4</v>
      </c>
      <c r="G467">
        <f t="shared" si="37"/>
        <v>5</v>
      </c>
      <c r="H467" s="3" t="str">
        <f t="shared" si="38"/>
        <v>245</v>
      </c>
      <c r="I467" t="str">
        <f t="shared" si="39"/>
        <v>Loyal Customer</v>
      </c>
    </row>
    <row r="468" spans="1:9" x14ac:dyDescent="0.25">
      <c r="A468" s="9" t="s">
        <v>1015</v>
      </c>
      <c r="B468" s="9">
        <v>620</v>
      </c>
      <c r="C468" s="9">
        <v>8</v>
      </c>
      <c r="D468" s="10">
        <v>131.47999999999999</v>
      </c>
      <c r="E468">
        <f t="shared" si="35"/>
        <v>4</v>
      </c>
      <c r="F468">
        <f t="shared" si="36"/>
        <v>4</v>
      </c>
      <c r="G468">
        <f t="shared" si="37"/>
        <v>1</v>
      </c>
      <c r="H468" s="3" t="str">
        <f t="shared" si="38"/>
        <v>441</v>
      </c>
      <c r="I468" t="str">
        <f t="shared" si="39"/>
        <v>Potential Loyalist</v>
      </c>
    </row>
    <row r="469" spans="1:9" x14ac:dyDescent="0.25">
      <c r="A469" s="9" t="s">
        <v>1017</v>
      </c>
      <c r="B469" s="9">
        <v>592</v>
      </c>
      <c r="C469" s="9">
        <v>11</v>
      </c>
      <c r="D469" s="10">
        <v>402.86</v>
      </c>
      <c r="E469">
        <f t="shared" si="35"/>
        <v>4</v>
      </c>
      <c r="F469">
        <f t="shared" si="36"/>
        <v>5</v>
      </c>
      <c r="G469">
        <f t="shared" si="37"/>
        <v>4</v>
      </c>
      <c r="H469" s="3" t="str">
        <f t="shared" si="38"/>
        <v>454</v>
      </c>
      <c r="I469" t="str">
        <f t="shared" si="39"/>
        <v>Champion</v>
      </c>
    </row>
    <row r="470" spans="1:9" x14ac:dyDescent="0.25">
      <c r="A470" s="9" t="s">
        <v>1019</v>
      </c>
      <c r="B470" s="9">
        <v>734</v>
      </c>
      <c r="C470" s="9">
        <v>6</v>
      </c>
      <c r="D470" s="10">
        <v>333.18</v>
      </c>
      <c r="E470">
        <f t="shared" si="35"/>
        <v>2</v>
      </c>
      <c r="F470">
        <f t="shared" si="36"/>
        <v>3</v>
      </c>
      <c r="G470">
        <f t="shared" si="37"/>
        <v>4</v>
      </c>
      <c r="H470" s="3" t="str">
        <f t="shared" si="38"/>
        <v>234</v>
      </c>
      <c r="I470" t="str">
        <f t="shared" si="39"/>
        <v>Big Spender</v>
      </c>
    </row>
    <row r="471" spans="1:9" x14ac:dyDescent="0.25">
      <c r="A471" s="9" t="s">
        <v>1021</v>
      </c>
      <c r="B471" s="9">
        <v>642</v>
      </c>
      <c r="C471" s="9">
        <v>8</v>
      </c>
      <c r="D471" s="10">
        <v>73.23</v>
      </c>
      <c r="E471">
        <f t="shared" si="35"/>
        <v>3</v>
      </c>
      <c r="F471">
        <f t="shared" si="36"/>
        <v>4</v>
      </c>
      <c r="G471">
        <f t="shared" si="37"/>
        <v>1</v>
      </c>
      <c r="H471" s="3" t="str">
        <f t="shared" si="38"/>
        <v>341</v>
      </c>
      <c r="I471" t="str">
        <f t="shared" si="39"/>
        <v>Others</v>
      </c>
    </row>
    <row r="472" spans="1:9" x14ac:dyDescent="0.25">
      <c r="A472" s="9" t="s">
        <v>1023</v>
      </c>
      <c r="B472" s="9">
        <v>763</v>
      </c>
      <c r="C472" s="9">
        <v>11</v>
      </c>
      <c r="D472" s="10">
        <v>450.47</v>
      </c>
      <c r="E472">
        <f t="shared" si="35"/>
        <v>1</v>
      </c>
      <c r="F472">
        <f t="shared" si="36"/>
        <v>5</v>
      </c>
      <c r="G472">
        <f t="shared" si="37"/>
        <v>5</v>
      </c>
      <c r="H472" s="3" t="str">
        <f t="shared" si="38"/>
        <v>155</v>
      </c>
      <c r="I472" t="str">
        <f t="shared" si="39"/>
        <v>Loyal Customer</v>
      </c>
    </row>
    <row r="473" spans="1:9" x14ac:dyDescent="0.25">
      <c r="A473" s="9" t="s">
        <v>1025</v>
      </c>
      <c r="B473" s="9">
        <v>641</v>
      </c>
      <c r="C473" s="9">
        <v>5</v>
      </c>
      <c r="D473" s="10">
        <v>175.74</v>
      </c>
      <c r="E473">
        <f t="shared" si="35"/>
        <v>3</v>
      </c>
      <c r="F473">
        <f t="shared" si="36"/>
        <v>2</v>
      </c>
      <c r="G473">
        <f t="shared" si="37"/>
        <v>2</v>
      </c>
      <c r="H473" s="3" t="str">
        <f t="shared" si="38"/>
        <v>322</v>
      </c>
      <c r="I473" t="str">
        <f t="shared" si="39"/>
        <v>Lost Customer</v>
      </c>
    </row>
    <row r="474" spans="1:9" x14ac:dyDescent="0.25">
      <c r="A474" s="9" t="s">
        <v>1027</v>
      </c>
      <c r="B474" s="9">
        <v>689</v>
      </c>
      <c r="C474" s="9">
        <v>4</v>
      </c>
      <c r="D474" s="10">
        <v>182.6</v>
      </c>
      <c r="E474">
        <f t="shared" si="35"/>
        <v>3</v>
      </c>
      <c r="F474">
        <f t="shared" si="36"/>
        <v>2</v>
      </c>
      <c r="G474">
        <f t="shared" si="37"/>
        <v>2</v>
      </c>
      <c r="H474" s="3" t="str">
        <f t="shared" si="38"/>
        <v>322</v>
      </c>
      <c r="I474" t="str">
        <f t="shared" si="39"/>
        <v>Lost Customer</v>
      </c>
    </row>
    <row r="475" spans="1:9" x14ac:dyDescent="0.25">
      <c r="A475" s="9" t="s">
        <v>1029</v>
      </c>
      <c r="B475" s="9">
        <v>820</v>
      </c>
      <c r="C475" s="9">
        <v>2</v>
      </c>
      <c r="D475" s="10">
        <v>497.8</v>
      </c>
      <c r="E475">
        <f t="shared" si="35"/>
        <v>1</v>
      </c>
      <c r="F475">
        <f t="shared" si="36"/>
        <v>1</v>
      </c>
      <c r="G475">
        <f t="shared" si="37"/>
        <v>5</v>
      </c>
      <c r="H475" s="3" t="str">
        <f t="shared" si="38"/>
        <v>115</v>
      </c>
      <c r="I475" t="str">
        <f t="shared" si="39"/>
        <v>Big Spender</v>
      </c>
    </row>
    <row r="476" spans="1:9" x14ac:dyDescent="0.25">
      <c r="A476" s="9" t="s">
        <v>1031</v>
      </c>
      <c r="B476" s="9">
        <v>674</v>
      </c>
      <c r="C476" s="9">
        <v>4</v>
      </c>
      <c r="D476" s="10">
        <v>171.17</v>
      </c>
      <c r="E476">
        <f t="shared" si="35"/>
        <v>3</v>
      </c>
      <c r="F476">
        <f t="shared" si="36"/>
        <v>2</v>
      </c>
      <c r="G476">
        <f t="shared" si="37"/>
        <v>2</v>
      </c>
      <c r="H476" s="3" t="str">
        <f t="shared" si="38"/>
        <v>322</v>
      </c>
      <c r="I476" t="str">
        <f t="shared" si="39"/>
        <v>Lost Customer</v>
      </c>
    </row>
    <row r="477" spans="1:9" x14ac:dyDescent="0.25">
      <c r="A477" s="9" t="s">
        <v>1033</v>
      </c>
      <c r="B477" s="9">
        <v>731</v>
      </c>
      <c r="C477" s="9">
        <v>3</v>
      </c>
      <c r="D477" s="10">
        <v>425.82</v>
      </c>
      <c r="E477">
        <f t="shared" si="35"/>
        <v>2</v>
      </c>
      <c r="F477">
        <f t="shared" si="36"/>
        <v>1</v>
      </c>
      <c r="G477">
        <f t="shared" si="37"/>
        <v>5</v>
      </c>
      <c r="H477" s="3" t="str">
        <f t="shared" si="38"/>
        <v>215</v>
      </c>
      <c r="I477" t="str">
        <f t="shared" si="39"/>
        <v>Big Spender</v>
      </c>
    </row>
    <row r="478" spans="1:9" x14ac:dyDescent="0.25">
      <c r="A478" s="9" t="s">
        <v>1035</v>
      </c>
      <c r="B478" s="9">
        <v>585</v>
      </c>
      <c r="C478" s="9">
        <v>10</v>
      </c>
      <c r="D478" s="10">
        <v>210.58</v>
      </c>
      <c r="E478">
        <f t="shared" si="35"/>
        <v>4</v>
      </c>
      <c r="F478">
        <f t="shared" si="36"/>
        <v>5</v>
      </c>
      <c r="G478">
        <f t="shared" si="37"/>
        <v>2</v>
      </c>
      <c r="H478" s="3" t="str">
        <f t="shared" si="38"/>
        <v>452</v>
      </c>
      <c r="I478" t="str">
        <f t="shared" si="39"/>
        <v>Potential Loyalist</v>
      </c>
    </row>
    <row r="479" spans="1:9" x14ac:dyDescent="0.25">
      <c r="A479" s="9" t="s">
        <v>1037</v>
      </c>
      <c r="B479" s="9">
        <v>593</v>
      </c>
      <c r="C479" s="9">
        <v>11</v>
      </c>
      <c r="D479" s="10">
        <v>199.64</v>
      </c>
      <c r="E479">
        <f t="shared" si="35"/>
        <v>4</v>
      </c>
      <c r="F479">
        <f t="shared" si="36"/>
        <v>5</v>
      </c>
      <c r="G479">
        <f t="shared" si="37"/>
        <v>2</v>
      </c>
      <c r="H479" s="3" t="str">
        <f t="shared" si="38"/>
        <v>452</v>
      </c>
      <c r="I479" t="str">
        <f t="shared" si="39"/>
        <v>Potential Loyalist</v>
      </c>
    </row>
    <row r="480" spans="1:9" x14ac:dyDescent="0.25">
      <c r="A480" s="9" t="s">
        <v>1039</v>
      </c>
      <c r="B480" s="9">
        <v>722</v>
      </c>
      <c r="C480" s="9">
        <v>10</v>
      </c>
      <c r="D480" s="10">
        <v>162.22</v>
      </c>
      <c r="E480">
        <f t="shared" si="35"/>
        <v>2</v>
      </c>
      <c r="F480">
        <f t="shared" si="36"/>
        <v>5</v>
      </c>
      <c r="G480">
        <f t="shared" si="37"/>
        <v>2</v>
      </c>
      <c r="H480" s="3" t="str">
        <f t="shared" si="38"/>
        <v>252</v>
      </c>
      <c r="I480" t="str">
        <f t="shared" si="39"/>
        <v>About To Sleep</v>
      </c>
    </row>
    <row r="481" spans="1:9" x14ac:dyDescent="0.25">
      <c r="A481" s="9" t="s">
        <v>1041</v>
      </c>
      <c r="B481" s="9">
        <v>498</v>
      </c>
      <c r="C481" s="9">
        <v>8</v>
      </c>
      <c r="D481" s="10">
        <v>401.75</v>
      </c>
      <c r="E481">
        <f t="shared" si="35"/>
        <v>5</v>
      </c>
      <c r="F481">
        <f t="shared" si="36"/>
        <v>4</v>
      </c>
      <c r="G481">
        <f t="shared" si="37"/>
        <v>4</v>
      </c>
      <c r="H481" s="3" t="str">
        <f t="shared" si="38"/>
        <v>544</v>
      </c>
      <c r="I481" t="str">
        <f t="shared" si="39"/>
        <v>Champion</v>
      </c>
    </row>
    <row r="482" spans="1:9" x14ac:dyDescent="0.25">
      <c r="A482" s="9" t="s">
        <v>1043</v>
      </c>
      <c r="B482" s="9">
        <v>531</v>
      </c>
      <c r="C482" s="9">
        <v>12</v>
      </c>
      <c r="D482" s="10">
        <v>365.88</v>
      </c>
      <c r="E482">
        <f t="shared" si="35"/>
        <v>5</v>
      </c>
      <c r="F482">
        <f t="shared" si="36"/>
        <v>5</v>
      </c>
      <c r="G482">
        <f t="shared" si="37"/>
        <v>4</v>
      </c>
      <c r="H482" s="3" t="str">
        <f t="shared" si="38"/>
        <v>554</v>
      </c>
      <c r="I482" t="str">
        <f t="shared" si="39"/>
        <v>Champion</v>
      </c>
    </row>
    <row r="483" spans="1:9" x14ac:dyDescent="0.25">
      <c r="A483" s="9" t="s">
        <v>1045</v>
      </c>
      <c r="B483" s="9">
        <v>797</v>
      </c>
      <c r="C483" s="9">
        <v>6</v>
      </c>
      <c r="D483" s="10">
        <v>58.29</v>
      </c>
      <c r="E483">
        <f t="shared" si="35"/>
        <v>1</v>
      </c>
      <c r="F483">
        <f t="shared" si="36"/>
        <v>3</v>
      </c>
      <c r="G483">
        <f t="shared" si="37"/>
        <v>1</v>
      </c>
      <c r="H483" s="3" t="str">
        <f t="shared" si="38"/>
        <v>131</v>
      </c>
      <c r="I483" t="str">
        <f t="shared" si="39"/>
        <v>About To Sleep</v>
      </c>
    </row>
    <row r="484" spans="1:9" x14ac:dyDescent="0.25">
      <c r="A484" s="9" t="s">
        <v>1047</v>
      </c>
      <c r="B484" s="9">
        <v>816</v>
      </c>
      <c r="C484" s="9">
        <v>3</v>
      </c>
      <c r="D484" s="10">
        <v>66.86</v>
      </c>
      <c r="E484">
        <f t="shared" si="35"/>
        <v>1</v>
      </c>
      <c r="F484">
        <f t="shared" si="36"/>
        <v>1</v>
      </c>
      <c r="G484">
        <f t="shared" si="37"/>
        <v>1</v>
      </c>
      <c r="H484" s="3" t="str">
        <f t="shared" si="38"/>
        <v>111</v>
      </c>
      <c r="I484" t="str">
        <f t="shared" si="39"/>
        <v>At Risk</v>
      </c>
    </row>
    <row r="485" spans="1:9" x14ac:dyDescent="0.25">
      <c r="A485" s="9" t="s">
        <v>1048</v>
      </c>
      <c r="B485" s="9">
        <v>606</v>
      </c>
      <c r="C485" s="9">
        <v>5</v>
      </c>
      <c r="D485" s="10">
        <v>279.33999999999997</v>
      </c>
      <c r="E485">
        <f t="shared" si="35"/>
        <v>4</v>
      </c>
      <c r="F485">
        <f t="shared" si="36"/>
        <v>2</v>
      </c>
      <c r="G485">
        <f t="shared" si="37"/>
        <v>3</v>
      </c>
      <c r="H485" s="3" t="str">
        <f t="shared" si="38"/>
        <v>423</v>
      </c>
      <c r="I485" t="str">
        <f t="shared" si="39"/>
        <v>Others</v>
      </c>
    </row>
    <row r="486" spans="1:9" x14ac:dyDescent="0.25">
      <c r="A486" s="9" t="s">
        <v>1050</v>
      </c>
      <c r="B486" s="9">
        <v>522</v>
      </c>
      <c r="C486" s="9">
        <v>3</v>
      </c>
      <c r="D486" s="10">
        <v>358.5</v>
      </c>
      <c r="E486">
        <f t="shared" si="35"/>
        <v>5</v>
      </c>
      <c r="F486">
        <f t="shared" si="36"/>
        <v>1</v>
      </c>
      <c r="G486">
        <f t="shared" si="37"/>
        <v>4</v>
      </c>
      <c r="H486" s="3" t="str">
        <f t="shared" si="38"/>
        <v>514</v>
      </c>
      <c r="I486" t="str">
        <f t="shared" si="39"/>
        <v>Big Spender</v>
      </c>
    </row>
    <row r="487" spans="1:9" x14ac:dyDescent="0.25">
      <c r="A487" s="9" t="s">
        <v>1052</v>
      </c>
      <c r="B487" s="9">
        <v>526</v>
      </c>
      <c r="C487" s="9">
        <v>7</v>
      </c>
      <c r="D487" s="10">
        <v>360.92</v>
      </c>
      <c r="E487">
        <f t="shared" si="35"/>
        <v>5</v>
      </c>
      <c r="F487">
        <f t="shared" si="36"/>
        <v>3</v>
      </c>
      <c r="G487">
        <f t="shared" si="37"/>
        <v>4</v>
      </c>
      <c r="H487" s="3" t="str">
        <f t="shared" si="38"/>
        <v>534</v>
      </c>
      <c r="I487" t="str">
        <f t="shared" si="39"/>
        <v>Potential Loyalist</v>
      </c>
    </row>
    <row r="488" spans="1:9" x14ac:dyDescent="0.25">
      <c r="A488" s="9" t="s">
        <v>1054</v>
      </c>
      <c r="B488" s="9">
        <v>564</v>
      </c>
      <c r="C488" s="9">
        <v>4</v>
      </c>
      <c r="D488" s="10">
        <v>374.36</v>
      </c>
      <c r="E488">
        <f t="shared" si="35"/>
        <v>4</v>
      </c>
      <c r="F488">
        <f t="shared" si="36"/>
        <v>2</v>
      </c>
      <c r="G488">
        <f t="shared" si="37"/>
        <v>4</v>
      </c>
      <c r="H488" s="3" t="str">
        <f t="shared" si="38"/>
        <v>424</v>
      </c>
      <c r="I488" t="str">
        <f t="shared" si="39"/>
        <v>Big Spender</v>
      </c>
    </row>
    <row r="489" spans="1:9" x14ac:dyDescent="0.25">
      <c r="A489" s="9" t="s">
        <v>1056</v>
      </c>
      <c r="B489" s="9">
        <v>598</v>
      </c>
      <c r="C489" s="9">
        <v>11</v>
      </c>
      <c r="D489" s="10">
        <v>435.37</v>
      </c>
      <c r="E489">
        <f t="shared" si="35"/>
        <v>4</v>
      </c>
      <c r="F489">
        <f t="shared" si="36"/>
        <v>5</v>
      </c>
      <c r="G489">
        <f t="shared" si="37"/>
        <v>5</v>
      </c>
      <c r="H489" s="3" t="str">
        <f t="shared" si="38"/>
        <v>455</v>
      </c>
      <c r="I489" t="str">
        <f t="shared" si="39"/>
        <v>Champion</v>
      </c>
    </row>
    <row r="490" spans="1:9" x14ac:dyDescent="0.25">
      <c r="A490" s="9" t="s">
        <v>1058</v>
      </c>
      <c r="B490" s="9">
        <v>558</v>
      </c>
      <c r="C490" s="9">
        <v>9</v>
      </c>
      <c r="D490" s="10">
        <v>459.3</v>
      </c>
      <c r="E490">
        <f t="shared" si="35"/>
        <v>5</v>
      </c>
      <c r="F490">
        <f t="shared" si="36"/>
        <v>4</v>
      </c>
      <c r="G490">
        <f t="shared" si="37"/>
        <v>5</v>
      </c>
      <c r="H490" s="3" t="str">
        <f t="shared" si="38"/>
        <v>545</v>
      </c>
      <c r="I490" t="str">
        <f t="shared" si="39"/>
        <v>Champion</v>
      </c>
    </row>
    <row r="491" spans="1:9" x14ac:dyDescent="0.25">
      <c r="A491" s="9" t="s">
        <v>1060</v>
      </c>
      <c r="B491" s="9">
        <v>534</v>
      </c>
      <c r="C491" s="9">
        <v>2</v>
      </c>
      <c r="D491" s="10">
        <v>426.89</v>
      </c>
      <c r="E491">
        <f t="shared" si="35"/>
        <v>5</v>
      </c>
      <c r="F491">
        <f t="shared" si="36"/>
        <v>1</v>
      </c>
      <c r="G491">
        <f t="shared" si="37"/>
        <v>5</v>
      </c>
      <c r="H491" s="3" t="str">
        <f t="shared" si="38"/>
        <v>515</v>
      </c>
      <c r="I491" t="str">
        <f t="shared" si="39"/>
        <v>Big Spender</v>
      </c>
    </row>
    <row r="492" spans="1:9" x14ac:dyDescent="0.25">
      <c r="A492" s="9" t="s">
        <v>1062</v>
      </c>
      <c r="B492" s="9">
        <v>657</v>
      </c>
      <c r="C492" s="9">
        <v>6</v>
      </c>
      <c r="D492" s="10">
        <v>365.37</v>
      </c>
      <c r="E492">
        <f t="shared" si="35"/>
        <v>3</v>
      </c>
      <c r="F492">
        <f t="shared" si="36"/>
        <v>3</v>
      </c>
      <c r="G492">
        <f t="shared" si="37"/>
        <v>4</v>
      </c>
      <c r="H492" s="3" t="str">
        <f t="shared" si="38"/>
        <v>334</v>
      </c>
      <c r="I492" t="str">
        <f t="shared" si="39"/>
        <v>Big Spender</v>
      </c>
    </row>
    <row r="493" spans="1:9" x14ac:dyDescent="0.25">
      <c r="A493" s="9" t="s">
        <v>1064</v>
      </c>
      <c r="B493" s="9">
        <v>559</v>
      </c>
      <c r="C493" s="9">
        <v>4</v>
      </c>
      <c r="D493" s="10">
        <v>487.25</v>
      </c>
      <c r="E493">
        <f t="shared" si="35"/>
        <v>4</v>
      </c>
      <c r="F493">
        <f t="shared" si="36"/>
        <v>2</v>
      </c>
      <c r="G493">
        <f t="shared" si="37"/>
        <v>5</v>
      </c>
      <c r="H493" s="3" t="str">
        <f t="shared" si="38"/>
        <v>425</v>
      </c>
      <c r="I493" t="str">
        <f t="shared" si="39"/>
        <v>Big Spender</v>
      </c>
    </row>
    <row r="494" spans="1:9" x14ac:dyDescent="0.25">
      <c r="A494" s="9" t="s">
        <v>1066</v>
      </c>
      <c r="B494" s="9">
        <v>685</v>
      </c>
      <c r="C494" s="9">
        <v>10</v>
      </c>
      <c r="D494" s="10">
        <v>187.22</v>
      </c>
      <c r="E494">
        <f t="shared" si="35"/>
        <v>3</v>
      </c>
      <c r="F494">
        <f t="shared" si="36"/>
        <v>5</v>
      </c>
      <c r="G494">
        <f t="shared" si="37"/>
        <v>2</v>
      </c>
      <c r="H494" s="3" t="str">
        <f t="shared" si="38"/>
        <v>352</v>
      </c>
      <c r="I494" t="str">
        <f t="shared" si="39"/>
        <v>Others</v>
      </c>
    </row>
    <row r="495" spans="1:9" x14ac:dyDescent="0.25">
      <c r="A495" s="9" t="s">
        <v>1068</v>
      </c>
      <c r="B495" s="9">
        <v>615</v>
      </c>
      <c r="C495" s="9">
        <v>7</v>
      </c>
      <c r="D495" s="10">
        <v>396.82</v>
      </c>
      <c r="E495">
        <f t="shared" si="35"/>
        <v>4</v>
      </c>
      <c r="F495">
        <f t="shared" si="36"/>
        <v>3</v>
      </c>
      <c r="G495">
        <f t="shared" si="37"/>
        <v>4</v>
      </c>
      <c r="H495" s="3" t="str">
        <f t="shared" si="38"/>
        <v>434</v>
      </c>
      <c r="I495" t="str">
        <f t="shared" si="39"/>
        <v>Potential Loyalist</v>
      </c>
    </row>
    <row r="496" spans="1:9" x14ac:dyDescent="0.25">
      <c r="A496" s="9" t="s">
        <v>1070</v>
      </c>
      <c r="B496" s="9">
        <v>754</v>
      </c>
      <c r="C496" s="9">
        <v>10</v>
      </c>
      <c r="D496" s="10">
        <v>246.74</v>
      </c>
      <c r="E496">
        <f t="shared" si="35"/>
        <v>2</v>
      </c>
      <c r="F496">
        <f t="shared" si="36"/>
        <v>5</v>
      </c>
      <c r="G496">
        <f t="shared" si="37"/>
        <v>3</v>
      </c>
      <c r="H496" s="3" t="str">
        <f t="shared" si="38"/>
        <v>253</v>
      </c>
      <c r="I496" t="str">
        <f t="shared" si="39"/>
        <v>About To Sleep</v>
      </c>
    </row>
    <row r="497" spans="1:9" x14ac:dyDescent="0.25">
      <c r="A497" s="9" t="s">
        <v>1072</v>
      </c>
      <c r="B497" s="9">
        <v>835</v>
      </c>
      <c r="C497" s="9">
        <v>12</v>
      </c>
      <c r="D497" s="10">
        <v>128.74</v>
      </c>
      <c r="E497">
        <f t="shared" si="35"/>
        <v>1</v>
      </c>
      <c r="F497">
        <f t="shared" si="36"/>
        <v>5</v>
      </c>
      <c r="G497">
        <f t="shared" si="37"/>
        <v>1</v>
      </c>
      <c r="H497" s="3" t="str">
        <f t="shared" si="38"/>
        <v>151</v>
      </c>
      <c r="I497" t="str">
        <f t="shared" si="39"/>
        <v>About To Sleep</v>
      </c>
    </row>
    <row r="498" spans="1:9" x14ac:dyDescent="0.25">
      <c r="A498" s="9" t="s">
        <v>1074</v>
      </c>
      <c r="B498" s="9">
        <v>602</v>
      </c>
      <c r="C498" s="9">
        <v>2</v>
      </c>
      <c r="D498" s="10">
        <v>339.63</v>
      </c>
      <c r="E498">
        <f t="shared" si="35"/>
        <v>4</v>
      </c>
      <c r="F498">
        <f t="shared" si="36"/>
        <v>1</v>
      </c>
      <c r="G498">
        <f t="shared" si="37"/>
        <v>4</v>
      </c>
      <c r="H498" s="3" t="str">
        <f t="shared" si="38"/>
        <v>414</v>
      </c>
      <c r="I498" t="str">
        <f t="shared" si="39"/>
        <v>Big Spender</v>
      </c>
    </row>
    <row r="499" spans="1:9" x14ac:dyDescent="0.25">
      <c r="A499" s="9" t="s">
        <v>1076</v>
      </c>
      <c r="B499" s="9">
        <v>700</v>
      </c>
      <c r="C499" s="9">
        <v>11</v>
      </c>
      <c r="D499" s="10">
        <v>223.58</v>
      </c>
      <c r="E499">
        <f t="shared" si="35"/>
        <v>2</v>
      </c>
      <c r="F499">
        <f t="shared" si="36"/>
        <v>5</v>
      </c>
      <c r="G499">
        <f t="shared" si="37"/>
        <v>2</v>
      </c>
      <c r="H499" s="3" t="str">
        <f t="shared" si="38"/>
        <v>252</v>
      </c>
      <c r="I499" t="str">
        <f t="shared" si="39"/>
        <v>About To Sleep</v>
      </c>
    </row>
    <row r="500" spans="1:9" x14ac:dyDescent="0.25">
      <c r="A500" s="9" t="s">
        <v>1078</v>
      </c>
      <c r="B500" s="9">
        <v>640</v>
      </c>
      <c r="C500" s="9">
        <v>5</v>
      </c>
      <c r="D500" s="10">
        <v>446.92</v>
      </c>
      <c r="E500">
        <f t="shared" si="35"/>
        <v>3</v>
      </c>
      <c r="F500">
        <f t="shared" si="36"/>
        <v>2</v>
      </c>
      <c r="G500">
        <f t="shared" si="37"/>
        <v>5</v>
      </c>
      <c r="H500" s="3" t="str">
        <f t="shared" si="38"/>
        <v>325</v>
      </c>
      <c r="I500" t="str">
        <f t="shared" si="39"/>
        <v>Big Spender</v>
      </c>
    </row>
    <row r="501" spans="1:9" x14ac:dyDescent="0.25">
      <c r="A501" s="9" t="s">
        <v>1080</v>
      </c>
      <c r="B501" s="9">
        <v>498</v>
      </c>
      <c r="C501" s="9">
        <v>11</v>
      </c>
      <c r="D501" s="10">
        <v>175.65</v>
      </c>
      <c r="E501">
        <f t="shared" si="35"/>
        <v>5</v>
      </c>
      <c r="F501">
        <f t="shared" si="36"/>
        <v>5</v>
      </c>
      <c r="G501">
        <f t="shared" si="37"/>
        <v>2</v>
      </c>
      <c r="H501" s="3" t="str">
        <f t="shared" si="38"/>
        <v>552</v>
      </c>
      <c r="I501" t="str">
        <f t="shared" si="39"/>
        <v>Potential Loyalist</v>
      </c>
    </row>
    <row r="502" spans="1:9" x14ac:dyDescent="0.25">
      <c r="A502" s="9" t="s">
        <v>1082</v>
      </c>
      <c r="B502" s="9">
        <v>692</v>
      </c>
      <c r="C502" s="9">
        <v>10</v>
      </c>
      <c r="D502" s="10">
        <v>491.49</v>
      </c>
      <c r="E502">
        <f t="shared" si="35"/>
        <v>3</v>
      </c>
      <c r="F502">
        <f t="shared" si="36"/>
        <v>5</v>
      </c>
      <c r="G502">
        <f t="shared" si="37"/>
        <v>5</v>
      </c>
      <c r="H502" s="3" t="str">
        <f t="shared" si="38"/>
        <v>355</v>
      </c>
      <c r="I502" t="str">
        <f t="shared" si="39"/>
        <v>Loyal Customer</v>
      </c>
    </row>
    <row r="503" spans="1:9" x14ac:dyDescent="0.25">
      <c r="A503" s="9" t="s">
        <v>1084</v>
      </c>
      <c r="B503" s="9">
        <v>694</v>
      </c>
      <c r="C503" s="9">
        <v>5</v>
      </c>
      <c r="D503" s="10">
        <v>88.4</v>
      </c>
      <c r="E503">
        <f t="shared" si="35"/>
        <v>2</v>
      </c>
      <c r="F503">
        <f t="shared" si="36"/>
        <v>2</v>
      </c>
      <c r="G503">
        <f t="shared" si="37"/>
        <v>1</v>
      </c>
      <c r="H503" s="3" t="str">
        <f t="shared" si="38"/>
        <v>221</v>
      </c>
      <c r="I503" t="str">
        <f t="shared" si="39"/>
        <v>At Risk</v>
      </c>
    </row>
    <row r="504" spans="1:9" x14ac:dyDescent="0.25">
      <c r="A504" s="9" t="s">
        <v>1086</v>
      </c>
      <c r="B504" s="9">
        <v>683</v>
      </c>
      <c r="C504" s="9">
        <v>8</v>
      </c>
      <c r="D504" s="10">
        <v>430.9</v>
      </c>
      <c r="E504">
        <f t="shared" si="35"/>
        <v>3</v>
      </c>
      <c r="F504">
        <f t="shared" si="36"/>
        <v>4</v>
      </c>
      <c r="G504">
        <f t="shared" si="37"/>
        <v>5</v>
      </c>
      <c r="H504" s="3" t="str">
        <f t="shared" si="38"/>
        <v>345</v>
      </c>
      <c r="I504" t="str">
        <f t="shared" si="39"/>
        <v>Loyal Customer</v>
      </c>
    </row>
    <row r="505" spans="1:9" x14ac:dyDescent="0.25">
      <c r="A505" s="9" t="s">
        <v>1088</v>
      </c>
      <c r="B505" s="9">
        <v>783</v>
      </c>
      <c r="C505" s="9">
        <v>2</v>
      </c>
      <c r="D505" s="10">
        <v>435.23</v>
      </c>
      <c r="E505">
        <f t="shared" si="35"/>
        <v>1</v>
      </c>
      <c r="F505">
        <f t="shared" si="36"/>
        <v>1</v>
      </c>
      <c r="G505">
        <f t="shared" si="37"/>
        <v>5</v>
      </c>
      <c r="H505" s="3" t="str">
        <f t="shared" si="38"/>
        <v>115</v>
      </c>
      <c r="I505" t="str">
        <f t="shared" si="39"/>
        <v>Big Spender</v>
      </c>
    </row>
    <row r="506" spans="1:9" x14ac:dyDescent="0.25">
      <c r="A506" s="9" t="s">
        <v>1090</v>
      </c>
      <c r="B506" s="9">
        <v>642</v>
      </c>
      <c r="C506" s="9">
        <v>3</v>
      </c>
      <c r="D506" s="10">
        <v>218.65</v>
      </c>
      <c r="E506">
        <f t="shared" si="35"/>
        <v>3</v>
      </c>
      <c r="F506">
        <f t="shared" si="36"/>
        <v>1</v>
      </c>
      <c r="G506">
        <f t="shared" si="37"/>
        <v>2</v>
      </c>
      <c r="H506" s="3" t="str">
        <f t="shared" si="38"/>
        <v>312</v>
      </c>
      <c r="I506" t="str">
        <f t="shared" si="39"/>
        <v>Lost Customer</v>
      </c>
    </row>
    <row r="507" spans="1:9" x14ac:dyDescent="0.25">
      <c r="A507" s="9" t="s">
        <v>1092</v>
      </c>
      <c r="B507" s="9">
        <v>651</v>
      </c>
      <c r="C507" s="9">
        <v>10</v>
      </c>
      <c r="D507" s="10">
        <v>207.66</v>
      </c>
      <c r="E507">
        <f t="shared" si="35"/>
        <v>3</v>
      </c>
      <c r="F507">
        <f t="shared" si="36"/>
        <v>5</v>
      </c>
      <c r="G507">
        <f t="shared" si="37"/>
        <v>2</v>
      </c>
      <c r="H507" s="3" t="str">
        <f t="shared" si="38"/>
        <v>352</v>
      </c>
      <c r="I507" t="str">
        <f t="shared" si="39"/>
        <v>Others</v>
      </c>
    </row>
    <row r="508" spans="1:9" x14ac:dyDescent="0.25">
      <c r="A508" s="9" t="s">
        <v>1094</v>
      </c>
      <c r="B508" s="9">
        <v>670</v>
      </c>
      <c r="C508" s="9">
        <v>7</v>
      </c>
      <c r="D508" s="10">
        <v>141.09</v>
      </c>
      <c r="E508">
        <f t="shared" si="35"/>
        <v>3</v>
      </c>
      <c r="F508">
        <f t="shared" si="36"/>
        <v>3</v>
      </c>
      <c r="G508">
        <f t="shared" si="37"/>
        <v>2</v>
      </c>
      <c r="H508" s="3" t="str">
        <f t="shared" si="38"/>
        <v>332</v>
      </c>
      <c r="I508" t="str">
        <f t="shared" si="39"/>
        <v>Others</v>
      </c>
    </row>
    <row r="509" spans="1:9" x14ac:dyDescent="0.25">
      <c r="A509" s="9" t="s">
        <v>1096</v>
      </c>
      <c r="B509" s="9">
        <v>703</v>
      </c>
      <c r="C509" s="9">
        <v>6</v>
      </c>
      <c r="D509" s="10">
        <v>142.69999999999999</v>
      </c>
      <c r="E509">
        <f t="shared" si="35"/>
        <v>2</v>
      </c>
      <c r="F509">
        <f t="shared" si="36"/>
        <v>3</v>
      </c>
      <c r="G509">
        <f t="shared" si="37"/>
        <v>2</v>
      </c>
      <c r="H509" s="3" t="str">
        <f t="shared" si="38"/>
        <v>232</v>
      </c>
      <c r="I509" t="str">
        <f t="shared" si="39"/>
        <v>About To Sleep</v>
      </c>
    </row>
    <row r="510" spans="1:9" x14ac:dyDescent="0.25">
      <c r="A510" s="9" t="s">
        <v>1098</v>
      </c>
      <c r="B510" s="9">
        <v>547</v>
      </c>
      <c r="C510" s="9">
        <v>10</v>
      </c>
      <c r="D510" s="10">
        <v>64.09</v>
      </c>
      <c r="E510">
        <f t="shared" si="35"/>
        <v>5</v>
      </c>
      <c r="F510">
        <f t="shared" si="36"/>
        <v>5</v>
      </c>
      <c r="G510">
        <f t="shared" si="37"/>
        <v>1</v>
      </c>
      <c r="H510" s="3" t="str">
        <f t="shared" si="38"/>
        <v>551</v>
      </c>
      <c r="I510" t="str">
        <f t="shared" si="39"/>
        <v>Potential Loyalist</v>
      </c>
    </row>
    <row r="511" spans="1:9" x14ac:dyDescent="0.25">
      <c r="A511" s="9" t="s">
        <v>1100</v>
      </c>
      <c r="B511" s="9">
        <v>578</v>
      </c>
      <c r="C511" s="9">
        <v>2</v>
      </c>
      <c r="D511" s="10">
        <v>126.26</v>
      </c>
      <c r="E511">
        <f t="shared" si="35"/>
        <v>4</v>
      </c>
      <c r="F511">
        <f t="shared" si="36"/>
        <v>1</v>
      </c>
      <c r="G511">
        <f t="shared" si="37"/>
        <v>1</v>
      </c>
      <c r="H511" s="3" t="str">
        <f t="shared" si="38"/>
        <v>411</v>
      </c>
      <c r="I511" t="str">
        <f t="shared" si="39"/>
        <v>Lost Customer</v>
      </c>
    </row>
    <row r="512" spans="1:9" x14ac:dyDescent="0.25">
      <c r="A512" s="9" t="s">
        <v>1101</v>
      </c>
      <c r="B512" s="9">
        <v>699</v>
      </c>
      <c r="C512" s="9">
        <v>5</v>
      </c>
      <c r="D512" s="10">
        <v>195.05</v>
      </c>
      <c r="E512">
        <f t="shared" si="35"/>
        <v>2</v>
      </c>
      <c r="F512">
        <f t="shared" si="36"/>
        <v>2</v>
      </c>
      <c r="G512">
        <f t="shared" si="37"/>
        <v>2</v>
      </c>
      <c r="H512" s="3" t="str">
        <f t="shared" si="38"/>
        <v>222</v>
      </c>
      <c r="I512" t="str">
        <f t="shared" si="39"/>
        <v>At Risk</v>
      </c>
    </row>
    <row r="513" spans="1:9" x14ac:dyDescent="0.25">
      <c r="A513" s="9" t="s">
        <v>1103</v>
      </c>
      <c r="B513" s="9">
        <v>805</v>
      </c>
      <c r="C513" s="9">
        <v>7</v>
      </c>
      <c r="D513" s="10">
        <v>432.84</v>
      </c>
      <c r="E513">
        <f t="shared" si="35"/>
        <v>1</v>
      </c>
      <c r="F513">
        <f t="shared" si="36"/>
        <v>3</v>
      </c>
      <c r="G513">
        <f t="shared" si="37"/>
        <v>5</v>
      </c>
      <c r="H513" s="3" t="str">
        <f t="shared" si="38"/>
        <v>135</v>
      </c>
      <c r="I513" t="str">
        <f t="shared" si="39"/>
        <v>Big Spender</v>
      </c>
    </row>
    <row r="514" spans="1:9" x14ac:dyDescent="0.25">
      <c r="A514" s="9" t="s">
        <v>1105</v>
      </c>
      <c r="B514" s="9">
        <v>781</v>
      </c>
      <c r="C514" s="9">
        <v>6</v>
      </c>
      <c r="D514" s="10">
        <v>404.12</v>
      </c>
      <c r="E514">
        <f t="shared" si="35"/>
        <v>1</v>
      </c>
      <c r="F514">
        <f t="shared" si="36"/>
        <v>3</v>
      </c>
      <c r="G514">
        <f t="shared" si="37"/>
        <v>4</v>
      </c>
      <c r="H514" s="3" t="str">
        <f t="shared" si="38"/>
        <v>134</v>
      </c>
      <c r="I514" t="str">
        <f t="shared" si="39"/>
        <v>Big Spender</v>
      </c>
    </row>
    <row r="515" spans="1:9" x14ac:dyDescent="0.25">
      <c r="A515" s="9" t="s">
        <v>1107</v>
      </c>
      <c r="B515" s="9">
        <v>655</v>
      </c>
      <c r="C515" s="9">
        <v>10</v>
      </c>
      <c r="D515" s="10">
        <v>438.26</v>
      </c>
      <c r="E515">
        <f t="shared" ref="E515:E578" si="40">IF(B515 &lt;= _xlfn.PERCENTILE.INC($B$2:$B$1001, 0.2), 5,
 IF(B515 &lt;= _xlfn.PERCENTILE.INC($B$2:$B$1001, 0.4), 4,
 IF(B515 &lt;= _xlfn.PERCENTILE.INC($B$2:$B$1001, 0.6), 3,
 IF(B515 &lt;= _xlfn.PERCENTILE.INC($B$2:$B$1001, 0.8), 2, 1))))</f>
        <v>3</v>
      </c>
      <c r="F515">
        <f t="shared" ref="F515:F578" si="41">IF(C515 &gt;= _xlfn.PERCENTILE.INC($C$2:$C$1001, 0.8), 5,
 IF(C515 &gt;= _xlfn.PERCENTILE.INC($C$2:$C$1001, 0.6), 4,
 IF(C515 &gt;= _xlfn.PERCENTILE.INC($C$2:$C$1001, 0.4), 3,
 IF(C515 &gt;= _xlfn.PERCENTILE.INC($C$2:$C$1001, 0.2), 2, 1))))</f>
        <v>5</v>
      </c>
      <c r="G515">
        <f t="shared" ref="G515:G578" si="42">IF(D515 &gt;= _xlfn.PERCENTILE.INC($D$2:$D$1001, 0.8), 5,
 IF(D515 &gt;= _xlfn.PERCENTILE.INC($D$2:$D$1001, 0.6), 4,
 IF(D515 &gt;= _xlfn.PERCENTILE.INC($D$2:$D$1001, 0.4), 3,
 IF(D515 &gt;= _xlfn.PERCENTILE.INC($D$2:$D$1001, 0.2), 2, 1))))</f>
        <v>5</v>
      </c>
      <c r="H515" s="3" t="str">
        <f t="shared" ref="H515:H578" si="43">TEXT(E515,"0") &amp; TEXT(F515,"0") &amp; TEXT(G515,"0")</f>
        <v>355</v>
      </c>
      <c r="I515" t="str">
        <f t="shared" ref="I515:I578" si="44">IF(AND(E515&gt;=4, F515&gt;=4, G515&gt;=4), "Champion",
 IF(AND(F515&gt;=4, G515&gt;=4), "Loyal Customer",
 IF(AND(E515&gt;=4, F515&gt;=3), "Potential Loyalist",
 IF(G515&gt;=4, "Big Spender",
 IF(AND(E515&lt;=2, F515&lt;=2), "At Risk",
 IF(E515&lt;=2, "About To Sleep",
 IF(AND(F515&lt;=2, G515&lt;=2), "Lost Customer", "Others")))))))</f>
        <v>Loyal Customer</v>
      </c>
    </row>
    <row r="516" spans="1:9" x14ac:dyDescent="0.25">
      <c r="A516" s="9" t="s">
        <v>1109</v>
      </c>
      <c r="B516" s="9">
        <v>538</v>
      </c>
      <c r="C516" s="9">
        <v>4</v>
      </c>
      <c r="D516" s="10">
        <v>233.02</v>
      </c>
      <c r="E516">
        <f t="shared" si="40"/>
        <v>5</v>
      </c>
      <c r="F516">
        <f t="shared" si="41"/>
        <v>2</v>
      </c>
      <c r="G516">
        <f t="shared" si="42"/>
        <v>3</v>
      </c>
      <c r="H516" s="3" t="str">
        <f t="shared" si="43"/>
        <v>523</v>
      </c>
      <c r="I516" t="str">
        <f t="shared" si="44"/>
        <v>Others</v>
      </c>
    </row>
    <row r="517" spans="1:9" x14ac:dyDescent="0.25">
      <c r="A517" s="9" t="s">
        <v>1111</v>
      </c>
      <c r="B517" s="9">
        <v>550</v>
      </c>
      <c r="C517" s="9">
        <v>7</v>
      </c>
      <c r="D517" s="10">
        <v>273.41000000000003</v>
      </c>
      <c r="E517">
        <f t="shared" si="40"/>
        <v>5</v>
      </c>
      <c r="F517">
        <f t="shared" si="41"/>
        <v>3</v>
      </c>
      <c r="G517">
        <f t="shared" si="42"/>
        <v>3</v>
      </c>
      <c r="H517" s="3" t="str">
        <f t="shared" si="43"/>
        <v>533</v>
      </c>
      <c r="I517" t="str">
        <f t="shared" si="44"/>
        <v>Potential Loyalist</v>
      </c>
    </row>
    <row r="518" spans="1:9" x14ac:dyDescent="0.25">
      <c r="A518" s="9" t="s">
        <v>1113</v>
      </c>
      <c r="B518" s="9">
        <v>532</v>
      </c>
      <c r="C518" s="9">
        <v>10</v>
      </c>
      <c r="D518" s="10">
        <v>338.96</v>
      </c>
      <c r="E518">
        <f t="shared" si="40"/>
        <v>5</v>
      </c>
      <c r="F518">
        <f t="shared" si="41"/>
        <v>5</v>
      </c>
      <c r="G518">
        <f t="shared" si="42"/>
        <v>4</v>
      </c>
      <c r="H518" s="3" t="str">
        <f t="shared" si="43"/>
        <v>554</v>
      </c>
      <c r="I518" t="str">
        <f t="shared" si="44"/>
        <v>Champion</v>
      </c>
    </row>
    <row r="519" spans="1:9" x14ac:dyDescent="0.25">
      <c r="A519" s="9" t="s">
        <v>1115</v>
      </c>
      <c r="B519" s="9">
        <v>515</v>
      </c>
      <c r="C519" s="9">
        <v>12</v>
      </c>
      <c r="D519" s="10">
        <v>75.91</v>
      </c>
      <c r="E519">
        <f t="shared" si="40"/>
        <v>5</v>
      </c>
      <c r="F519">
        <f t="shared" si="41"/>
        <v>5</v>
      </c>
      <c r="G519">
        <f t="shared" si="42"/>
        <v>1</v>
      </c>
      <c r="H519" s="3" t="str">
        <f t="shared" si="43"/>
        <v>551</v>
      </c>
      <c r="I519" t="str">
        <f t="shared" si="44"/>
        <v>Potential Loyalist</v>
      </c>
    </row>
    <row r="520" spans="1:9" x14ac:dyDescent="0.25">
      <c r="A520" s="9" t="s">
        <v>1117</v>
      </c>
      <c r="B520" s="9">
        <v>756</v>
      </c>
      <c r="C520" s="9">
        <v>12</v>
      </c>
      <c r="D520" s="10">
        <v>425.21</v>
      </c>
      <c r="E520">
        <f t="shared" si="40"/>
        <v>2</v>
      </c>
      <c r="F520">
        <f t="shared" si="41"/>
        <v>5</v>
      </c>
      <c r="G520">
        <f t="shared" si="42"/>
        <v>5</v>
      </c>
      <c r="H520" s="3" t="str">
        <f t="shared" si="43"/>
        <v>255</v>
      </c>
      <c r="I520" t="str">
        <f t="shared" si="44"/>
        <v>Loyal Customer</v>
      </c>
    </row>
    <row r="521" spans="1:9" x14ac:dyDescent="0.25">
      <c r="A521" s="9" t="s">
        <v>1119</v>
      </c>
      <c r="B521" s="9">
        <v>730</v>
      </c>
      <c r="C521" s="9">
        <v>2</v>
      </c>
      <c r="D521" s="10">
        <v>268.8</v>
      </c>
      <c r="E521">
        <f t="shared" si="40"/>
        <v>2</v>
      </c>
      <c r="F521">
        <f t="shared" si="41"/>
        <v>1</v>
      </c>
      <c r="G521">
        <f t="shared" si="42"/>
        <v>3</v>
      </c>
      <c r="H521" s="3" t="str">
        <f t="shared" si="43"/>
        <v>213</v>
      </c>
      <c r="I521" t="str">
        <f t="shared" si="44"/>
        <v>At Risk</v>
      </c>
    </row>
    <row r="522" spans="1:9" x14ac:dyDescent="0.25">
      <c r="A522" s="9" t="s">
        <v>1121</v>
      </c>
      <c r="B522" s="9">
        <v>736</v>
      </c>
      <c r="C522" s="9">
        <v>10</v>
      </c>
      <c r="D522" s="10">
        <v>170.71</v>
      </c>
      <c r="E522">
        <f t="shared" si="40"/>
        <v>2</v>
      </c>
      <c r="F522">
        <f t="shared" si="41"/>
        <v>5</v>
      </c>
      <c r="G522">
        <f t="shared" si="42"/>
        <v>2</v>
      </c>
      <c r="H522" s="3" t="str">
        <f t="shared" si="43"/>
        <v>252</v>
      </c>
      <c r="I522" t="str">
        <f t="shared" si="44"/>
        <v>About To Sleep</v>
      </c>
    </row>
    <row r="523" spans="1:9" x14ac:dyDescent="0.25">
      <c r="A523" s="9" t="s">
        <v>1123</v>
      </c>
      <c r="B523" s="9">
        <v>685</v>
      </c>
      <c r="C523" s="9">
        <v>10</v>
      </c>
      <c r="D523" s="10">
        <v>444.05</v>
      </c>
      <c r="E523">
        <f t="shared" si="40"/>
        <v>3</v>
      </c>
      <c r="F523">
        <f t="shared" si="41"/>
        <v>5</v>
      </c>
      <c r="G523">
        <f t="shared" si="42"/>
        <v>5</v>
      </c>
      <c r="H523" s="3" t="str">
        <f t="shared" si="43"/>
        <v>355</v>
      </c>
      <c r="I523" t="str">
        <f t="shared" si="44"/>
        <v>Loyal Customer</v>
      </c>
    </row>
    <row r="524" spans="1:9" x14ac:dyDescent="0.25">
      <c r="A524" s="9" t="s">
        <v>1125</v>
      </c>
      <c r="B524" s="9">
        <v>813</v>
      </c>
      <c r="C524" s="9">
        <v>5</v>
      </c>
      <c r="D524" s="10">
        <v>255.1</v>
      </c>
      <c r="E524">
        <f t="shared" si="40"/>
        <v>1</v>
      </c>
      <c r="F524">
        <f t="shared" si="41"/>
        <v>2</v>
      </c>
      <c r="G524">
        <f t="shared" si="42"/>
        <v>3</v>
      </c>
      <c r="H524" s="3" t="str">
        <f t="shared" si="43"/>
        <v>123</v>
      </c>
      <c r="I524" t="str">
        <f t="shared" si="44"/>
        <v>At Risk</v>
      </c>
    </row>
    <row r="525" spans="1:9" x14ac:dyDescent="0.25">
      <c r="A525" s="9" t="s">
        <v>1127</v>
      </c>
      <c r="B525" s="9">
        <v>705</v>
      </c>
      <c r="C525" s="9">
        <v>6</v>
      </c>
      <c r="D525" s="10">
        <v>236.44</v>
      </c>
      <c r="E525">
        <f t="shared" si="40"/>
        <v>2</v>
      </c>
      <c r="F525">
        <f t="shared" si="41"/>
        <v>3</v>
      </c>
      <c r="G525">
        <f t="shared" si="42"/>
        <v>3</v>
      </c>
      <c r="H525" s="3" t="str">
        <f t="shared" si="43"/>
        <v>233</v>
      </c>
      <c r="I525" t="str">
        <f t="shared" si="44"/>
        <v>About To Sleep</v>
      </c>
    </row>
    <row r="526" spans="1:9" x14ac:dyDescent="0.25">
      <c r="A526" s="9" t="s">
        <v>1129</v>
      </c>
      <c r="B526" s="9">
        <v>640</v>
      </c>
      <c r="C526" s="9">
        <v>11</v>
      </c>
      <c r="D526" s="10">
        <v>201.69</v>
      </c>
      <c r="E526">
        <f t="shared" si="40"/>
        <v>3</v>
      </c>
      <c r="F526">
        <f t="shared" si="41"/>
        <v>5</v>
      </c>
      <c r="G526">
        <f t="shared" si="42"/>
        <v>2</v>
      </c>
      <c r="H526" s="3" t="str">
        <f t="shared" si="43"/>
        <v>352</v>
      </c>
      <c r="I526" t="str">
        <f t="shared" si="44"/>
        <v>Others</v>
      </c>
    </row>
    <row r="527" spans="1:9" x14ac:dyDescent="0.25">
      <c r="A527" s="9" t="s">
        <v>1131</v>
      </c>
      <c r="B527" s="9">
        <v>735</v>
      </c>
      <c r="C527" s="9">
        <v>6</v>
      </c>
      <c r="D527" s="10">
        <v>390.51</v>
      </c>
      <c r="E527">
        <f t="shared" si="40"/>
        <v>2</v>
      </c>
      <c r="F527">
        <f t="shared" si="41"/>
        <v>3</v>
      </c>
      <c r="G527">
        <f t="shared" si="42"/>
        <v>4</v>
      </c>
      <c r="H527" s="3" t="str">
        <f t="shared" si="43"/>
        <v>234</v>
      </c>
      <c r="I527" t="str">
        <f t="shared" si="44"/>
        <v>Big Spender</v>
      </c>
    </row>
    <row r="528" spans="1:9" x14ac:dyDescent="0.25">
      <c r="A528" s="9" t="s">
        <v>1133</v>
      </c>
      <c r="B528" s="9">
        <v>586</v>
      </c>
      <c r="C528" s="9">
        <v>9</v>
      </c>
      <c r="D528" s="10">
        <v>442.29</v>
      </c>
      <c r="E528">
        <f t="shared" si="40"/>
        <v>4</v>
      </c>
      <c r="F528">
        <f t="shared" si="41"/>
        <v>4</v>
      </c>
      <c r="G528">
        <f t="shared" si="42"/>
        <v>5</v>
      </c>
      <c r="H528" s="3" t="str">
        <f t="shared" si="43"/>
        <v>445</v>
      </c>
      <c r="I528" t="str">
        <f t="shared" si="44"/>
        <v>Champion</v>
      </c>
    </row>
    <row r="529" spans="1:9" x14ac:dyDescent="0.25">
      <c r="A529" s="9" t="s">
        <v>1135</v>
      </c>
      <c r="B529" s="9">
        <v>771</v>
      </c>
      <c r="C529" s="9">
        <v>7</v>
      </c>
      <c r="D529" s="10">
        <v>89.6</v>
      </c>
      <c r="E529">
        <f t="shared" si="40"/>
        <v>1</v>
      </c>
      <c r="F529">
        <f t="shared" si="41"/>
        <v>3</v>
      </c>
      <c r="G529">
        <f t="shared" si="42"/>
        <v>1</v>
      </c>
      <c r="H529" s="3" t="str">
        <f t="shared" si="43"/>
        <v>131</v>
      </c>
      <c r="I529" t="str">
        <f t="shared" si="44"/>
        <v>About To Sleep</v>
      </c>
    </row>
    <row r="530" spans="1:9" x14ac:dyDescent="0.25">
      <c r="A530" s="9" t="s">
        <v>1137</v>
      </c>
      <c r="B530" s="9">
        <v>827</v>
      </c>
      <c r="C530" s="9">
        <v>6</v>
      </c>
      <c r="D530" s="10">
        <v>166.74</v>
      </c>
      <c r="E530">
        <f t="shared" si="40"/>
        <v>1</v>
      </c>
      <c r="F530">
        <f t="shared" si="41"/>
        <v>3</v>
      </c>
      <c r="G530">
        <f t="shared" si="42"/>
        <v>2</v>
      </c>
      <c r="H530" s="3" t="str">
        <f t="shared" si="43"/>
        <v>132</v>
      </c>
      <c r="I530" t="str">
        <f t="shared" si="44"/>
        <v>About To Sleep</v>
      </c>
    </row>
    <row r="531" spans="1:9" x14ac:dyDescent="0.25">
      <c r="A531" s="9" t="s">
        <v>1139</v>
      </c>
      <c r="B531" s="9">
        <v>691</v>
      </c>
      <c r="C531" s="9">
        <v>12</v>
      </c>
      <c r="D531" s="10">
        <v>299.27999999999997</v>
      </c>
      <c r="E531">
        <f t="shared" si="40"/>
        <v>3</v>
      </c>
      <c r="F531">
        <f t="shared" si="41"/>
        <v>5</v>
      </c>
      <c r="G531">
        <f t="shared" si="42"/>
        <v>3</v>
      </c>
      <c r="H531" s="3" t="str">
        <f t="shared" si="43"/>
        <v>353</v>
      </c>
      <c r="I531" t="str">
        <f t="shared" si="44"/>
        <v>Others</v>
      </c>
    </row>
    <row r="532" spans="1:9" x14ac:dyDescent="0.25">
      <c r="A532" s="9" t="s">
        <v>1141</v>
      </c>
      <c r="B532" s="9">
        <v>597</v>
      </c>
      <c r="C532" s="9">
        <v>5</v>
      </c>
      <c r="D532" s="10">
        <v>404.57</v>
      </c>
      <c r="E532">
        <f t="shared" si="40"/>
        <v>4</v>
      </c>
      <c r="F532">
        <f t="shared" si="41"/>
        <v>2</v>
      </c>
      <c r="G532">
        <f t="shared" si="42"/>
        <v>4</v>
      </c>
      <c r="H532" s="3" t="str">
        <f t="shared" si="43"/>
        <v>424</v>
      </c>
      <c r="I532" t="str">
        <f t="shared" si="44"/>
        <v>Big Spender</v>
      </c>
    </row>
    <row r="533" spans="1:9" x14ac:dyDescent="0.25">
      <c r="A533" s="9" t="s">
        <v>1143</v>
      </c>
      <c r="B533" s="9">
        <v>483</v>
      </c>
      <c r="C533" s="9">
        <v>10</v>
      </c>
      <c r="D533" s="10">
        <v>344.81</v>
      </c>
      <c r="E533">
        <f t="shared" si="40"/>
        <v>5</v>
      </c>
      <c r="F533">
        <f t="shared" si="41"/>
        <v>5</v>
      </c>
      <c r="G533">
        <f t="shared" si="42"/>
        <v>4</v>
      </c>
      <c r="H533" s="3" t="str">
        <f t="shared" si="43"/>
        <v>554</v>
      </c>
      <c r="I533" t="str">
        <f t="shared" si="44"/>
        <v>Champion</v>
      </c>
    </row>
    <row r="534" spans="1:9" x14ac:dyDescent="0.25">
      <c r="A534" s="9" t="s">
        <v>1145</v>
      </c>
      <c r="B534" s="9">
        <v>825</v>
      </c>
      <c r="C534" s="9">
        <v>10</v>
      </c>
      <c r="D534" s="10">
        <v>217.84</v>
      </c>
      <c r="E534">
        <f t="shared" si="40"/>
        <v>1</v>
      </c>
      <c r="F534">
        <f t="shared" si="41"/>
        <v>5</v>
      </c>
      <c r="G534">
        <f t="shared" si="42"/>
        <v>2</v>
      </c>
      <c r="H534" s="3" t="str">
        <f t="shared" si="43"/>
        <v>152</v>
      </c>
      <c r="I534" t="str">
        <f t="shared" si="44"/>
        <v>About To Sleep</v>
      </c>
    </row>
    <row r="535" spans="1:9" x14ac:dyDescent="0.25">
      <c r="A535" s="9" t="s">
        <v>1147</v>
      </c>
      <c r="B535" s="9">
        <v>777</v>
      </c>
      <c r="C535" s="9">
        <v>9</v>
      </c>
      <c r="D535" s="10">
        <v>445.34</v>
      </c>
      <c r="E535">
        <f t="shared" si="40"/>
        <v>1</v>
      </c>
      <c r="F535">
        <f t="shared" si="41"/>
        <v>4</v>
      </c>
      <c r="G535">
        <f t="shared" si="42"/>
        <v>5</v>
      </c>
      <c r="H535" s="3" t="str">
        <f t="shared" si="43"/>
        <v>145</v>
      </c>
      <c r="I535" t="str">
        <f t="shared" si="44"/>
        <v>Loyal Customer</v>
      </c>
    </row>
    <row r="536" spans="1:9" x14ac:dyDescent="0.25">
      <c r="A536" s="9" t="s">
        <v>1149</v>
      </c>
      <c r="B536" s="9">
        <v>573</v>
      </c>
      <c r="C536" s="9">
        <v>3</v>
      </c>
      <c r="D536" s="10">
        <v>151.72999999999999</v>
      </c>
      <c r="E536">
        <f t="shared" si="40"/>
        <v>4</v>
      </c>
      <c r="F536">
        <f t="shared" si="41"/>
        <v>1</v>
      </c>
      <c r="G536">
        <f t="shared" si="42"/>
        <v>2</v>
      </c>
      <c r="H536" s="3" t="str">
        <f t="shared" si="43"/>
        <v>412</v>
      </c>
      <c r="I536" t="str">
        <f t="shared" si="44"/>
        <v>Lost Customer</v>
      </c>
    </row>
    <row r="537" spans="1:9" x14ac:dyDescent="0.25">
      <c r="A537" s="9" t="s">
        <v>1151</v>
      </c>
      <c r="B537" s="9">
        <v>560</v>
      </c>
      <c r="C537" s="9">
        <v>9</v>
      </c>
      <c r="D537" s="10">
        <v>123.73</v>
      </c>
      <c r="E537">
        <f t="shared" si="40"/>
        <v>4</v>
      </c>
      <c r="F537">
        <f t="shared" si="41"/>
        <v>4</v>
      </c>
      <c r="G537">
        <f t="shared" si="42"/>
        <v>1</v>
      </c>
      <c r="H537" s="3" t="str">
        <f t="shared" si="43"/>
        <v>441</v>
      </c>
      <c r="I537" t="str">
        <f t="shared" si="44"/>
        <v>Potential Loyalist</v>
      </c>
    </row>
    <row r="538" spans="1:9" x14ac:dyDescent="0.25">
      <c r="A538" s="9" t="s">
        <v>1153</v>
      </c>
      <c r="B538" s="9">
        <v>756</v>
      </c>
      <c r="C538" s="9">
        <v>2</v>
      </c>
      <c r="D538" s="10">
        <v>370.54</v>
      </c>
      <c r="E538">
        <f t="shared" si="40"/>
        <v>2</v>
      </c>
      <c r="F538">
        <f t="shared" si="41"/>
        <v>1</v>
      </c>
      <c r="G538">
        <f t="shared" si="42"/>
        <v>4</v>
      </c>
      <c r="H538" s="3" t="str">
        <f t="shared" si="43"/>
        <v>214</v>
      </c>
      <c r="I538" t="str">
        <f t="shared" si="44"/>
        <v>Big Spender</v>
      </c>
    </row>
    <row r="539" spans="1:9" x14ac:dyDescent="0.25">
      <c r="A539" s="9" t="s">
        <v>1155</v>
      </c>
      <c r="B539" s="9">
        <v>608</v>
      </c>
      <c r="C539" s="9">
        <v>3</v>
      </c>
      <c r="D539" s="10">
        <v>152.87</v>
      </c>
      <c r="E539">
        <f t="shared" si="40"/>
        <v>4</v>
      </c>
      <c r="F539">
        <f t="shared" si="41"/>
        <v>1</v>
      </c>
      <c r="G539">
        <f t="shared" si="42"/>
        <v>2</v>
      </c>
      <c r="H539" s="3" t="str">
        <f t="shared" si="43"/>
        <v>412</v>
      </c>
      <c r="I539" t="str">
        <f t="shared" si="44"/>
        <v>Lost Customer</v>
      </c>
    </row>
    <row r="540" spans="1:9" x14ac:dyDescent="0.25">
      <c r="A540" s="9" t="s">
        <v>1157</v>
      </c>
      <c r="B540" s="9">
        <v>499</v>
      </c>
      <c r="C540" s="9">
        <v>4</v>
      </c>
      <c r="D540" s="10">
        <v>295.75</v>
      </c>
      <c r="E540">
        <f t="shared" si="40"/>
        <v>5</v>
      </c>
      <c r="F540">
        <f t="shared" si="41"/>
        <v>2</v>
      </c>
      <c r="G540">
        <f t="shared" si="42"/>
        <v>3</v>
      </c>
      <c r="H540" s="3" t="str">
        <f t="shared" si="43"/>
        <v>523</v>
      </c>
      <c r="I540" t="str">
        <f t="shared" si="44"/>
        <v>Others</v>
      </c>
    </row>
    <row r="541" spans="1:9" x14ac:dyDescent="0.25">
      <c r="A541" s="9" t="s">
        <v>1159</v>
      </c>
      <c r="B541" s="9">
        <v>594</v>
      </c>
      <c r="C541" s="9">
        <v>11</v>
      </c>
      <c r="D541" s="10">
        <v>358.11</v>
      </c>
      <c r="E541">
        <f t="shared" si="40"/>
        <v>4</v>
      </c>
      <c r="F541">
        <f t="shared" si="41"/>
        <v>5</v>
      </c>
      <c r="G541">
        <f t="shared" si="42"/>
        <v>4</v>
      </c>
      <c r="H541" s="3" t="str">
        <f t="shared" si="43"/>
        <v>454</v>
      </c>
      <c r="I541" t="str">
        <f t="shared" si="44"/>
        <v>Champion</v>
      </c>
    </row>
    <row r="542" spans="1:9" x14ac:dyDescent="0.25">
      <c r="A542" s="9" t="s">
        <v>1161</v>
      </c>
      <c r="B542" s="9">
        <v>801</v>
      </c>
      <c r="C542" s="9">
        <v>12</v>
      </c>
      <c r="D542" s="10">
        <v>63.6</v>
      </c>
      <c r="E542">
        <f t="shared" si="40"/>
        <v>1</v>
      </c>
      <c r="F542">
        <f t="shared" si="41"/>
        <v>5</v>
      </c>
      <c r="G542">
        <f t="shared" si="42"/>
        <v>1</v>
      </c>
      <c r="H542" s="3" t="str">
        <f t="shared" si="43"/>
        <v>151</v>
      </c>
      <c r="I542" t="str">
        <f t="shared" si="44"/>
        <v>About To Sleep</v>
      </c>
    </row>
    <row r="543" spans="1:9" x14ac:dyDescent="0.25">
      <c r="A543" s="9" t="s">
        <v>1163</v>
      </c>
      <c r="B543" s="9">
        <v>754</v>
      </c>
      <c r="C543" s="9">
        <v>3</v>
      </c>
      <c r="D543" s="10">
        <v>419.53</v>
      </c>
      <c r="E543">
        <f t="shared" si="40"/>
        <v>2</v>
      </c>
      <c r="F543">
        <f t="shared" si="41"/>
        <v>1</v>
      </c>
      <c r="G543">
        <f t="shared" si="42"/>
        <v>5</v>
      </c>
      <c r="H543" s="3" t="str">
        <f t="shared" si="43"/>
        <v>215</v>
      </c>
      <c r="I543" t="str">
        <f t="shared" si="44"/>
        <v>Big Spender</v>
      </c>
    </row>
    <row r="544" spans="1:9" x14ac:dyDescent="0.25">
      <c r="A544" s="9" t="s">
        <v>1165</v>
      </c>
      <c r="B544" s="9">
        <v>477</v>
      </c>
      <c r="C544" s="9">
        <v>10</v>
      </c>
      <c r="D544" s="10">
        <v>491.92</v>
      </c>
      <c r="E544">
        <f t="shared" si="40"/>
        <v>5</v>
      </c>
      <c r="F544">
        <f t="shared" si="41"/>
        <v>5</v>
      </c>
      <c r="G544">
        <f t="shared" si="42"/>
        <v>5</v>
      </c>
      <c r="H544" s="3" t="str">
        <f t="shared" si="43"/>
        <v>555</v>
      </c>
      <c r="I544" t="str">
        <f t="shared" si="44"/>
        <v>Champion</v>
      </c>
    </row>
    <row r="545" spans="1:9" x14ac:dyDescent="0.25">
      <c r="A545" s="9" t="s">
        <v>1167</v>
      </c>
      <c r="B545" s="9">
        <v>547</v>
      </c>
      <c r="C545" s="9">
        <v>4</v>
      </c>
      <c r="D545" s="10">
        <v>114.44</v>
      </c>
      <c r="E545">
        <f t="shared" si="40"/>
        <v>5</v>
      </c>
      <c r="F545">
        <f t="shared" si="41"/>
        <v>2</v>
      </c>
      <c r="G545">
        <f t="shared" si="42"/>
        <v>1</v>
      </c>
      <c r="H545" s="3" t="str">
        <f t="shared" si="43"/>
        <v>521</v>
      </c>
      <c r="I545" t="str">
        <f t="shared" si="44"/>
        <v>Lost Customer</v>
      </c>
    </row>
    <row r="546" spans="1:9" x14ac:dyDescent="0.25">
      <c r="A546" s="9" t="s">
        <v>1169</v>
      </c>
      <c r="B546" s="9">
        <v>594</v>
      </c>
      <c r="C546" s="9">
        <v>10</v>
      </c>
      <c r="D546" s="10">
        <v>388.82</v>
      </c>
      <c r="E546">
        <f t="shared" si="40"/>
        <v>4</v>
      </c>
      <c r="F546">
        <f t="shared" si="41"/>
        <v>5</v>
      </c>
      <c r="G546">
        <f t="shared" si="42"/>
        <v>4</v>
      </c>
      <c r="H546" s="3" t="str">
        <f t="shared" si="43"/>
        <v>454</v>
      </c>
      <c r="I546" t="str">
        <f t="shared" si="44"/>
        <v>Champion</v>
      </c>
    </row>
    <row r="547" spans="1:9" x14ac:dyDescent="0.25">
      <c r="A547" s="9" t="s">
        <v>1171</v>
      </c>
      <c r="B547" s="9">
        <v>768</v>
      </c>
      <c r="C547" s="9">
        <v>7</v>
      </c>
      <c r="D547" s="10">
        <v>58.32</v>
      </c>
      <c r="E547">
        <f t="shared" si="40"/>
        <v>1</v>
      </c>
      <c r="F547">
        <f t="shared" si="41"/>
        <v>3</v>
      </c>
      <c r="G547">
        <f t="shared" si="42"/>
        <v>1</v>
      </c>
      <c r="H547" s="3" t="str">
        <f t="shared" si="43"/>
        <v>131</v>
      </c>
      <c r="I547" t="str">
        <f t="shared" si="44"/>
        <v>About To Sleep</v>
      </c>
    </row>
    <row r="548" spans="1:9" x14ac:dyDescent="0.25">
      <c r="A548" s="9" t="s">
        <v>1173</v>
      </c>
      <c r="B548" s="9">
        <v>806</v>
      </c>
      <c r="C548" s="9">
        <v>2</v>
      </c>
      <c r="D548" s="10">
        <v>464.76</v>
      </c>
      <c r="E548">
        <f t="shared" si="40"/>
        <v>1</v>
      </c>
      <c r="F548">
        <f t="shared" si="41"/>
        <v>1</v>
      </c>
      <c r="G548">
        <f t="shared" si="42"/>
        <v>5</v>
      </c>
      <c r="H548" s="3" t="str">
        <f t="shared" si="43"/>
        <v>115</v>
      </c>
      <c r="I548" t="str">
        <f t="shared" si="44"/>
        <v>Big Spender</v>
      </c>
    </row>
    <row r="549" spans="1:9" x14ac:dyDescent="0.25">
      <c r="A549" s="9" t="s">
        <v>1175</v>
      </c>
      <c r="B549" s="9">
        <v>750</v>
      </c>
      <c r="C549" s="9">
        <v>7</v>
      </c>
      <c r="D549" s="10">
        <v>116.92</v>
      </c>
      <c r="E549">
        <f t="shared" si="40"/>
        <v>2</v>
      </c>
      <c r="F549">
        <f t="shared" si="41"/>
        <v>3</v>
      </c>
      <c r="G549">
        <f t="shared" si="42"/>
        <v>1</v>
      </c>
      <c r="H549" s="3" t="str">
        <f t="shared" si="43"/>
        <v>231</v>
      </c>
      <c r="I549" t="str">
        <f t="shared" si="44"/>
        <v>About To Sleep</v>
      </c>
    </row>
    <row r="550" spans="1:9" x14ac:dyDescent="0.25">
      <c r="A550" s="9" t="s">
        <v>1177</v>
      </c>
      <c r="B550" s="9">
        <v>642</v>
      </c>
      <c r="C550" s="9">
        <v>8</v>
      </c>
      <c r="D550" s="10">
        <v>396.76</v>
      </c>
      <c r="E550">
        <f t="shared" si="40"/>
        <v>3</v>
      </c>
      <c r="F550">
        <f t="shared" si="41"/>
        <v>4</v>
      </c>
      <c r="G550">
        <f t="shared" si="42"/>
        <v>4</v>
      </c>
      <c r="H550" s="3" t="str">
        <f t="shared" si="43"/>
        <v>344</v>
      </c>
      <c r="I550" t="str">
        <f t="shared" si="44"/>
        <v>Loyal Customer</v>
      </c>
    </row>
    <row r="551" spans="1:9" x14ac:dyDescent="0.25">
      <c r="A551" s="9" t="s">
        <v>1179</v>
      </c>
      <c r="B551" s="9">
        <v>673</v>
      </c>
      <c r="C551" s="9">
        <v>7</v>
      </c>
      <c r="D551" s="10">
        <v>393.35</v>
      </c>
      <c r="E551">
        <f t="shared" si="40"/>
        <v>3</v>
      </c>
      <c r="F551">
        <f t="shared" si="41"/>
        <v>3</v>
      </c>
      <c r="G551">
        <f t="shared" si="42"/>
        <v>4</v>
      </c>
      <c r="H551" s="3" t="str">
        <f t="shared" si="43"/>
        <v>334</v>
      </c>
      <c r="I551" t="str">
        <f t="shared" si="44"/>
        <v>Big Spender</v>
      </c>
    </row>
    <row r="552" spans="1:9" x14ac:dyDescent="0.25">
      <c r="A552" s="9" t="s">
        <v>1181</v>
      </c>
      <c r="B552" s="9">
        <v>737</v>
      </c>
      <c r="C552" s="9">
        <v>7</v>
      </c>
      <c r="D552" s="10">
        <v>114.03</v>
      </c>
      <c r="E552">
        <f t="shared" si="40"/>
        <v>2</v>
      </c>
      <c r="F552">
        <f t="shared" si="41"/>
        <v>3</v>
      </c>
      <c r="G552">
        <f t="shared" si="42"/>
        <v>1</v>
      </c>
      <c r="H552" s="3" t="str">
        <f t="shared" si="43"/>
        <v>231</v>
      </c>
      <c r="I552" t="str">
        <f t="shared" si="44"/>
        <v>About To Sleep</v>
      </c>
    </row>
    <row r="553" spans="1:9" x14ac:dyDescent="0.25">
      <c r="A553" s="9" t="s">
        <v>1183</v>
      </c>
      <c r="B553" s="9">
        <v>616</v>
      </c>
      <c r="C553" s="9">
        <v>4</v>
      </c>
      <c r="D553" s="10">
        <v>109.97</v>
      </c>
      <c r="E553">
        <f t="shared" si="40"/>
        <v>4</v>
      </c>
      <c r="F553">
        <f t="shared" si="41"/>
        <v>2</v>
      </c>
      <c r="G553">
        <f t="shared" si="42"/>
        <v>1</v>
      </c>
      <c r="H553" s="3" t="str">
        <f t="shared" si="43"/>
        <v>421</v>
      </c>
      <c r="I553" t="str">
        <f t="shared" si="44"/>
        <v>Lost Customer</v>
      </c>
    </row>
    <row r="554" spans="1:9" x14ac:dyDescent="0.25">
      <c r="A554" s="9" t="s">
        <v>1185</v>
      </c>
      <c r="B554" s="9">
        <v>489</v>
      </c>
      <c r="C554" s="9">
        <v>12</v>
      </c>
      <c r="D554" s="10">
        <v>310.23</v>
      </c>
      <c r="E554">
        <f t="shared" si="40"/>
        <v>5</v>
      </c>
      <c r="F554">
        <f t="shared" si="41"/>
        <v>5</v>
      </c>
      <c r="G554">
        <f t="shared" si="42"/>
        <v>3</v>
      </c>
      <c r="H554" s="3" t="str">
        <f t="shared" si="43"/>
        <v>553</v>
      </c>
      <c r="I554" t="str">
        <f t="shared" si="44"/>
        <v>Potential Loyalist</v>
      </c>
    </row>
    <row r="555" spans="1:9" x14ac:dyDescent="0.25">
      <c r="A555" s="9" t="s">
        <v>1187</v>
      </c>
      <c r="B555" s="9">
        <v>572</v>
      </c>
      <c r="C555" s="9">
        <v>3</v>
      </c>
      <c r="D555" s="10">
        <v>383.13</v>
      </c>
      <c r="E555">
        <f t="shared" si="40"/>
        <v>4</v>
      </c>
      <c r="F555">
        <f t="shared" si="41"/>
        <v>1</v>
      </c>
      <c r="G555">
        <f t="shared" si="42"/>
        <v>4</v>
      </c>
      <c r="H555" s="3" t="str">
        <f t="shared" si="43"/>
        <v>414</v>
      </c>
      <c r="I555" t="str">
        <f t="shared" si="44"/>
        <v>Big Spender</v>
      </c>
    </row>
    <row r="556" spans="1:9" x14ac:dyDescent="0.25">
      <c r="A556" s="9" t="s">
        <v>1188</v>
      </c>
      <c r="B556" s="9">
        <v>665</v>
      </c>
      <c r="C556" s="9">
        <v>11</v>
      </c>
      <c r="D556" s="10">
        <v>434.86</v>
      </c>
      <c r="E556">
        <f t="shared" si="40"/>
        <v>3</v>
      </c>
      <c r="F556">
        <f t="shared" si="41"/>
        <v>5</v>
      </c>
      <c r="G556">
        <f t="shared" si="42"/>
        <v>5</v>
      </c>
      <c r="H556" s="3" t="str">
        <f t="shared" si="43"/>
        <v>355</v>
      </c>
      <c r="I556" t="str">
        <f t="shared" si="44"/>
        <v>Loyal Customer</v>
      </c>
    </row>
    <row r="557" spans="1:9" x14ac:dyDescent="0.25">
      <c r="A557" s="9" t="s">
        <v>1190</v>
      </c>
      <c r="B557" s="9">
        <v>518</v>
      </c>
      <c r="C557" s="9">
        <v>9</v>
      </c>
      <c r="D557" s="10">
        <v>489.1</v>
      </c>
      <c r="E557">
        <f t="shared" si="40"/>
        <v>5</v>
      </c>
      <c r="F557">
        <f t="shared" si="41"/>
        <v>4</v>
      </c>
      <c r="G557">
        <f t="shared" si="42"/>
        <v>5</v>
      </c>
      <c r="H557" s="3" t="str">
        <f t="shared" si="43"/>
        <v>545</v>
      </c>
      <c r="I557" t="str">
        <f t="shared" si="44"/>
        <v>Champion</v>
      </c>
    </row>
    <row r="558" spans="1:9" x14ac:dyDescent="0.25">
      <c r="A558" s="9" t="s">
        <v>1192</v>
      </c>
      <c r="B558" s="9">
        <v>622</v>
      </c>
      <c r="C558" s="9">
        <v>3</v>
      </c>
      <c r="D558" s="10">
        <v>288.14999999999998</v>
      </c>
      <c r="E558">
        <f t="shared" si="40"/>
        <v>4</v>
      </c>
      <c r="F558">
        <f t="shared" si="41"/>
        <v>1</v>
      </c>
      <c r="G558">
        <f t="shared" si="42"/>
        <v>3</v>
      </c>
      <c r="H558" s="3" t="str">
        <f t="shared" si="43"/>
        <v>413</v>
      </c>
      <c r="I558" t="str">
        <f t="shared" si="44"/>
        <v>Others</v>
      </c>
    </row>
    <row r="559" spans="1:9" x14ac:dyDescent="0.25">
      <c r="A559" s="9" t="s">
        <v>1194</v>
      </c>
      <c r="B559" s="9">
        <v>582</v>
      </c>
      <c r="C559" s="9">
        <v>12</v>
      </c>
      <c r="D559" s="10">
        <v>105.87</v>
      </c>
      <c r="E559">
        <f t="shared" si="40"/>
        <v>4</v>
      </c>
      <c r="F559">
        <f t="shared" si="41"/>
        <v>5</v>
      </c>
      <c r="G559">
        <f t="shared" si="42"/>
        <v>1</v>
      </c>
      <c r="H559" s="3" t="str">
        <f t="shared" si="43"/>
        <v>451</v>
      </c>
      <c r="I559" t="str">
        <f t="shared" si="44"/>
        <v>Potential Loyalist</v>
      </c>
    </row>
    <row r="560" spans="1:9" x14ac:dyDescent="0.25">
      <c r="A560" s="9" t="s">
        <v>1196</v>
      </c>
      <c r="B560" s="9">
        <v>651</v>
      </c>
      <c r="C560" s="9">
        <v>3</v>
      </c>
      <c r="D560" s="10">
        <v>163.4</v>
      </c>
      <c r="E560">
        <f t="shared" si="40"/>
        <v>3</v>
      </c>
      <c r="F560">
        <f t="shared" si="41"/>
        <v>1</v>
      </c>
      <c r="G560">
        <f t="shared" si="42"/>
        <v>2</v>
      </c>
      <c r="H560" s="3" t="str">
        <f t="shared" si="43"/>
        <v>312</v>
      </c>
      <c r="I560" t="str">
        <f t="shared" si="44"/>
        <v>Lost Customer</v>
      </c>
    </row>
    <row r="561" spans="1:9" x14ac:dyDescent="0.25">
      <c r="A561" s="9" t="s">
        <v>1198</v>
      </c>
      <c r="B561" s="9">
        <v>550</v>
      </c>
      <c r="C561" s="9">
        <v>6</v>
      </c>
      <c r="D561" s="10">
        <v>422.92</v>
      </c>
      <c r="E561">
        <f t="shared" si="40"/>
        <v>5</v>
      </c>
      <c r="F561">
        <f t="shared" si="41"/>
        <v>3</v>
      </c>
      <c r="G561">
        <f t="shared" si="42"/>
        <v>5</v>
      </c>
      <c r="H561" s="3" t="str">
        <f t="shared" si="43"/>
        <v>535</v>
      </c>
      <c r="I561" t="str">
        <f t="shared" si="44"/>
        <v>Potential Loyalist</v>
      </c>
    </row>
    <row r="562" spans="1:9" x14ac:dyDescent="0.25">
      <c r="A562" s="9" t="s">
        <v>1200</v>
      </c>
      <c r="B562" s="9">
        <v>673</v>
      </c>
      <c r="C562" s="9">
        <v>10</v>
      </c>
      <c r="D562" s="10">
        <v>361.48</v>
      </c>
      <c r="E562">
        <f t="shared" si="40"/>
        <v>3</v>
      </c>
      <c r="F562">
        <f t="shared" si="41"/>
        <v>5</v>
      </c>
      <c r="G562">
        <f t="shared" si="42"/>
        <v>4</v>
      </c>
      <c r="H562" s="3" t="str">
        <f t="shared" si="43"/>
        <v>354</v>
      </c>
      <c r="I562" t="str">
        <f t="shared" si="44"/>
        <v>Loyal Customer</v>
      </c>
    </row>
    <row r="563" spans="1:9" x14ac:dyDescent="0.25">
      <c r="A563" s="9" t="s">
        <v>1202</v>
      </c>
      <c r="B563" s="9">
        <v>537</v>
      </c>
      <c r="C563" s="9">
        <v>2</v>
      </c>
      <c r="D563" s="10">
        <v>270.82</v>
      </c>
      <c r="E563">
        <f t="shared" si="40"/>
        <v>5</v>
      </c>
      <c r="F563">
        <f t="shared" si="41"/>
        <v>1</v>
      </c>
      <c r="G563">
        <f t="shared" si="42"/>
        <v>3</v>
      </c>
      <c r="H563" s="3" t="str">
        <f t="shared" si="43"/>
        <v>513</v>
      </c>
      <c r="I563" t="str">
        <f t="shared" si="44"/>
        <v>Others</v>
      </c>
    </row>
    <row r="564" spans="1:9" x14ac:dyDescent="0.25">
      <c r="A564" s="9" t="s">
        <v>1204</v>
      </c>
      <c r="B564" s="9">
        <v>615</v>
      </c>
      <c r="C564" s="9">
        <v>11</v>
      </c>
      <c r="D564" s="10">
        <v>372.26</v>
      </c>
      <c r="E564">
        <f t="shared" si="40"/>
        <v>4</v>
      </c>
      <c r="F564">
        <f t="shared" si="41"/>
        <v>5</v>
      </c>
      <c r="G564">
        <f t="shared" si="42"/>
        <v>4</v>
      </c>
      <c r="H564" s="3" t="str">
        <f t="shared" si="43"/>
        <v>454</v>
      </c>
      <c r="I564" t="str">
        <f t="shared" si="44"/>
        <v>Champion</v>
      </c>
    </row>
    <row r="565" spans="1:9" x14ac:dyDescent="0.25">
      <c r="A565" s="9" t="s">
        <v>1206</v>
      </c>
      <c r="B565" s="9">
        <v>594</v>
      </c>
      <c r="C565" s="9">
        <v>3</v>
      </c>
      <c r="D565" s="10">
        <v>208.59</v>
      </c>
      <c r="E565">
        <f t="shared" si="40"/>
        <v>4</v>
      </c>
      <c r="F565">
        <f t="shared" si="41"/>
        <v>1</v>
      </c>
      <c r="G565">
        <f t="shared" si="42"/>
        <v>2</v>
      </c>
      <c r="H565" s="3" t="str">
        <f t="shared" si="43"/>
        <v>412</v>
      </c>
      <c r="I565" t="str">
        <f t="shared" si="44"/>
        <v>Lost Customer</v>
      </c>
    </row>
    <row r="566" spans="1:9" x14ac:dyDescent="0.25">
      <c r="A566" s="9" t="s">
        <v>1208</v>
      </c>
      <c r="B566" s="9">
        <v>658</v>
      </c>
      <c r="C566" s="9">
        <v>8</v>
      </c>
      <c r="D566" s="10">
        <v>163.22</v>
      </c>
      <c r="E566">
        <f t="shared" si="40"/>
        <v>3</v>
      </c>
      <c r="F566">
        <f t="shared" si="41"/>
        <v>4</v>
      </c>
      <c r="G566">
        <f t="shared" si="42"/>
        <v>2</v>
      </c>
      <c r="H566" s="3" t="str">
        <f t="shared" si="43"/>
        <v>342</v>
      </c>
      <c r="I566" t="str">
        <f t="shared" si="44"/>
        <v>Others</v>
      </c>
    </row>
    <row r="567" spans="1:9" x14ac:dyDescent="0.25">
      <c r="A567" s="9" t="s">
        <v>1210</v>
      </c>
      <c r="B567" s="9">
        <v>709</v>
      </c>
      <c r="C567" s="9">
        <v>7</v>
      </c>
      <c r="D567" s="10">
        <v>364.98</v>
      </c>
      <c r="E567">
        <f t="shared" si="40"/>
        <v>2</v>
      </c>
      <c r="F567">
        <f t="shared" si="41"/>
        <v>3</v>
      </c>
      <c r="G567">
        <f t="shared" si="42"/>
        <v>4</v>
      </c>
      <c r="H567" s="3" t="str">
        <f t="shared" si="43"/>
        <v>234</v>
      </c>
      <c r="I567" t="str">
        <f t="shared" si="44"/>
        <v>Big Spender</v>
      </c>
    </row>
    <row r="568" spans="1:9" x14ac:dyDescent="0.25">
      <c r="A568" s="9" t="s">
        <v>1212</v>
      </c>
      <c r="B568" s="9">
        <v>569</v>
      </c>
      <c r="C568" s="9">
        <v>3</v>
      </c>
      <c r="D568" s="10">
        <v>142.43</v>
      </c>
      <c r="E568">
        <f t="shared" si="40"/>
        <v>4</v>
      </c>
      <c r="F568">
        <f t="shared" si="41"/>
        <v>1</v>
      </c>
      <c r="G568">
        <f t="shared" si="42"/>
        <v>2</v>
      </c>
      <c r="H568" s="3" t="str">
        <f t="shared" si="43"/>
        <v>412</v>
      </c>
      <c r="I568" t="str">
        <f t="shared" si="44"/>
        <v>Lost Customer</v>
      </c>
    </row>
    <row r="569" spans="1:9" x14ac:dyDescent="0.25">
      <c r="A569" s="9" t="s">
        <v>1214</v>
      </c>
      <c r="B569" s="9">
        <v>792</v>
      </c>
      <c r="C569" s="9">
        <v>3</v>
      </c>
      <c r="D569" s="10">
        <v>449.72</v>
      </c>
      <c r="E569">
        <f t="shared" si="40"/>
        <v>1</v>
      </c>
      <c r="F569">
        <f t="shared" si="41"/>
        <v>1</v>
      </c>
      <c r="G569">
        <f t="shared" si="42"/>
        <v>5</v>
      </c>
      <c r="H569" s="3" t="str">
        <f t="shared" si="43"/>
        <v>115</v>
      </c>
      <c r="I569" t="str">
        <f t="shared" si="44"/>
        <v>Big Spender</v>
      </c>
    </row>
    <row r="570" spans="1:9" x14ac:dyDescent="0.25">
      <c r="A570" s="9" t="s">
        <v>1216</v>
      </c>
      <c r="B570" s="9">
        <v>508</v>
      </c>
      <c r="C570" s="9">
        <v>12</v>
      </c>
      <c r="D570" s="10">
        <v>241.56</v>
      </c>
      <c r="E570">
        <f t="shared" si="40"/>
        <v>5</v>
      </c>
      <c r="F570">
        <f t="shared" si="41"/>
        <v>5</v>
      </c>
      <c r="G570">
        <f t="shared" si="42"/>
        <v>3</v>
      </c>
      <c r="H570" s="3" t="str">
        <f t="shared" si="43"/>
        <v>553</v>
      </c>
      <c r="I570" t="str">
        <f t="shared" si="44"/>
        <v>Potential Loyalist</v>
      </c>
    </row>
    <row r="571" spans="1:9" x14ac:dyDescent="0.25">
      <c r="A571" s="9" t="s">
        <v>1218</v>
      </c>
      <c r="B571" s="9">
        <v>521</v>
      </c>
      <c r="C571" s="9">
        <v>5</v>
      </c>
      <c r="D571" s="10">
        <v>249.73</v>
      </c>
      <c r="E571">
        <f t="shared" si="40"/>
        <v>5</v>
      </c>
      <c r="F571">
        <f t="shared" si="41"/>
        <v>2</v>
      </c>
      <c r="G571">
        <f t="shared" si="42"/>
        <v>3</v>
      </c>
      <c r="H571" s="3" t="str">
        <f t="shared" si="43"/>
        <v>523</v>
      </c>
      <c r="I571" t="str">
        <f t="shared" si="44"/>
        <v>Others</v>
      </c>
    </row>
    <row r="572" spans="1:9" x14ac:dyDescent="0.25">
      <c r="A572" s="9" t="s">
        <v>1220</v>
      </c>
      <c r="B572" s="9">
        <v>635</v>
      </c>
      <c r="C572" s="9">
        <v>7</v>
      </c>
      <c r="D572" s="10">
        <v>437.3</v>
      </c>
      <c r="E572">
        <f t="shared" si="40"/>
        <v>3</v>
      </c>
      <c r="F572">
        <f t="shared" si="41"/>
        <v>3</v>
      </c>
      <c r="G572">
        <f t="shared" si="42"/>
        <v>5</v>
      </c>
      <c r="H572" s="3" t="str">
        <f t="shared" si="43"/>
        <v>335</v>
      </c>
      <c r="I572" t="str">
        <f t="shared" si="44"/>
        <v>Big Spender</v>
      </c>
    </row>
    <row r="573" spans="1:9" x14ac:dyDescent="0.25">
      <c r="A573" s="9" t="s">
        <v>1222</v>
      </c>
      <c r="B573" s="9">
        <v>814</v>
      </c>
      <c r="C573" s="9">
        <v>4</v>
      </c>
      <c r="D573" s="10">
        <v>277.29000000000002</v>
      </c>
      <c r="E573">
        <f t="shared" si="40"/>
        <v>1</v>
      </c>
      <c r="F573">
        <f t="shared" si="41"/>
        <v>2</v>
      </c>
      <c r="G573">
        <f t="shared" si="42"/>
        <v>3</v>
      </c>
      <c r="H573" s="3" t="str">
        <f t="shared" si="43"/>
        <v>123</v>
      </c>
      <c r="I573" t="str">
        <f t="shared" si="44"/>
        <v>At Risk</v>
      </c>
    </row>
    <row r="574" spans="1:9" x14ac:dyDescent="0.25">
      <c r="A574" s="9" t="s">
        <v>1224</v>
      </c>
      <c r="B574" s="9">
        <v>705</v>
      </c>
      <c r="C574" s="9">
        <v>6</v>
      </c>
      <c r="D574" s="10">
        <v>445.93</v>
      </c>
      <c r="E574">
        <f t="shared" si="40"/>
        <v>2</v>
      </c>
      <c r="F574">
        <f t="shared" si="41"/>
        <v>3</v>
      </c>
      <c r="G574">
        <f t="shared" si="42"/>
        <v>5</v>
      </c>
      <c r="H574" s="3" t="str">
        <f t="shared" si="43"/>
        <v>235</v>
      </c>
      <c r="I574" t="str">
        <f t="shared" si="44"/>
        <v>Big Spender</v>
      </c>
    </row>
    <row r="575" spans="1:9" x14ac:dyDescent="0.25">
      <c r="A575" s="9" t="s">
        <v>1226</v>
      </c>
      <c r="B575" s="9">
        <v>821</v>
      </c>
      <c r="C575" s="9">
        <v>6</v>
      </c>
      <c r="D575" s="10">
        <v>242.79</v>
      </c>
      <c r="E575">
        <f t="shared" si="40"/>
        <v>1</v>
      </c>
      <c r="F575">
        <f t="shared" si="41"/>
        <v>3</v>
      </c>
      <c r="G575">
        <f t="shared" si="42"/>
        <v>3</v>
      </c>
      <c r="H575" s="3" t="str">
        <f t="shared" si="43"/>
        <v>133</v>
      </c>
      <c r="I575" t="str">
        <f t="shared" si="44"/>
        <v>About To Sleep</v>
      </c>
    </row>
    <row r="576" spans="1:9" x14ac:dyDescent="0.25">
      <c r="A576" s="9" t="s">
        <v>1228</v>
      </c>
      <c r="B576" s="9">
        <v>739</v>
      </c>
      <c r="C576" s="9">
        <v>8</v>
      </c>
      <c r="D576" s="10">
        <v>393.09</v>
      </c>
      <c r="E576">
        <f t="shared" si="40"/>
        <v>2</v>
      </c>
      <c r="F576">
        <f t="shared" si="41"/>
        <v>4</v>
      </c>
      <c r="G576">
        <f t="shared" si="42"/>
        <v>4</v>
      </c>
      <c r="H576" s="3" t="str">
        <f t="shared" si="43"/>
        <v>244</v>
      </c>
      <c r="I576" t="str">
        <f t="shared" si="44"/>
        <v>Loyal Customer</v>
      </c>
    </row>
    <row r="577" spans="1:9" x14ac:dyDescent="0.25">
      <c r="A577" s="9" t="s">
        <v>1230</v>
      </c>
      <c r="B577" s="9">
        <v>526</v>
      </c>
      <c r="C577" s="9">
        <v>2</v>
      </c>
      <c r="D577" s="10">
        <v>167.61</v>
      </c>
      <c r="E577">
        <f t="shared" si="40"/>
        <v>5</v>
      </c>
      <c r="F577">
        <f t="shared" si="41"/>
        <v>1</v>
      </c>
      <c r="G577">
        <f t="shared" si="42"/>
        <v>2</v>
      </c>
      <c r="H577" s="3" t="str">
        <f t="shared" si="43"/>
        <v>512</v>
      </c>
      <c r="I577" t="str">
        <f t="shared" si="44"/>
        <v>Lost Customer</v>
      </c>
    </row>
    <row r="578" spans="1:9" x14ac:dyDescent="0.25">
      <c r="A578" s="9" t="s">
        <v>1232</v>
      </c>
      <c r="B578" s="9">
        <v>732</v>
      </c>
      <c r="C578" s="9">
        <v>2</v>
      </c>
      <c r="D578" s="10">
        <v>324.22000000000003</v>
      </c>
      <c r="E578">
        <f t="shared" si="40"/>
        <v>2</v>
      </c>
      <c r="F578">
        <f t="shared" si="41"/>
        <v>1</v>
      </c>
      <c r="G578">
        <f t="shared" si="42"/>
        <v>4</v>
      </c>
      <c r="H578" s="3" t="str">
        <f t="shared" si="43"/>
        <v>214</v>
      </c>
      <c r="I578" t="str">
        <f t="shared" si="44"/>
        <v>Big Spender</v>
      </c>
    </row>
    <row r="579" spans="1:9" x14ac:dyDescent="0.25">
      <c r="A579" s="9" t="s">
        <v>1234</v>
      </c>
      <c r="B579" s="9">
        <v>726</v>
      </c>
      <c r="C579" s="9">
        <v>11</v>
      </c>
      <c r="D579" s="10">
        <v>159.30000000000001</v>
      </c>
      <c r="E579">
        <f t="shared" ref="E579:E642" si="45">IF(B579 &lt;= _xlfn.PERCENTILE.INC($B$2:$B$1001, 0.2), 5,
 IF(B579 &lt;= _xlfn.PERCENTILE.INC($B$2:$B$1001, 0.4), 4,
 IF(B579 &lt;= _xlfn.PERCENTILE.INC($B$2:$B$1001, 0.6), 3,
 IF(B579 &lt;= _xlfn.PERCENTILE.INC($B$2:$B$1001, 0.8), 2, 1))))</f>
        <v>2</v>
      </c>
      <c r="F579">
        <f t="shared" ref="F579:F642" si="46">IF(C579 &gt;= _xlfn.PERCENTILE.INC($C$2:$C$1001, 0.8), 5,
 IF(C579 &gt;= _xlfn.PERCENTILE.INC($C$2:$C$1001, 0.6), 4,
 IF(C579 &gt;= _xlfn.PERCENTILE.INC($C$2:$C$1001, 0.4), 3,
 IF(C579 &gt;= _xlfn.PERCENTILE.INC($C$2:$C$1001, 0.2), 2, 1))))</f>
        <v>5</v>
      </c>
      <c r="G579">
        <f t="shared" ref="G579:G642" si="47">IF(D579 &gt;= _xlfn.PERCENTILE.INC($D$2:$D$1001, 0.8), 5,
 IF(D579 &gt;= _xlfn.PERCENTILE.INC($D$2:$D$1001, 0.6), 4,
 IF(D579 &gt;= _xlfn.PERCENTILE.INC($D$2:$D$1001, 0.4), 3,
 IF(D579 &gt;= _xlfn.PERCENTILE.INC($D$2:$D$1001, 0.2), 2, 1))))</f>
        <v>2</v>
      </c>
      <c r="H579" s="3" t="str">
        <f t="shared" ref="H579:H642" si="48">TEXT(E579,"0") &amp; TEXT(F579,"0") &amp; TEXT(G579,"0")</f>
        <v>252</v>
      </c>
      <c r="I579" t="str">
        <f t="shared" ref="I579:I642" si="49">IF(AND(E579&gt;=4, F579&gt;=4, G579&gt;=4), "Champion",
 IF(AND(F579&gt;=4, G579&gt;=4), "Loyal Customer",
 IF(AND(E579&gt;=4, F579&gt;=3), "Potential Loyalist",
 IF(G579&gt;=4, "Big Spender",
 IF(AND(E579&lt;=2, F579&lt;=2), "At Risk",
 IF(E579&lt;=2, "About To Sleep",
 IF(AND(F579&lt;=2, G579&lt;=2), "Lost Customer", "Others")))))))</f>
        <v>About To Sleep</v>
      </c>
    </row>
    <row r="580" spans="1:9" x14ac:dyDescent="0.25">
      <c r="A580" s="9" t="s">
        <v>1236</v>
      </c>
      <c r="B580" s="9">
        <v>517</v>
      </c>
      <c r="C580" s="9">
        <v>5</v>
      </c>
      <c r="D580" s="10">
        <v>324.39</v>
      </c>
      <c r="E580">
        <f t="shared" si="45"/>
        <v>5</v>
      </c>
      <c r="F580">
        <f t="shared" si="46"/>
        <v>2</v>
      </c>
      <c r="G580">
        <f t="shared" si="47"/>
        <v>4</v>
      </c>
      <c r="H580" s="3" t="str">
        <f t="shared" si="48"/>
        <v>524</v>
      </c>
      <c r="I580" t="str">
        <f t="shared" si="49"/>
        <v>Big Spender</v>
      </c>
    </row>
    <row r="581" spans="1:9" x14ac:dyDescent="0.25">
      <c r="A581" s="9" t="s">
        <v>1238</v>
      </c>
      <c r="B581" s="9">
        <v>829</v>
      </c>
      <c r="C581" s="9">
        <v>2</v>
      </c>
      <c r="D581" s="10">
        <v>198.89</v>
      </c>
      <c r="E581">
        <f t="shared" si="45"/>
        <v>1</v>
      </c>
      <c r="F581">
        <f t="shared" si="46"/>
        <v>1</v>
      </c>
      <c r="G581">
        <f t="shared" si="47"/>
        <v>2</v>
      </c>
      <c r="H581" s="3" t="str">
        <f t="shared" si="48"/>
        <v>112</v>
      </c>
      <c r="I581" t="str">
        <f t="shared" si="49"/>
        <v>At Risk</v>
      </c>
    </row>
    <row r="582" spans="1:9" x14ac:dyDescent="0.25">
      <c r="A582" s="9" t="s">
        <v>1240</v>
      </c>
      <c r="B582" s="9">
        <v>770</v>
      </c>
      <c r="C582" s="9">
        <v>7</v>
      </c>
      <c r="D582" s="10">
        <v>287.18</v>
      </c>
      <c r="E582">
        <f t="shared" si="45"/>
        <v>1</v>
      </c>
      <c r="F582">
        <f t="shared" si="46"/>
        <v>3</v>
      </c>
      <c r="G582">
        <f t="shared" si="47"/>
        <v>3</v>
      </c>
      <c r="H582" s="3" t="str">
        <f t="shared" si="48"/>
        <v>133</v>
      </c>
      <c r="I582" t="str">
        <f t="shared" si="49"/>
        <v>About To Sleep</v>
      </c>
    </row>
    <row r="583" spans="1:9" x14ac:dyDescent="0.25">
      <c r="A583" s="9" t="s">
        <v>1242</v>
      </c>
      <c r="B583" s="9">
        <v>556</v>
      </c>
      <c r="C583" s="9">
        <v>7</v>
      </c>
      <c r="D583" s="10">
        <v>162.24</v>
      </c>
      <c r="E583">
        <f t="shared" si="45"/>
        <v>5</v>
      </c>
      <c r="F583">
        <f t="shared" si="46"/>
        <v>3</v>
      </c>
      <c r="G583">
        <f t="shared" si="47"/>
        <v>2</v>
      </c>
      <c r="H583" s="3" t="str">
        <f t="shared" si="48"/>
        <v>532</v>
      </c>
      <c r="I583" t="str">
        <f t="shared" si="49"/>
        <v>Potential Loyalist</v>
      </c>
    </row>
    <row r="584" spans="1:9" x14ac:dyDescent="0.25">
      <c r="A584" s="9" t="s">
        <v>1244</v>
      </c>
      <c r="B584" s="9">
        <v>491</v>
      </c>
      <c r="C584" s="9">
        <v>6</v>
      </c>
      <c r="D584" s="10">
        <v>92.97</v>
      </c>
      <c r="E584">
        <f t="shared" si="45"/>
        <v>5</v>
      </c>
      <c r="F584">
        <f t="shared" si="46"/>
        <v>3</v>
      </c>
      <c r="G584">
        <f t="shared" si="47"/>
        <v>1</v>
      </c>
      <c r="H584" s="3" t="str">
        <f t="shared" si="48"/>
        <v>531</v>
      </c>
      <c r="I584" t="str">
        <f t="shared" si="49"/>
        <v>Potential Loyalist</v>
      </c>
    </row>
    <row r="585" spans="1:9" x14ac:dyDescent="0.25">
      <c r="A585" s="9" t="s">
        <v>1246</v>
      </c>
      <c r="B585" s="9">
        <v>678</v>
      </c>
      <c r="C585" s="9">
        <v>12</v>
      </c>
      <c r="D585" s="10">
        <v>144.38999999999999</v>
      </c>
      <c r="E585">
        <f t="shared" si="45"/>
        <v>3</v>
      </c>
      <c r="F585">
        <f t="shared" si="46"/>
        <v>5</v>
      </c>
      <c r="G585">
        <f t="shared" si="47"/>
        <v>2</v>
      </c>
      <c r="H585" s="3" t="str">
        <f t="shared" si="48"/>
        <v>352</v>
      </c>
      <c r="I585" t="str">
        <f t="shared" si="49"/>
        <v>Others</v>
      </c>
    </row>
    <row r="586" spans="1:9" x14ac:dyDescent="0.25">
      <c r="A586" s="9" t="s">
        <v>1248</v>
      </c>
      <c r="B586" s="9">
        <v>712</v>
      </c>
      <c r="C586" s="9">
        <v>12</v>
      </c>
      <c r="D586" s="10">
        <v>253.37</v>
      </c>
      <c r="E586">
        <f t="shared" si="45"/>
        <v>2</v>
      </c>
      <c r="F586">
        <f t="shared" si="46"/>
        <v>5</v>
      </c>
      <c r="G586">
        <f t="shared" si="47"/>
        <v>3</v>
      </c>
      <c r="H586" s="3" t="str">
        <f t="shared" si="48"/>
        <v>253</v>
      </c>
      <c r="I586" t="str">
        <f t="shared" si="49"/>
        <v>About To Sleep</v>
      </c>
    </row>
    <row r="587" spans="1:9" x14ac:dyDescent="0.25">
      <c r="A587" s="9" t="s">
        <v>1250</v>
      </c>
      <c r="B587" s="9">
        <v>555</v>
      </c>
      <c r="C587" s="9">
        <v>12</v>
      </c>
      <c r="D587" s="10">
        <v>209.62</v>
      </c>
      <c r="E587">
        <f t="shared" si="45"/>
        <v>5</v>
      </c>
      <c r="F587">
        <f t="shared" si="46"/>
        <v>5</v>
      </c>
      <c r="G587">
        <f t="shared" si="47"/>
        <v>2</v>
      </c>
      <c r="H587" s="3" t="str">
        <f t="shared" si="48"/>
        <v>552</v>
      </c>
      <c r="I587" t="str">
        <f t="shared" si="49"/>
        <v>Potential Loyalist</v>
      </c>
    </row>
    <row r="588" spans="1:9" x14ac:dyDescent="0.25">
      <c r="A588" s="9" t="s">
        <v>1252</v>
      </c>
      <c r="B588" s="9">
        <v>562</v>
      </c>
      <c r="C588" s="9">
        <v>6</v>
      </c>
      <c r="D588" s="10">
        <v>411.62</v>
      </c>
      <c r="E588">
        <f t="shared" si="45"/>
        <v>4</v>
      </c>
      <c r="F588">
        <f t="shared" si="46"/>
        <v>3</v>
      </c>
      <c r="G588">
        <f t="shared" si="47"/>
        <v>4</v>
      </c>
      <c r="H588" s="3" t="str">
        <f t="shared" si="48"/>
        <v>434</v>
      </c>
      <c r="I588" t="str">
        <f t="shared" si="49"/>
        <v>Potential Loyalist</v>
      </c>
    </row>
    <row r="589" spans="1:9" x14ac:dyDescent="0.25">
      <c r="A589" s="9" t="s">
        <v>1254</v>
      </c>
      <c r="B589" s="9">
        <v>517</v>
      </c>
      <c r="C589" s="9">
        <v>2</v>
      </c>
      <c r="D589" s="10">
        <v>388.01</v>
      </c>
      <c r="E589">
        <f t="shared" si="45"/>
        <v>5</v>
      </c>
      <c r="F589">
        <f t="shared" si="46"/>
        <v>1</v>
      </c>
      <c r="G589">
        <f t="shared" si="47"/>
        <v>4</v>
      </c>
      <c r="H589" s="3" t="str">
        <f t="shared" si="48"/>
        <v>514</v>
      </c>
      <c r="I589" t="str">
        <f t="shared" si="49"/>
        <v>Big Spender</v>
      </c>
    </row>
    <row r="590" spans="1:9" x14ac:dyDescent="0.25">
      <c r="A590" s="9" t="s">
        <v>1256</v>
      </c>
      <c r="B590" s="9">
        <v>829</v>
      </c>
      <c r="C590" s="9">
        <v>6</v>
      </c>
      <c r="D590" s="10">
        <v>50.78</v>
      </c>
      <c r="E590">
        <f t="shared" si="45"/>
        <v>1</v>
      </c>
      <c r="F590">
        <f t="shared" si="46"/>
        <v>3</v>
      </c>
      <c r="G590">
        <f t="shared" si="47"/>
        <v>1</v>
      </c>
      <c r="H590" s="3" t="str">
        <f t="shared" si="48"/>
        <v>131</v>
      </c>
      <c r="I590" t="str">
        <f t="shared" si="49"/>
        <v>About To Sleep</v>
      </c>
    </row>
    <row r="591" spans="1:9" x14ac:dyDescent="0.25">
      <c r="A591" s="9" t="s">
        <v>1258</v>
      </c>
      <c r="B591" s="9">
        <v>497</v>
      </c>
      <c r="C591" s="9">
        <v>2</v>
      </c>
      <c r="D591" s="10">
        <v>159.82</v>
      </c>
      <c r="E591">
        <f t="shared" si="45"/>
        <v>5</v>
      </c>
      <c r="F591">
        <f t="shared" si="46"/>
        <v>1</v>
      </c>
      <c r="G591">
        <f t="shared" si="47"/>
        <v>2</v>
      </c>
      <c r="H591" s="3" t="str">
        <f t="shared" si="48"/>
        <v>512</v>
      </c>
      <c r="I591" t="str">
        <f t="shared" si="49"/>
        <v>Lost Customer</v>
      </c>
    </row>
    <row r="592" spans="1:9" x14ac:dyDescent="0.25">
      <c r="A592" s="9" t="s">
        <v>1260</v>
      </c>
      <c r="B592" s="9">
        <v>826</v>
      </c>
      <c r="C592" s="9">
        <v>3</v>
      </c>
      <c r="D592" s="10">
        <v>79.430000000000007</v>
      </c>
      <c r="E592">
        <f t="shared" si="45"/>
        <v>1</v>
      </c>
      <c r="F592">
        <f t="shared" si="46"/>
        <v>1</v>
      </c>
      <c r="G592">
        <f t="shared" si="47"/>
        <v>1</v>
      </c>
      <c r="H592" s="3" t="str">
        <f t="shared" si="48"/>
        <v>111</v>
      </c>
      <c r="I592" t="str">
        <f t="shared" si="49"/>
        <v>At Risk</v>
      </c>
    </row>
    <row r="593" spans="1:9" x14ac:dyDescent="0.25">
      <c r="A593" s="9" t="s">
        <v>1262</v>
      </c>
      <c r="B593" s="9">
        <v>515</v>
      </c>
      <c r="C593" s="9">
        <v>4</v>
      </c>
      <c r="D593" s="10">
        <v>131.36000000000001</v>
      </c>
      <c r="E593">
        <f t="shared" si="45"/>
        <v>5</v>
      </c>
      <c r="F593">
        <f t="shared" si="46"/>
        <v>2</v>
      </c>
      <c r="G593">
        <f t="shared" si="47"/>
        <v>1</v>
      </c>
      <c r="H593" s="3" t="str">
        <f t="shared" si="48"/>
        <v>521</v>
      </c>
      <c r="I593" t="str">
        <f t="shared" si="49"/>
        <v>Lost Customer</v>
      </c>
    </row>
    <row r="594" spans="1:9" x14ac:dyDescent="0.25">
      <c r="A594" s="9" t="s">
        <v>1264</v>
      </c>
      <c r="B594" s="9">
        <v>654</v>
      </c>
      <c r="C594" s="9">
        <v>12</v>
      </c>
      <c r="D594" s="10">
        <v>299.75</v>
      </c>
      <c r="E594">
        <f t="shared" si="45"/>
        <v>3</v>
      </c>
      <c r="F594">
        <f t="shared" si="46"/>
        <v>5</v>
      </c>
      <c r="G594">
        <f t="shared" si="47"/>
        <v>3</v>
      </c>
      <c r="H594" s="3" t="str">
        <f t="shared" si="48"/>
        <v>353</v>
      </c>
      <c r="I594" t="str">
        <f t="shared" si="49"/>
        <v>Others</v>
      </c>
    </row>
    <row r="595" spans="1:9" x14ac:dyDescent="0.25">
      <c r="A595" s="9" t="s">
        <v>1266</v>
      </c>
      <c r="B595" s="9">
        <v>521</v>
      </c>
      <c r="C595" s="9">
        <v>9</v>
      </c>
      <c r="D595" s="10">
        <v>319.38</v>
      </c>
      <c r="E595">
        <f t="shared" si="45"/>
        <v>5</v>
      </c>
      <c r="F595">
        <f t="shared" si="46"/>
        <v>4</v>
      </c>
      <c r="G595">
        <f t="shared" si="47"/>
        <v>3</v>
      </c>
      <c r="H595" s="3" t="str">
        <f t="shared" si="48"/>
        <v>543</v>
      </c>
      <c r="I595" t="str">
        <f t="shared" si="49"/>
        <v>Potential Loyalist</v>
      </c>
    </row>
    <row r="596" spans="1:9" x14ac:dyDescent="0.25">
      <c r="A596" s="9" t="s">
        <v>1268</v>
      </c>
      <c r="B596" s="9">
        <v>653</v>
      </c>
      <c r="C596" s="9">
        <v>8</v>
      </c>
      <c r="D596" s="10">
        <v>476.48</v>
      </c>
      <c r="E596">
        <f t="shared" si="45"/>
        <v>3</v>
      </c>
      <c r="F596">
        <f t="shared" si="46"/>
        <v>4</v>
      </c>
      <c r="G596">
        <f t="shared" si="47"/>
        <v>5</v>
      </c>
      <c r="H596" s="3" t="str">
        <f t="shared" si="48"/>
        <v>345</v>
      </c>
      <c r="I596" t="str">
        <f t="shared" si="49"/>
        <v>Loyal Customer</v>
      </c>
    </row>
    <row r="597" spans="1:9" x14ac:dyDescent="0.25">
      <c r="A597" s="9" t="s">
        <v>1270</v>
      </c>
      <c r="B597" s="9">
        <v>605</v>
      </c>
      <c r="C597" s="9">
        <v>9</v>
      </c>
      <c r="D597" s="10">
        <v>301.01</v>
      </c>
      <c r="E597">
        <f t="shared" si="45"/>
        <v>4</v>
      </c>
      <c r="F597">
        <f t="shared" si="46"/>
        <v>4</v>
      </c>
      <c r="G597">
        <f t="shared" si="47"/>
        <v>3</v>
      </c>
      <c r="H597" s="3" t="str">
        <f t="shared" si="48"/>
        <v>443</v>
      </c>
      <c r="I597" t="str">
        <f t="shared" si="49"/>
        <v>Potential Loyalist</v>
      </c>
    </row>
    <row r="598" spans="1:9" x14ac:dyDescent="0.25">
      <c r="A598" s="9" t="s">
        <v>1272</v>
      </c>
      <c r="B598" s="9">
        <v>598</v>
      </c>
      <c r="C598" s="9">
        <v>5</v>
      </c>
      <c r="D598" s="10">
        <v>378.71</v>
      </c>
      <c r="E598">
        <f t="shared" si="45"/>
        <v>4</v>
      </c>
      <c r="F598">
        <f t="shared" si="46"/>
        <v>2</v>
      </c>
      <c r="G598">
        <f t="shared" si="47"/>
        <v>4</v>
      </c>
      <c r="H598" s="3" t="str">
        <f t="shared" si="48"/>
        <v>424</v>
      </c>
      <c r="I598" t="str">
        <f t="shared" si="49"/>
        <v>Big Spender</v>
      </c>
    </row>
    <row r="599" spans="1:9" x14ac:dyDescent="0.25">
      <c r="A599" s="9" t="s">
        <v>1274</v>
      </c>
      <c r="B599" s="9">
        <v>765</v>
      </c>
      <c r="C599" s="9">
        <v>6</v>
      </c>
      <c r="D599" s="10">
        <v>314.32</v>
      </c>
      <c r="E599">
        <f t="shared" si="45"/>
        <v>1</v>
      </c>
      <c r="F599">
        <f t="shared" si="46"/>
        <v>3</v>
      </c>
      <c r="G599">
        <f t="shared" si="47"/>
        <v>3</v>
      </c>
      <c r="H599" s="3" t="str">
        <f t="shared" si="48"/>
        <v>133</v>
      </c>
      <c r="I599" t="str">
        <f t="shared" si="49"/>
        <v>About To Sleep</v>
      </c>
    </row>
    <row r="600" spans="1:9" x14ac:dyDescent="0.25">
      <c r="A600" s="9" t="s">
        <v>1276</v>
      </c>
      <c r="B600" s="9">
        <v>611</v>
      </c>
      <c r="C600" s="9">
        <v>12</v>
      </c>
      <c r="D600" s="10">
        <v>210.9</v>
      </c>
      <c r="E600">
        <f t="shared" si="45"/>
        <v>4</v>
      </c>
      <c r="F600">
        <f t="shared" si="46"/>
        <v>5</v>
      </c>
      <c r="G600">
        <f t="shared" si="47"/>
        <v>2</v>
      </c>
      <c r="H600" s="3" t="str">
        <f t="shared" si="48"/>
        <v>452</v>
      </c>
      <c r="I600" t="str">
        <f t="shared" si="49"/>
        <v>Potential Loyalist</v>
      </c>
    </row>
    <row r="601" spans="1:9" x14ac:dyDescent="0.25">
      <c r="A601" s="9" t="s">
        <v>1277</v>
      </c>
      <c r="B601" s="9">
        <v>783</v>
      </c>
      <c r="C601" s="9">
        <v>4</v>
      </c>
      <c r="D601" s="10">
        <v>218.26</v>
      </c>
      <c r="E601">
        <f t="shared" si="45"/>
        <v>1</v>
      </c>
      <c r="F601">
        <f t="shared" si="46"/>
        <v>2</v>
      </c>
      <c r="G601">
        <f t="shared" si="47"/>
        <v>2</v>
      </c>
      <c r="H601" s="3" t="str">
        <f t="shared" si="48"/>
        <v>122</v>
      </c>
      <c r="I601" t="str">
        <f t="shared" si="49"/>
        <v>At Risk</v>
      </c>
    </row>
    <row r="602" spans="1:9" x14ac:dyDescent="0.25">
      <c r="A602" s="9" t="s">
        <v>1279</v>
      </c>
      <c r="B602" s="9">
        <v>796</v>
      </c>
      <c r="C602" s="9">
        <v>5</v>
      </c>
      <c r="D602" s="10">
        <v>424.18</v>
      </c>
      <c r="E602">
        <f t="shared" si="45"/>
        <v>1</v>
      </c>
      <c r="F602">
        <f t="shared" si="46"/>
        <v>2</v>
      </c>
      <c r="G602">
        <f t="shared" si="47"/>
        <v>5</v>
      </c>
      <c r="H602" s="3" t="str">
        <f t="shared" si="48"/>
        <v>125</v>
      </c>
      <c r="I602" t="str">
        <f t="shared" si="49"/>
        <v>Big Spender</v>
      </c>
    </row>
    <row r="603" spans="1:9" x14ac:dyDescent="0.25">
      <c r="A603" s="9" t="s">
        <v>1281</v>
      </c>
      <c r="B603" s="9">
        <v>665</v>
      </c>
      <c r="C603" s="9">
        <v>11</v>
      </c>
      <c r="D603" s="10">
        <v>430.75</v>
      </c>
      <c r="E603">
        <f t="shared" si="45"/>
        <v>3</v>
      </c>
      <c r="F603">
        <f t="shared" si="46"/>
        <v>5</v>
      </c>
      <c r="G603">
        <f t="shared" si="47"/>
        <v>5</v>
      </c>
      <c r="H603" s="3" t="str">
        <f t="shared" si="48"/>
        <v>355</v>
      </c>
      <c r="I603" t="str">
        <f t="shared" si="49"/>
        <v>Loyal Customer</v>
      </c>
    </row>
    <row r="604" spans="1:9" x14ac:dyDescent="0.25">
      <c r="A604" s="9" t="s">
        <v>1282</v>
      </c>
      <c r="B604" s="9">
        <v>638</v>
      </c>
      <c r="C604" s="9">
        <v>11</v>
      </c>
      <c r="D604" s="10">
        <v>162.94999999999999</v>
      </c>
      <c r="E604">
        <f t="shared" si="45"/>
        <v>3</v>
      </c>
      <c r="F604">
        <f t="shared" si="46"/>
        <v>5</v>
      </c>
      <c r="G604">
        <f t="shared" si="47"/>
        <v>2</v>
      </c>
      <c r="H604" s="3" t="str">
        <f t="shared" si="48"/>
        <v>352</v>
      </c>
      <c r="I604" t="str">
        <f t="shared" si="49"/>
        <v>Others</v>
      </c>
    </row>
    <row r="605" spans="1:9" x14ac:dyDescent="0.25">
      <c r="A605" s="9" t="s">
        <v>1284</v>
      </c>
      <c r="B605" s="9">
        <v>659</v>
      </c>
      <c r="C605" s="9">
        <v>2</v>
      </c>
      <c r="D605" s="10">
        <v>209.68</v>
      </c>
      <c r="E605">
        <f t="shared" si="45"/>
        <v>3</v>
      </c>
      <c r="F605">
        <f t="shared" si="46"/>
        <v>1</v>
      </c>
      <c r="G605">
        <f t="shared" si="47"/>
        <v>2</v>
      </c>
      <c r="H605" s="3" t="str">
        <f t="shared" si="48"/>
        <v>312</v>
      </c>
      <c r="I605" t="str">
        <f t="shared" si="49"/>
        <v>Lost Customer</v>
      </c>
    </row>
    <row r="606" spans="1:9" x14ac:dyDescent="0.25">
      <c r="A606" s="9" t="s">
        <v>1286</v>
      </c>
      <c r="B606" s="9">
        <v>564</v>
      </c>
      <c r="C606" s="9">
        <v>2</v>
      </c>
      <c r="D606" s="10">
        <v>97.97</v>
      </c>
      <c r="E606">
        <f t="shared" si="45"/>
        <v>4</v>
      </c>
      <c r="F606">
        <f t="shared" si="46"/>
        <v>1</v>
      </c>
      <c r="G606">
        <f t="shared" si="47"/>
        <v>1</v>
      </c>
      <c r="H606" s="3" t="str">
        <f t="shared" si="48"/>
        <v>411</v>
      </c>
      <c r="I606" t="str">
        <f t="shared" si="49"/>
        <v>Lost Customer</v>
      </c>
    </row>
    <row r="607" spans="1:9" x14ac:dyDescent="0.25">
      <c r="A607" s="9" t="s">
        <v>1288</v>
      </c>
      <c r="B607" s="9">
        <v>605</v>
      </c>
      <c r="C607" s="9">
        <v>9</v>
      </c>
      <c r="D607" s="10">
        <v>192.51</v>
      </c>
      <c r="E607">
        <f t="shared" si="45"/>
        <v>4</v>
      </c>
      <c r="F607">
        <f t="shared" si="46"/>
        <v>4</v>
      </c>
      <c r="G607">
        <f t="shared" si="47"/>
        <v>2</v>
      </c>
      <c r="H607" s="3" t="str">
        <f t="shared" si="48"/>
        <v>442</v>
      </c>
      <c r="I607" t="str">
        <f t="shared" si="49"/>
        <v>Potential Loyalist</v>
      </c>
    </row>
    <row r="608" spans="1:9" x14ac:dyDescent="0.25">
      <c r="A608" s="9" t="s">
        <v>1290</v>
      </c>
      <c r="B608" s="9">
        <v>828</v>
      </c>
      <c r="C608" s="9">
        <v>8</v>
      </c>
      <c r="D608" s="10">
        <v>151.81</v>
      </c>
      <c r="E608">
        <f t="shared" si="45"/>
        <v>1</v>
      </c>
      <c r="F608">
        <f t="shared" si="46"/>
        <v>4</v>
      </c>
      <c r="G608">
        <f t="shared" si="47"/>
        <v>2</v>
      </c>
      <c r="H608" s="3" t="str">
        <f t="shared" si="48"/>
        <v>142</v>
      </c>
      <c r="I608" t="str">
        <f t="shared" si="49"/>
        <v>About To Sleep</v>
      </c>
    </row>
    <row r="609" spans="1:9" x14ac:dyDescent="0.25">
      <c r="A609" s="9" t="s">
        <v>1291</v>
      </c>
      <c r="B609" s="9">
        <v>528</v>
      </c>
      <c r="C609" s="9">
        <v>8</v>
      </c>
      <c r="D609" s="10">
        <v>239.28</v>
      </c>
      <c r="E609">
        <f t="shared" si="45"/>
        <v>5</v>
      </c>
      <c r="F609">
        <f t="shared" si="46"/>
        <v>4</v>
      </c>
      <c r="G609">
        <f t="shared" si="47"/>
        <v>3</v>
      </c>
      <c r="H609" s="3" t="str">
        <f t="shared" si="48"/>
        <v>543</v>
      </c>
      <c r="I609" t="str">
        <f t="shared" si="49"/>
        <v>Potential Loyalist</v>
      </c>
    </row>
    <row r="610" spans="1:9" x14ac:dyDescent="0.25">
      <c r="A610" s="9" t="s">
        <v>1293</v>
      </c>
      <c r="B610" s="9">
        <v>812</v>
      </c>
      <c r="C610" s="9">
        <v>4</v>
      </c>
      <c r="D610" s="10">
        <v>306.17</v>
      </c>
      <c r="E610">
        <f t="shared" si="45"/>
        <v>1</v>
      </c>
      <c r="F610">
        <f t="shared" si="46"/>
        <v>2</v>
      </c>
      <c r="G610">
        <f t="shared" si="47"/>
        <v>3</v>
      </c>
      <c r="H610" s="3" t="str">
        <f t="shared" si="48"/>
        <v>123</v>
      </c>
      <c r="I610" t="str">
        <f t="shared" si="49"/>
        <v>At Risk</v>
      </c>
    </row>
    <row r="611" spans="1:9" x14ac:dyDescent="0.25">
      <c r="A611" s="9" t="s">
        <v>1295</v>
      </c>
      <c r="B611" s="9">
        <v>777</v>
      </c>
      <c r="C611" s="9">
        <v>11</v>
      </c>
      <c r="D611" s="10">
        <v>370.38</v>
      </c>
      <c r="E611">
        <f t="shared" si="45"/>
        <v>1</v>
      </c>
      <c r="F611">
        <f t="shared" si="46"/>
        <v>5</v>
      </c>
      <c r="G611">
        <f t="shared" si="47"/>
        <v>4</v>
      </c>
      <c r="H611" s="3" t="str">
        <f t="shared" si="48"/>
        <v>154</v>
      </c>
      <c r="I611" t="str">
        <f t="shared" si="49"/>
        <v>Loyal Customer</v>
      </c>
    </row>
    <row r="612" spans="1:9" x14ac:dyDescent="0.25">
      <c r="A612" s="9" t="s">
        <v>1297</v>
      </c>
      <c r="B612" s="9">
        <v>686</v>
      </c>
      <c r="C612" s="9">
        <v>6</v>
      </c>
      <c r="D612" s="10">
        <v>346.58</v>
      </c>
      <c r="E612">
        <f t="shared" si="45"/>
        <v>3</v>
      </c>
      <c r="F612">
        <f t="shared" si="46"/>
        <v>3</v>
      </c>
      <c r="G612">
        <f t="shared" si="47"/>
        <v>4</v>
      </c>
      <c r="H612" s="3" t="str">
        <f t="shared" si="48"/>
        <v>334</v>
      </c>
      <c r="I612" t="str">
        <f t="shared" si="49"/>
        <v>Big Spender</v>
      </c>
    </row>
    <row r="613" spans="1:9" x14ac:dyDescent="0.25">
      <c r="A613" s="9" t="s">
        <v>1299</v>
      </c>
      <c r="B613" s="9">
        <v>500</v>
      </c>
      <c r="C613" s="9">
        <v>5</v>
      </c>
      <c r="D613" s="10">
        <v>292.64</v>
      </c>
      <c r="E613">
        <f t="shared" si="45"/>
        <v>5</v>
      </c>
      <c r="F613">
        <f t="shared" si="46"/>
        <v>2</v>
      </c>
      <c r="G613">
        <f t="shared" si="47"/>
        <v>3</v>
      </c>
      <c r="H613" s="3" t="str">
        <f t="shared" si="48"/>
        <v>523</v>
      </c>
      <c r="I613" t="str">
        <f t="shared" si="49"/>
        <v>Others</v>
      </c>
    </row>
    <row r="614" spans="1:9" x14ac:dyDescent="0.25">
      <c r="A614" s="9" t="s">
        <v>1301</v>
      </c>
      <c r="B614" s="9">
        <v>755</v>
      </c>
      <c r="C614" s="9">
        <v>12</v>
      </c>
      <c r="D614" s="10">
        <v>102.91</v>
      </c>
      <c r="E614">
        <f t="shared" si="45"/>
        <v>2</v>
      </c>
      <c r="F614">
        <f t="shared" si="46"/>
        <v>5</v>
      </c>
      <c r="G614">
        <f t="shared" si="47"/>
        <v>1</v>
      </c>
      <c r="H614" s="3" t="str">
        <f t="shared" si="48"/>
        <v>251</v>
      </c>
      <c r="I614" t="str">
        <f t="shared" si="49"/>
        <v>About To Sleep</v>
      </c>
    </row>
    <row r="615" spans="1:9" x14ac:dyDescent="0.25">
      <c r="A615" s="9" t="s">
        <v>1303</v>
      </c>
      <c r="B615" s="9">
        <v>619</v>
      </c>
      <c r="C615" s="9">
        <v>4</v>
      </c>
      <c r="D615" s="10">
        <v>283.77999999999997</v>
      </c>
      <c r="E615">
        <f t="shared" si="45"/>
        <v>4</v>
      </c>
      <c r="F615">
        <f t="shared" si="46"/>
        <v>2</v>
      </c>
      <c r="G615">
        <f t="shared" si="47"/>
        <v>3</v>
      </c>
      <c r="H615" s="3" t="str">
        <f t="shared" si="48"/>
        <v>423</v>
      </c>
      <c r="I615" t="str">
        <f t="shared" si="49"/>
        <v>Others</v>
      </c>
    </row>
    <row r="616" spans="1:9" x14ac:dyDescent="0.25">
      <c r="A616" s="9" t="s">
        <v>1305</v>
      </c>
      <c r="B616" s="9">
        <v>703</v>
      </c>
      <c r="C616" s="9">
        <v>2</v>
      </c>
      <c r="D616" s="10">
        <v>51.44</v>
      </c>
      <c r="E616">
        <f t="shared" si="45"/>
        <v>2</v>
      </c>
      <c r="F616">
        <f t="shared" si="46"/>
        <v>1</v>
      </c>
      <c r="G616">
        <f t="shared" si="47"/>
        <v>1</v>
      </c>
      <c r="H616" s="3" t="str">
        <f t="shared" si="48"/>
        <v>211</v>
      </c>
      <c r="I616" t="str">
        <f t="shared" si="49"/>
        <v>At Risk</v>
      </c>
    </row>
    <row r="617" spans="1:9" x14ac:dyDescent="0.25">
      <c r="A617" s="9" t="s">
        <v>1307</v>
      </c>
      <c r="B617" s="9">
        <v>793</v>
      </c>
      <c r="C617" s="9">
        <v>12</v>
      </c>
      <c r="D617" s="10">
        <v>405.7</v>
      </c>
      <c r="E617">
        <f t="shared" si="45"/>
        <v>1</v>
      </c>
      <c r="F617">
        <f t="shared" si="46"/>
        <v>5</v>
      </c>
      <c r="G617">
        <f t="shared" si="47"/>
        <v>4</v>
      </c>
      <c r="H617" s="3" t="str">
        <f t="shared" si="48"/>
        <v>154</v>
      </c>
      <c r="I617" t="str">
        <f t="shared" si="49"/>
        <v>Loyal Customer</v>
      </c>
    </row>
    <row r="618" spans="1:9" x14ac:dyDescent="0.25">
      <c r="A618" s="9" t="s">
        <v>1309</v>
      </c>
      <c r="B618" s="9">
        <v>824</v>
      </c>
      <c r="C618" s="9">
        <v>11</v>
      </c>
      <c r="D618" s="10">
        <v>311.74</v>
      </c>
      <c r="E618">
        <f t="shared" si="45"/>
        <v>1</v>
      </c>
      <c r="F618">
        <f t="shared" si="46"/>
        <v>5</v>
      </c>
      <c r="G618">
        <f t="shared" si="47"/>
        <v>3</v>
      </c>
      <c r="H618" s="3" t="str">
        <f t="shared" si="48"/>
        <v>153</v>
      </c>
      <c r="I618" t="str">
        <f t="shared" si="49"/>
        <v>About To Sleep</v>
      </c>
    </row>
    <row r="619" spans="1:9" x14ac:dyDescent="0.25">
      <c r="A619" s="9" t="s">
        <v>1311</v>
      </c>
      <c r="B619" s="9">
        <v>654</v>
      </c>
      <c r="C619" s="9">
        <v>9</v>
      </c>
      <c r="D619" s="10">
        <v>293.43</v>
      </c>
      <c r="E619">
        <f t="shared" si="45"/>
        <v>3</v>
      </c>
      <c r="F619">
        <f t="shared" si="46"/>
        <v>4</v>
      </c>
      <c r="G619">
        <f t="shared" si="47"/>
        <v>3</v>
      </c>
      <c r="H619" s="3" t="str">
        <f t="shared" si="48"/>
        <v>343</v>
      </c>
      <c r="I619" t="str">
        <f t="shared" si="49"/>
        <v>Others</v>
      </c>
    </row>
    <row r="620" spans="1:9" x14ac:dyDescent="0.25">
      <c r="A620" s="9" t="s">
        <v>1313</v>
      </c>
      <c r="B620" s="9">
        <v>719</v>
      </c>
      <c r="C620" s="9">
        <v>6</v>
      </c>
      <c r="D620" s="10">
        <v>418.51</v>
      </c>
      <c r="E620">
        <f t="shared" si="45"/>
        <v>2</v>
      </c>
      <c r="F620">
        <f t="shared" si="46"/>
        <v>3</v>
      </c>
      <c r="G620">
        <f t="shared" si="47"/>
        <v>5</v>
      </c>
      <c r="H620" s="3" t="str">
        <f t="shared" si="48"/>
        <v>235</v>
      </c>
      <c r="I620" t="str">
        <f t="shared" si="49"/>
        <v>Big Spender</v>
      </c>
    </row>
    <row r="621" spans="1:9" x14ac:dyDescent="0.25">
      <c r="A621" s="9" t="s">
        <v>1315</v>
      </c>
      <c r="B621" s="9">
        <v>561</v>
      </c>
      <c r="C621" s="9">
        <v>9</v>
      </c>
      <c r="D621" s="10">
        <v>85.03</v>
      </c>
      <c r="E621">
        <f t="shared" si="45"/>
        <v>4</v>
      </c>
      <c r="F621">
        <f t="shared" si="46"/>
        <v>4</v>
      </c>
      <c r="G621">
        <f t="shared" si="47"/>
        <v>1</v>
      </c>
      <c r="H621" s="3" t="str">
        <f t="shared" si="48"/>
        <v>441</v>
      </c>
      <c r="I621" t="str">
        <f t="shared" si="49"/>
        <v>Potential Loyalist</v>
      </c>
    </row>
    <row r="622" spans="1:9" x14ac:dyDescent="0.25">
      <c r="A622" s="9" t="s">
        <v>1317</v>
      </c>
      <c r="B622" s="9">
        <v>641</v>
      </c>
      <c r="C622" s="9">
        <v>4</v>
      </c>
      <c r="D622" s="10">
        <v>164.94</v>
      </c>
      <c r="E622">
        <f t="shared" si="45"/>
        <v>3</v>
      </c>
      <c r="F622">
        <f t="shared" si="46"/>
        <v>2</v>
      </c>
      <c r="G622">
        <f t="shared" si="47"/>
        <v>2</v>
      </c>
      <c r="H622" s="3" t="str">
        <f t="shared" si="48"/>
        <v>322</v>
      </c>
      <c r="I622" t="str">
        <f t="shared" si="49"/>
        <v>Lost Customer</v>
      </c>
    </row>
    <row r="623" spans="1:9" x14ac:dyDescent="0.25">
      <c r="A623" s="9" t="s">
        <v>1319</v>
      </c>
      <c r="B623" s="9">
        <v>727</v>
      </c>
      <c r="C623" s="9">
        <v>11</v>
      </c>
      <c r="D623" s="10">
        <v>89.32</v>
      </c>
      <c r="E623">
        <f t="shared" si="45"/>
        <v>2</v>
      </c>
      <c r="F623">
        <f t="shared" si="46"/>
        <v>5</v>
      </c>
      <c r="G623">
        <f t="shared" si="47"/>
        <v>1</v>
      </c>
      <c r="H623" s="3" t="str">
        <f t="shared" si="48"/>
        <v>251</v>
      </c>
      <c r="I623" t="str">
        <f t="shared" si="49"/>
        <v>About To Sleep</v>
      </c>
    </row>
    <row r="624" spans="1:9" x14ac:dyDescent="0.25">
      <c r="A624" s="9" t="s">
        <v>1321</v>
      </c>
      <c r="B624" s="9">
        <v>748</v>
      </c>
      <c r="C624" s="9">
        <v>2</v>
      </c>
      <c r="D624" s="10">
        <v>388.26</v>
      </c>
      <c r="E624">
        <f t="shared" si="45"/>
        <v>2</v>
      </c>
      <c r="F624">
        <f t="shared" si="46"/>
        <v>1</v>
      </c>
      <c r="G624">
        <f t="shared" si="47"/>
        <v>4</v>
      </c>
      <c r="H624" s="3" t="str">
        <f t="shared" si="48"/>
        <v>214</v>
      </c>
      <c r="I624" t="str">
        <f t="shared" si="49"/>
        <v>Big Spender</v>
      </c>
    </row>
    <row r="625" spans="1:9" x14ac:dyDescent="0.25">
      <c r="A625" s="9" t="s">
        <v>1323</v>
      </c>
      <c r="B625" s="9">
        <v>577</v>
      </c>
      <c r="C625" s="9">
        <v>5</v>
      </c>
      <c r="D625" s="10">
        <v>106.69</v>
      </c>
      <c r="E625">
        <f t="shared" si="45"/>
        <v>4</v>
      </c>
      <c r="F625">
        <f t="shared" si="46"/>
        <v>2</v>
      </c>
      <c r="G625">
        <f t="shared" si="47"/>
        <v>1</v>
      </c>
      <c r="H625" s="3" t="str">
        <f t="shared" si="48"/>
        <v>421</v>
      </c>
      <c r="I625" t="str">
        <f t="shared" si="49"/>
        <v>Lost Customer</v>
      </c>
    </row>
    <row r="626" spans="1:9" x14ac:dyDescent="0.25">
      <c r="A626" s="9" t="s">
        <v>1325</v>
      </c>
      <c r="B626" s="9">
        <v>633</v>
      </c>
      <c r="C626" s="9">
        <v>10</v>
      </c>
      <c r="D626" s="10">
        <v>301.16000000000003</v>
      </c>
      <c r="E626">
        <f t="shared" si="45"/>
        <v>3</v>
      </c>
      <c r="F626">
        <f t="shared" si="46"/>
        <v>5</v>
      </c>
      <c r="G626">
        <f t="shared" si="47"/>
        <v>3</v>
      </c>
      <c r="H626" s="3" t="str">
        <f t="shared" si="48"/>
        <v>353</v>
      </c>
      <c r="I626" t="str">
        <f t="shared" si="49"/>
        <v>Others</v>
      </c>
    </row>
    <row r="627" spans="1:9" x14ac:dyDescent="0.25">
      <c r="A627" s="9" t="s">
        <v>1327</v>
      </c>
      <c r="B627" s="9">
        <v>564</v>
      </c>
      <c r="C627" s="9">
        <v>6</v>
      </c>
      <c r="D627" s="10">
        <v>61.71</v>
      </c>
      <c r="E627">
        <f t="shared" si="45"/>
        <v>4</v>
      </c>
      <c r="F627">
        <f t="shared" si="46"/>
        <v>3</v>
      </c>
      <c r="G627">
        <f t="shared" si="47"/>
        <v>1</v>
      </c>
      <c r="H627" s="3" t="str">
        <f t="shared" si="48"/>
        <v>431</v>
      </c>
      <c r="I627" t="str">
        <f t="shared" si="49"/>
        <v>Potential Loyalist</v>
      </c>
    </row>
    <row r="628" spans="1:9" x14ac:dyDescent="0.25">
      <c r="A628" s="9" t="s">
        <v>1329</v>
      </c>
      <c r="B628" s="9">
        <v>783</v>
      </c>
      <c r="C628" s="9">
        <v>11</v>
      </c>
      <c r="D628" s="10">
        <v>83.33</v>
      </c>
      <c r="E628">
        <f t="shared" si="45"/>
        <v>1</v>
      </c>
      <c r="F628">
        <f t="shared" si="46"/>
        <v>5</v>
      </c>
      <c r="G628">
        <f t="shared" si="47"/>
        <v>1</v>
      </c>
      <c r="H628" s="3" t="str">
        <f t="shared" si="48"/>
        <v>151</v>
      </c>
      <c r="I628" t="str">
        <f t="shared" si="49"/>
        <v>About To Sleep</v>
      </c>
    </row>
    <row r="629" spans="1:9" x14ac:dyDescent="0.25">
      <c r="A629" s="9" t="s">
        <v>1331</v>
      </c>
      <c r="B629" s="9">
        <v>742</v>
      </c>
      <c r="C629" s="9">
        <v>4</v>
      </c>
      <c r="D629" s="10">
        <v>411.81</v>
      </c>
      <c r="E629">
        <f t="shared" si="45"/>
        <v>2</v>
      </c>
      <c r="F629">
        <f t="shared" si="46"/>
        <v>2</v>
      </c>
      <c r="G629">
        <f t="shared" si="47"/>
        <v>4</v>
      </c>
      <c r="H629" s="3" t="str">
        <f t="shared" si="48"/>
        <v>224</v>
      </c>
      <c r="I629" t="str">
        <f t="shared" si="49"/>
        <v>Big Spender</v>
      </c>
    </row>
    <row r="630" spans="1:9" x14ac:dyDescent="0.25">
      <c r="A630" s="9" t="s">
        <v>1333</v>
      </c>
      <c r="B630" s="9">
        <v>605</v>
      </c>
      <c r="C630" s="9">
        <v>3</v>
      </c>
      <c r="D630" s="10">
        <v>114.93</v>
      </c>
      <c r="E630">
        <f t="shared" si="45"/>
        <v>4</v>
      </c>
      <c r="F630">
        <f t="shared" si="46"/>
        <v>1</v>
      </c>
      <c r="G630">
        <f t="shared" si="47"/>
        <v>1</v>
      </c>
      <c r="H630" s="3" t="str">
        <f t="shared" si="48"/>
        <v>411</v>
      </c>
      <c r="I630" t="str">
        <f t="shared" si="49"/>
        <v>Lost Customer</v>
      </c>
    </row>
    <row r="631" spans="1:9" x14ac:dyDescent="0.25">
      <c r="A631" s="9" t="s">
        <v>1335</v>
      </c>
      <c r="B631" s="9">
        <v>587</v>
      </c>
      <c r="C631" s="9">
        <v>11</v>
      </c>
      <c r="D631" s="10">
        <v>438.42</v>
      </c>
      <c r="E631">
        <f t="shared" si="45"/>
        <v>4</v>
      </c>
      <c r="F631">
        <f t="shared" si="46"/>
        <v>5</v>
      </c>
      <c r="G631">
        <f t="shared" si="47"/>
        <v>5</v>
      </c>
      <c r="H631" s="3" t="str">
        <f t="shared" si="48"/>
        <v>455</v>
      </c>
      <c r="I631" t="str">
        <f t="shared" si="49"/>
        <v>Champion</v>
      </c>
    </row>
    <row r="632" spans="1:9" x14ac:dyDescent="0.25">
      <c r="A632" s="9" t="s">
        <v>1337</v>
      </c>
      <c r="B632" s="9">
        <v>775</v>
      </c>
      <c r="C632" s="9">
        <v>2</v>
      </c>
      <c r="D632" s="10">
        <v>189.97</v>
      </c>
      <c r="E632">
        <f t="shared" si="45"/>
        <v>1</v>
      </c>
      <c r="F632">
        <f t="shared" si="46"/>
        <v>1</v>
      </c>
      <c r="G632">
        <f t="shared" si="47"/>
        <v>2</v>
      </c>
      <c r="H632" s="3" t="str">
        <f t="shared" si="48"/>
        <v>112</v>
      </c>
      <c r="I632" t="str">
        <f t="shared" si="49"/>
        <v>At Risk</v>
      </c>
    </row>
    <row r="633" spans="1:9" x14ac:dyDescent="0.25">
      <c r="A633" s="9" t="s">
        <v>1339</v>
      </c>
      <c r="B633" s="9">
        <v>652</v>
      </c>
      <c r="C633" s="9">
        <v>12</v>
      </c>
      <c r="D633" s="10">
        <v>227.03</v>
      </c>
      <c r="E633">
        <f t="shared" si="45"/>
        <v>3</v>
      </c>
      <c r="F633">
        <f t="shared" si="46"/>
        <v>5</v>
      </c>
      <c r="G633">
        <f t="shared" si="47"/>
        <v>2</v>
      </c>
      <c r="H633" s="3" t="str">
        <f t="shared" si="48"/>
        <v>352</v>
      </c>
      <c r="I633" t="str">
        <f t="shared" si="49"/>
        <v>Others</v>
      </c>
    </row>
    <row r="634" spans="1:9" x14ac:dyDescent="0.25">
      <c r="A634" s="9" t="s">
        <v>1341</v>
      </c>
      <c r="B634" s="9">
        <v>589</v>
      </c>
      <c r="C634" s="9">
        <v>4</v>
      </c>
      <c r="D634" s="10">
        <v>278.49</v>
      </c>
      <c r="E634">
        <f t="shared" si="45"/>
        <v>4</v>
      </c>
      <c r="F634">
        <f t="shared" si="46"/>
        <v>2</v>
      </c>
      <c r="G634">
        <f t="shared" si="47"/>
        <v>3</v>
      </c>
      <c r="H634" s="3" t="str">
        <f t="shared" si="48"/>
        <v>423</v>
      </c>
      <c r="I634" t="str">
        <f t="shared" si="49"/>
        <v>Others</v>
      </c>
    </row>
    <row r="635" spans="1:9" x14ac:dyDescent="0.25">
      <c r="A635" s="9" t="s">
        <v>1343</v>
      </c>
      <c r="B635" s="9">
        <v>686</v>
      </c>
      <c r="C635" s="9">
        <v>5</v>
      </c>
      <c r="D635" s="10">
        <v>120.56</v>
      </c>
      <c r="E635">
        <f t="shared" si="45"/>
        <v>3</v>
      </c>
      <c r="F635">
        <f t="shared" si="46"/>
        <v>2</v>
      </c>
      <c r="G635">
        <f t="shared" si="47"/>
        <v>1</v>
      </c>
      <c r="H635" s="3" t="str">
        <f t="shared" si="48"/>
        <v>321</v>
      </c>
      <c r="I635" t="str">
        <f t="shared" si="49"/>
        <v>Lost Customer</v>
      </c>
    </row>
    <row r="636" spans="1:9" x14ac:dyDescent="0.25">
      <c r="A636" s="9" t="s">
        <v>1345</v>
      </c>
      <c r="B636" s="9">
        <v>528</v>
      </c>
      <c r="C636" s="9">
        <v>11</v>
      </c>
      <c r="D636" s="10">
        <v>320.94</v>
      </c>
      <c r="E636">
        <f t="shared" si="45"/>
        <v>5</v>
      </c>
      <c r="F636">
        <f t="shared" si="46"/>
        <v>5</v>
      </c>
      <c r="G636">
        <f t="shared" si="47"/>
        <v>3</v>
      </c>
      <c r="H636" s="3" t="str">
        <f t="shared" si="48"/>
        <v>553</v>
      </c>
      <c r="I636" t="str">
        <f t="shared" si="49"/>
        <v>Potential Loyalist</v>
      </c>
    </row>
    <row r="637" spans="1:9" x14ac:dyDescent="0.25">
      <c r="A637" s="9" t="s">
        <v>1347</v>
      </c>
      <c r="B637" s="9">
        <v>551</v>
      </c>
      <c r="C637" s="9">
        <v>3</v>
      </c>
      <c r="D637" s="10">
        <v>217.72</v>
      </c>
      <c r="E637">
        <f t="shared" si="45"/>
        <v>5</v>
      </c>
      <c r="F637">
        <f t="shared" si="46"/>
        <v>1</v>
      </c>
      <c r="G637">
        <f t="shared" si="47"/>
        <v>2</v>
      </c>
      <c r="H637" s="3" t="str">
        <f t="shared" si="48"/>
        <v>512</v>
      </c>
      <c r="I637" t="str">
        <f t="shared" si="49"/>
        <v>Lost Customer</v>
      </c>
    </row>
    <row r="638" spans="1:9" x14ac:dyDescent="0.25">
      <c r="A638" s="9" t="s">
        <v>1349</v>
      </c>
      <c r="B638" s="9">
        <v>656</v>
      </c>
      <c r="C638" s="9">
        <v>3</v>
      </c>
      <c r="D638" s="10">
        <v>222.61</v>
      </c>
      <c r="E638">
        <f t="shared" si="45"/>
        <v>3</v>
      </c>
      <c r="F638">
        <f t="shared" si="46"/>
        <v>1</v>
      </c>
      <c r="G638">
        <f t="shared" si="47"/>
        <v>2</v>
      </c>
      <c r="H638" s="3" t="str">
        <f t="shared" si="48"/>
        <v>312</v>
      </c>
      <c r="I638" t="str">
        <f t="shared" si="49"/>
        <v>Lost Customer</v>
      </c>
    </row>
    <row r="639" spans="1:9" x14ac:dyDescent="0.25">
      <c r="A639" s="9" t="s">
        <v>1351</v>
      </c>
      <c r="B639" s="9">
        <v>641</v>
      </c>
      <c r="C639" s="9">
        <v>3</v>
      </c>
      <c r="D639" s="10">
        <v>102.73</v>
      </c>
      <c r="E639">
        <f t="shared" si="45"/>
        <v>3</v>
      </c>
      <c r="F639">
        <f t="shared" si="46"/>
        <v>1</v>
      </c>
      <c r="G639">
        <f t="shared" si="47"/>
        <v>1</v>
      </c>
      <c r="H639" s="3" t="str">
        <f t="shared" si="48"/>
        <v>311</v>
      </c>
      <c r="I639" t="str">
        <f t="shared" si="49"/>
        <v>Lost Customer</v>
      </c>
    </row>
    <row r="640" spans="1:9" x14ac:dyDescent="0.25">
      <c r="A640" s="9" t="s">
        <v>1353</v>
      </c>
      <c r="B640" s="9">
        <v>767</v>
      </c>
      <c r="C640" s="9">
        <v>2</v>
      </c>
      <c r="D640" s="10">
        <v>426.87</v>
      </c>
      <c r="E640">
        <f t="shared" si="45"/>
        <v>1</v>
      </c>
      <c r="F640">
        <f t="shared" si="46"/>
        <v>1</v>
      </c>
      <c r="G640">
        <f t="shared" si="47"/>
        <v>5</v>
      </c>
      <c r="H640" s="3" t="str">
        <f t="shared" si="48"/>
        <v>115</v>
      </c>
      <c r="I640" t="str">
        <f t="shared" si="49"/>
        <v>Big Spender</v>
      </c>
    </row>
    <row r="641" spans="1:9" x14ac:dyDescent="0.25">
      <c r="A641" s="9" t="s">
        <v>1355</v>
      </c>
      <c r="B641" s="9">
        <v>497</v>
      </c>
      <c r="C641" s="9">
        <v>5</v>
      </c>
      <c r="D641" s="10">
        <v>473.28</v>
      </c>
      <c r="E641">
        <f t="shared" si="45"/>
        <v>5</v>
      </c>
      <c r="F641">
        <f t="shared" si="46"/>
        <v>2</v>
      </c>
      <c r="G641">
        <f t="shared" si="47"/>
        <v>5</v>
      </c>
      <c r="H641" s="3" t="str">
        <f t="shared" si="48"/>
        <v>525</v>
      </c>
      <c r="I641" t="str">
        <f t="shared" si="49"/>
        <v>Big Spender</v>
      </c>
    </row>
    <row r="642" spans="1:9" x14ac:dyDescent="0.25">
      <c r="A642" s="9" t="s">
        <v>1357</v>
      </c>
      <c r="B642" s="9">
        <v>663</v>
      </c>
      <c r="C642" s="9">
        <v>9</v>
      </c>
      <c r="D642" s="10">
        <v>446.03</v>
      </c>
      <c r="E642">
        <f t="shared" si="45"/>
        <v>3</v>
      </c>
      <c r="F642">
        <f t="shared" si="46"/>
        <v>4</v>
      </c>
      <c r="G642">
        <f t="shared" si="47"/>
        <v>5</v>
      </c>
      <c r="H642" s="3" t="str">
        <f t="shared" si="48"/>
        <v>345</v>
      </c>
      <c r="I642" t="str">
        <f t="shared" si="49"/>
        <v>Loyal Customer</v>
      </c>
    </row>
    <row r="643" spans="1:9" x14ac:dyDescent="0.25">
      <c r="A643" s="9" t="s">
        <v>1359</v>
      </c>
      <c r="B643" s="9">
        <v>524</v>
      </c>
      <c r="C643" s="9">
        <v>3</v>
      </c>
      <c r="D643" s="10">
        <v>287.95</v>
      </c>
      <c r="E643">
        <f t="shared" ref="E643:E706" si="50">IF(B643 &lt;= _xlfn.PERCENTILE.INC($B$2:$B$1001, 0.2), 5,
 IF(B643 &lt;= _xlfn.PERCENTILE.INC($B$2:$B$1001, 0.4), 4,
 IF(B643 &lt;= _xlfn.PERCENTILE.INC($B$2:$B$1001, 0.6), 3,
 IF(B643 &lt;= _xlfn.PERCENTILE.INC($B$2:$B$1001, 0.8), 2, 1))))</f>
        <v>5</v>
      </c>
      <c r="F643">
        <f t="shared" ref="F643:F706" si="51">IF(C643 &gt;= _xlfn.PERCENTILE.INC($C$2:$C$1001, 0.8), 5,
 IF(C643 &gt;= _xlfn.PERCENTILE.INC($C$2:$C$1001, 0.6), 4,
 IF(C643 &gt;= _xlfn.PERCENTILE.INC($C$2:$C$1001, 0.4), 3,
 IF(C643 &gt;= _xlfn.PERCENTILE.INC($C$2:$C$1001, 0.2), 2, 1))))</f>
        <v>1</v>
      </c>
      <c r="G643">
        <f t="shared" ref="G643:G706" si="52">IF(D643 &gt;= _xlfn.PERCENTILE.INC($D$2:$D$1001, 0.8), 5,
 IF(D643 &gt;= _xlfn.PERCENTILE.INC($D$2:$D$1001, 0.6), 4,
 IF(D643 &gt;= _xlfn.PERCENTILE.INC($D$2:$D$1001, 0.4), 3,
 IF(D643 &gt;= _xlfn.PERCENTILE.INC($D$2:$D$1001, 0.2), 2, 1))))</f>
        <v>3</v>
      </c>
      <c r="H643" s="3" t="str">
        <f t="shared" ref="H643:H706" si="53">TEXT(E643,"0") &amp; TEXT(F643,"0") &amp; TEXT(G643,"0")</f>
        <v>513</v>
      </c>
      <c r="I643" t="str">
        <f t="shared" ref="I643:I706" si="54">IF(AND(E643&gt;=4, F643&gt;=4, G643&gt;=4), "Champion",
 IF(AND(F643&gt;=4, G643&gt;=4), "Loyal Customer",
 IF(AND(E643&gt;=4, F643&gt;=3), "Potential Loyalist",
 IF(G643&gt;=4, "Big Spender",
 IF(AND(E643&lt;=2, F643&lt;=2), "At Risk",
 IF(E643&lt;=2, "About To Sleep",
 IF(AND(F643&lt;=2, G643&lt;=2), "Lost Customer", "Others")))))))</f>
        <v>Others</v>
      </c>
    </row>
    <row r="644" spans="1:9" x14ac:dyDescent="0.25">
      <c r="A644" s="9" t="s">
        <v>1361</v>
      </c>
      <c r="B644" s="9">
        <v>486</v>
      </c>
      <c r="C644" s="9">
        <v>6</v>
      </c>
      <c r="D644" s="10">
        <v>132.52000000000001</v>
      </c>
      <c r="E644">
        <f t="shared" si="50"/>
        <v>5</v>
      </c>
      <c r="F644">
        <f t="shared" si="51"/>
        <v>3</v>
      </c>
      <c r="G644">
        <f t="shared" si="52"/>
        <v>1</v>
      </c>
      <c r="H644" s="3" t="str">
        <f t="shared" si="53"/>
        <v>531</v>
      </c>
      <c r="I644" t="str">
        <f t="shared" si="54"/>
        <v>Potential Loyalist</v>
      </c>
    </row>
    <row r="645" spans="1:9" x14ac:dyDescent="0.25">
      <c r="A645" s="9" t="s">
        <v>1363</v>
      </c>
      <c r="B645" s="9">
        <v>692</v>
      </c>
      <c r="C645" s="9">
        <v>7</v>
      </c>
      <c r="D645" s="10">
        <v>379.2</v>
      </c>
      <c r="E645">
        <f t="shared" si="50"/>
        <v>3</v>
      </c>
      <c r="F645">
        <f t="shared" si="51"/>
        <v>3</v>
      </c>
      <c r="G645">
        <f t="shared" si="52"/>
        <v>4</v>
      </c>
      <c r="H645" s="3" t="str">
        <f t="shared" si="53"/>
        <v>334</v>
      </c>
      <c r="I645" t="str">
        <f t="shared" si="54"/>
        <v>Big Spender</v>
      </c>
    </row>
    <row r="646" spans="1:9" x14ac:dyDescent="0.25">
      <c r="A646" s="9" t="s">
        <v>1365</v>
      </c>
      <c r="B646" s="9">
        <v>554</v>
      </c>
      <c r="C646" s="9">
        <v>4</v>
      </c>
      <c r="D646" s="10">
        <v>447.53</v>
      </c>
      <c r="E646">
        <f t="shared" si="50"/>
        <v>5</v>
      </c>
      <c r="F646">
        <f t="shared" si="51"/>
        <v>2</v>
      </c>
      <c r="G646">
        <f t="shared" si="52"/>
        <v>5</v>
      </c>
      <c r="H646" s="3" t="str">
        <f t="shared" si="53"/>
        <v>525</v>
      </c>
      <c r="I646" t="str">
        <f t="shared" si="54"/>
        <v>Big Spender</v>
      </c>
    </row>
    <row r="647" spans="1:9" x14ac:dyDescent="0.25">
      <c r="A647" s="9" t="s">
        <v>1367</v>
      </c>
      <c r="B647" s="9">
        <v>788</v>
      </c>
      <c r="C647" s="9">
        <v>4</v>
      </c>
      <c r="D647" s="10">
        <v>138.44</v>
      </c>
      <c r="E647">
        <f t="shared" si="50"/>
        <v>1</v>
      </c>
      <c r="F647">
        <f t="shared" si="51"/>
        <v>2</v>
      </c>
      <c r="G647">
        <f t="shared" si="52"/>
        <v>2</v>
      </c>
      <c r="H647" s="3" t="str">
        <f t="shared" si="53"/>
        <v>122</v>
      </c>
      <c r="I647" t="str">
        <f t="shared" si="54"/>
        <v>At Risk</v>
      </c>
    </row>
    <row r="648" spans="1:9" x14ac:dyDescent="0.25">
      <c r="A648" s="9" t="s">
        <v>1369</v>
      </c>
      <c r="B648" s="9">
        <v>809</v>
      </c>
      <c r="C648" s="9">
        <v>8</v>
      </c>
      <c r="D648" s="10">
        <v>440.62</v>
      </c>
      <c r="E648">
        <f t="shared" si="50"/>
        <v>1</v>
      </c>
      <c r="F648">
        <f t="shared" si="51"/>
        <v>4</v>
      </c>
      <c r="G648">
        <f t="shared" si="52"/>
        <v>5</v>
      </c>
      <c r="H648" s="3" t="str">
        <f t="shared" si="53"/>
        <v>145</v>
      </c>
      <c r="I648" t="str">
        <f t="shared" si="54"/>
        <v>Loyal Customer</v>
      </c>
    </row>
    <row r="649" spans="1:9" x14ac:dyDescent="0.25">
      <c r="A649" s="9" t="s">
        <v>1371</v>
      </c>
      <c r="B649" s="9">
        <v>581</v>
      </c>
      <c r="C649" s="9">
        <v>4</v>
      </c>
      <c r="D649" s="10">
        <v>145.97999999999999</v>
      </c>
      <c r="E649">
        <f t="shared" si="50"/>
        <v>4</v>
      </c>
      <c r="F649">
        <f t="shared" si="51"/>
        <v>2</v>
      </c>
      <c r="G649">
        <f t="shared" si="52"/>
        <v>2</v>
      </c>
      <c r="H649" s="3" t="str">
        <f t="shared" si="53"/>
        <v>422</v>
      </c>
      <c r="I649" t="str">
        <f t="shared" si="54"/>
        <v>Lost Customer</v>
      </c>
    </row>
    <row r="650" spans="1:9" x14ac:dyDescent="0.25">
      <c r="A650" s="9" t="s">
        <v>1373</v>
      </c>
      <c r="B650" s="9">
        <v>723</v>
      </c>
      <c r="C650" s="9">
        <v>11</v>
      </c>
      <c r="D650" s="10">
        <v>405.66</v>
      </c>
      <c r="E650">
        <f t="shared" si="50"/>
        <v>2</v>
      </c>
      <c r="F650">
        <f t="shared" si="51"/>
        <v>5</v>
      </c>
      <c r="G650">
        <f t="shared" si="52"/>
        <v>4</v>
      </c>
      <c r="H650" s="3" t="str">
        <f t="shared" si="53"/>
        <v>254</v>
      </c>
      <c r="I650" t="str">
        <f t="shared" si="54"/>
        <v>Loyal Customer</v>
      </c>
    </row>
    <row r="651" spans="1:9" x14ac:dyDescent="0.25">
      <c r="A651" s="9" t="s">
        <v>1375</v>
      </c>
      <c r="B651" s="9">
        <v>722</v>
      </c>
      <c r="C651" s="9">
        <v>7</v>
      </c>
      <c r="D651" s="10">
        <v>419.98</v>
      </c>
      <c r="E651">
        <f t="shared" si="50"/>
        <v>2</v>
      </c>
      <c r="F651">
        <f t="shared" si="51"/>
        <v>3</v>
      </c>
      <c r="G651">
        <f t="shared" si="52"/>
        <v>5</v>
      </c>
      <c r="H651" s="3" t="str">
        <f t="shared" si="53"/>
        <v>235</v>
      </c>
      <c r="I651" t="str">
        <f t="shared" si="54"/>
        <v>Big Spender</v>
      </c>
    </row>
    <row r="652" spans="1:9" x14ac:dyDescent="0.25">
      <c r="A652" s="9" t="s">
        <v>1377</v>
      </c>
      <c r="B652" s="9">
        <v>596</v>
      </c>
      <c r="C652" s="9">
        <v>5</v>
      </c>
      <c r="D652" s="10">
        <v>260.14</v>
      </c>
      <c r="E652">
        <f t="shared" si="50"/>
        <v>4</v>
      </c>
      <c r="F652">
        <f t="shared" si="51"/>
        <v>2</v>
      </c>
      <c r="G652">
        <f t="shared" si="52"/>
        <v>3</v>
      </c>
      <c r="H652" s="3" t="str">
        <f t="shared" si="53"/>
        <v>423</v>
      </c>
      <c r="I652" t="str">
        <f t="shared" si="54"/>
        <v>Others</v>
      </c>
    </row>
    <row r="653" spans="1:9" x14ac:dyDescent="0.25">
      <c r="A653" s="9" t="s">
        <v>1379</v>
      </c>
      <c r="B653" s="9">
        <v>760</v>
      </c>
      <c r="C653" s="9">
        <v>10</v>
      </c>
      <c r="D653" s="10">
        <v>368.91</v>
      </c>
      <c r="E653">
        <f t="shared" si="50"/>
        <v>2</v>
      </c>
      <c r="F653">
        <f t="shared" si="51"/>
        <v>5</v>
      </c>
      <c r="G653">
        <f t="shared" si="52"/>
        <v>4</v>
      </c>
      <c r="H653" s="3" t="str">
        <f t="shared" si="53"/>
        <v>254</v>
      </c>
      <c r="I653" t="str">
        <f t="shared" si="54"/>
        <v>Loyal Customer</v>
      </c>
    </row>
    <row r="654" spans="1:9" x14ac:dyDescent="0.25">
      <c r="A654" s="9" t="s">
        <v>1381</v>
      </c>
      <c r="B654" s="9">
        <v>495</v>
      </c>
      <c r="C654" s="9">
        <v>2</v>
      </c>
      <c r="D654" s="10">
        <v>100.32</v>
      </c>
      <c r="E654">
        <f t="shared" si="50"/>
        <v>5</v>
      </c>
      <c r="F654">
        <f t="shared" si="51"/>
        <v>1</v>
      </c>
      <c r="G654">
        <f t="shared" si="52"/>
        <v>1</v>
      </c>
      <c r="H654" s="3" t="str">
        <f t="shared" si="53"/>
        <v>511</v>
      </c>
      <c r="I654" t="str">
        <f t="shared" si="54"/>
        <v>Lost Customer</v>
      </c>
    </row>
    <row r="655" spans="1:9" x14ac:dyDescent="0.25">
      <c r="A655" s="9" t="s">
        <v>1383</v>
      </c>
      <c r="B655" s="9">
        <v>502</v>
      </c>
      <c r="C655" s="9">
        <v>7</v>
      </c>
      <c r="D655" s="10">
        <v>107.82</v>
      </c>
      <c r="E655">
        <f t="shared" si="50"/>
        <v>5</v>
      </c>
      <c r="F655">
        <f t="shared" si="51"/>
        <v>3</v>
      </c>
      <c r="G655">
        <f t="shared" si="52"/>
        <v>1</v>
      </c>
      <c r="H655" s="3" t="str">
        <f t="shared" si="53"/>
        <v>531</v>
      </c>
      <c r="I655" t="str">
        <f t="shared" si="54"/>
        <v>Potential Loyalist</v>
      </c>
    </row>
    <row r="656" spans="1:9" x14ac:dyDescent="0.25">
      <c r="A656" s="9" t="s">
        <v>1385</v>
      </c>
      <c r="B656" s="9">
        <v>786</v>
      </c>
      <c r="C656" s="9">
        <v>11</v>
      </c>
      <c r="D656" s="10">
        <v>83.88</v>
      </c>
      <c r="E656">
        <f t="shared" si="50"/>
        <v>1</v>
      </c>
      <c r="F656">
        <f t="shared" si="51"/>
        <v>5</v>
      </c>
      <c r="G656">
        <f t="shared" si="52"/>
        <v>1</v>
      </c>
      <c r="H656" s="3" t="str">
        <f t="shared" si="53"/>
        <v>151</v>
      </c>
      <c r="I656" t="str">
        <f t="shared" si="54"/>
        <v>About To Sleep</v>
      </c>
    </row>
    <row r="657" spans="1:9" x14ac:dyDescent="0.25">
      <c r="A657" s="9" t="s">
        <v>1387</v>
      </c>
      <c r="B657" s="9">
        <v>696</v>
      </c>
      <c r="C657" s="9">
        <v>9</v>
      </c>
      <c r="D657" s="10">
        <v>81.25</v>
      </c>
      <c r="E657">
        <f t="shared" si="50"/>
        <v>2</v>
      </c>
      <c r="F657">
        <f t="shared" si="51"/>
        <v>4</v>
      </c>
      <c r="G657">
        <f t="shared" si="52"/>
        <v>1</v>
      </c>
      <c r="H657" s="3" t="str">
        <f t="shared" si="53"/>
        <v>241</v>
      </c>
      <c r="I657" t="str">
        <f t="shared" si="54"/>
        <v>About To Sleep</v>
      </c>
    </row>
    <row r="658" spans="1:9" x14ac:dyDescent="0.25">
      <c r="A658" s="9" t="s">
        <v>1389</v>
      </c>
      <c r="B658" s="9">
        <v>702</v>
      </c>
      <c r="C658" s="9">
        <v>12</v>
      </c>
      <c r="D658" s="10">
        <v>125.8</v>
      </c>
      <c r="E658">
        <f t="shared" si="50"/>
        <v>2</v>
      </c>
      <c r="F658">
        <f t="shared" si="51"/>
        <v>5</v>
      </c>
      <c r="G658">
        <f t="shared" si="52"/>
        <v>1</v>
      </c>
      <c r="H658" s="3" t="str">
        <f t="shared" si="53"/>
        <v>251</v>
      </c>
      <c r="I658" t="str">
        <f t="shared" si="54"/>
        <v>About To Sleep</v>
      </c>
    </row>
    <row r="659" spans="1:9" x14ac:dyDescent="0.25">
      <c r="A659" s="9" t="s">
        <v>1391</v>
      </c>
      <c r="B659" s="9">
        <v>748</v>
      </c>
      <c r="C659" s="9">
        <v>11</v>
      </c>
      <c r="D659" s="10">
        <v>197.9</v>
      </c>
      <c r="E659">
        <f t="shared" si="50"/>
        <v>2</v>
      </c>
      <c r="F659">
        <f t="shared" si="51"/>
        <v>5</v>
      </c>
      <c r="G659">
        <f t="shared" si="52"/>
        <v>2</v>
      </c>
      <c r="H659" s="3" t="str">
        <f t="shared" si="53"/>
        <v>252</v>
      </c>
      <c r="I659" t="str">
        <f t="shared" si="54"/>
        <v>About To Sleep</v>
      </c>
    </row>
    <row r="660" spans="1:9" x14ac:dyDescent="0.25">
      <c r="A660" s="9" t="s">
        <v>1393</v>
      </c>
      <c r="B660" s="9">
        <v>665</v>
      </c>
      <c r="C660" s="9">
        <v>8</v>
      </c>
      <c r="D660" s="10">
        <v>299.08999999999997</v>
      </c>
      <c r="E660">
        <f t="shared" si="50"/>
        <v>3</v>
      </c>
      <c r="F660">
        <f t="shared" si="51"/>
        <v>4</v>
      </c>
      <c r="G660">
        <f t="shared" si="52"/>
        <v>3</v>
      </c>
      <c r="H660" s="3" t="str">
        <f t="shared" si="53"/>
        <v>343</v>
      </c>
      <c r="I660" t="str">
        <f t="shared" si="54"/>
        <v>Others</v>
      </c>
    </row>
    <row r="661" spans="1:9" x14ac:dyDescent="0.25">
      <c r="A661" s="9" t="s">
        <v>1395</v>
      </c>
      <c r="B661" s="9">
        <v>594</v>
      </c>
      <c r="C661" s="9">
        <v>10</v>
      </c>
      <c r="D661" s="10">
        <v>79.3</v>
      </c>
      <c r="E661">
        <f t="shared" si="50"/>
        <v>4</v>
      </c>
      <c r="F661">
        <f t="shared" si="51"/>
        <v>5</v>
      </c>
      <c r="G661">
        <f t="shared" si="52"/>
        <v>1</v>
      </c>
      <c r="H661" s="3" t="str">
        <f t="shared" si="53"/>
        <v>451</v>
      </c>
      <c r="I661" t="str">
        <f t="shared" si="54"/>
        <v>Potential Loyalist</v>
      </c>
    </row>
    <row r="662" spans="1:9" x14ac:dyDescent="0.25">
      <c r="A662" s="9" t="s">
        <v>1397</v>
      </c>
      <c r="B662" s="9">
        <v>701</v>
      </c>
      <c r="C662" s="9">
        <v>12</v>
      </c>
      <c r="D662" s="10">
        <v>55.73</v>
      </c>
      <c r="E662">
        <f t="shared" si="50"/>
        <v>2</v>
      </c>
      <c r="F662">
        <f t="shared" si="51"/>
        <v>5</v>
      </c>
      <c r="G662">
        <f t="shared" si="52"/>
        <v>1</v>
      </c>
      <c r="H662" s="3" t="str">
        <f t="shared" si="53"/>
        <v>251</v>
      </c>
      <c r="I662" t="str">
        <f t="shared" si="54"/>
        <v>About To Sleep</v>
      </c>
    </row>
    <row r="663" spans="1:9" x14ac:dyDescent="0.25">
      <c r="A663" s="9" t="s">
        <v>1399</v>
      </c>
      <c r="B663" s="9">
        <v>624</v>
      </c>
      <c r="C663" s="9">
        <v>8</v>
      </c>
      <c r="D663" s="10">
        <v>256.44</v>
      </c>
      <c r="E663">
        <f t="shared" si="50"/>
        <v>4</v>
      </c>
      <c r="F663">
        <f t="shared" si="51"/>
        <v>4</v>
      </c>
      <c r="G663">
        <f t="shared" si="52"/>
        <v>3</v>
      </c>
      <c r="H663" s="3" t="str">
        <f t="shared" si="53"/>
        <v>443</v>
      </c>
      <c r="I663" t="str">
        <f t="shared" si="54"/>
        <v>Potential Loyalist</v>
      </c>
    </row>
    <row r="664" spans="1:9" x14ac:dyDescent="0.25">
      <c r="A664" s="9" t="s">
        <v>1401</v>
      </c>
      <c r="B664" s="9">
        <v>543</v>
      </c>
      <c r="C664" s="9">
        <v>12</v>
      </c>
      <c r="D664" s="10">
        <v>337.21</v>
      </c>
      <c r="E664">
        <f t="shared" si="50"/>
        <v>5</v>
      </c>
      <c r="F664">
        <f t="shared" si="51"/>
        <v>5</v>
      </c>
      <c r="G664">
        <f t="shared" si="52"/>
        <v>4</v>
      </c>
      <c r="H664" s="3" t="str">
        <f t="shared" si="53"/>
        <v>554</v>
      </c>
      <c r="I664" t="str">
        <f t="shared" si="54"/>
        <v>Champion</v>
      </c>
    </row>
    <row r="665" spans="1:9" x14ac:dyDescent="0.25">
      <c r="A665" s="9" t="s">
        <v>1403</v>
      </c>
      <c r="B665" s="9">
        <v>612</v>
      </c>
      <c r="C665" s="9">
        <v>12</v>
      </c>
      <c r="D665" s="10">
        <v>494.97</v>
      </c>
      <c r="E665">
        <f t="shared" si="50"/>
        <v>4</v>
      </c>
      <c r="F665">
        <f t="shared" si="51"/>
        <v>5</v>
      </c>
      <c r="G665">
        <f t="shared" si="52"/>
        <v>5</v>
      </c>
      <c r="H665" s="3" t="str">
        <f t="shared" si="53"/>
        <v>455</v>
      </c>
      <c r="I665" t="str">
        <f t="shared" si="54"/>
        <v>Champion</v>
      </c>
    </row>
    <row r="666" spans="1:9" x14ac:dyDescent="0.25">
      <c r="A666" s="9" t="s">
        <v>1405</v>
      </c>
      <c r="B666" s="9">
        <v>678</v>
      </c>
      <c r="C666" s="9">
        <v>6</v>
      </c>
      <c r="D666" s="10">
        <v>238.58</v>
      </c>
      <c r="E666">
        <f t="shared" si="50"/>
        <v>3</v>
      </c>
      <c r="F666">
        <f t="shared" si="51"/>
        <v>3</v>
      </c>
      <c r="G666">
        <f t="shared" si="52"/>
        <v>3</v>
      </c>
      <c r="H666" s="3" t="str">
        <f t="shared" si="53"/>
        <v>333</v>
      </c>
      <c r="I666" t="str">
        <f t="shared" si="54"/>
        <v>Others</v>
      </c>
    </row>
    <row r="667" spans="1:9" x14ac:dyDescent="0.25">
      <c r="A667" s="9" t="s">
        <v>1407</v>
      </c>
      <c r="B667" s="9">
        <v>535</v>
      </c>
      <c r="C667" s="9">
        <v>8</v>
      </c>
      <c r="D667" s="10">
        <v>131.9</v>
      </c>
      <c r="E667">
        <f t="shared" si="50"/>
        <v>5</v>
      </c>
      <c r="F667">
        <f t="shared" si="51"/>
        <v>4</v>
      </c>
      <c r="G667">
        <f t="shared" si="52"/>
        <v>1</v>
      </c>
      <c r="H667" s="3" t="str">
        <f t="shared" si="53"/>
        <v>541</v>
      </c>
      <c r="I667" t="str">
        <f t="shared" si="54"/>
        <v>Potential Loyalist</v>
      </c>
    </row>
    <row r="668" spans="1:9" x14ac:dyDescent="0.25">
      <c r="A668" s="9" t="s">
        <v>1409</v>
      </c>
      <c r="B668" s="9">
        <v>606</v>
      </c>
      <c r="C668" s="9">
        <v>12</v>
      </c>
      <c r="D668" s="10">
        <v>403.03</v>
      </c>
      <c r="E668">
        <f t="shared" si="50"/>
        <v>4</v>
      </c>
      <c r="F668">
        <f t="shared" si="51"/>
        <v>5</v>
      </c>
      <c r="G668">
        <f t="shared" si="52"/>
        <v>4</v>
      </c>
      <c r="H668" s="3" t="str">
        <f t="shared" si="53"/>
        <v>454</v>
      </c>
      <c r="I668" t="str">
        <f t="shared" si="54"/>
        <v>Champion</v>
      </c>
    </row>
    <row r="669" spans="1:9" x14ac:dyDescent="0.25">
      <c r="A669" s="9" t="s">
        <v>1411</v>
      </c>
      <c r="B669" s="9">
        <v>604</v>
      </c>
      <c r="C669" s="9">
        <v>10</v>
      </c>
      <c r="D669" s="10">
        <v>338.6</v>
      </c>
      <c r="E669">
        <f t="shared" si="50"/>
        <v>4</v>
      </c>
      <c r="F669">
        <f t="shared" si="51"/>
        <v>5</v>
      </c>
      <c r="G669">
        <f t="shared" si="52"/>
        <v>4</v>
      </c>
      <c r="H669" s="3" t="str">
        <f t="shared" si="53"/>
        <v>454</v>
      </c>
      <c r="I669" t="str">
        <f t="shared" si="54"/>
        <v>Champion</v>
      </c>
    </row>
    <row r="670" spans="1:9" x14ac:dyDescent="0.25">
      <c r="A670" s="9" t="s">
        <v>1413</v>
      </c>
      <c r="B670" s="9">
        <v>627</v>
      </c>
      <c r="C670" s="9">
        <v>11</v>
      </c>
      <c r="D670" s="10">
        <v>365.38</v>
      </c>
      <c r="E670">
        <f t="shared" si="50"/>
        <v>3</v>
      </c>
      <c r="F670">
        <f t="shared" si="51"/>
        <v>5</v>
      </c>
      <c r="G670">
        <f t="shared" si="52"/>
        <v>4</v>
      </c>
      <c r="H670" s="3" t="str">
        <f t="shared" si="53"/>
        <v>354</v>
      </c>
      <c r="I670" t="str">
        <f t="shared" si="54"/>
        <v>Loyal Customer</v>
      </c>
    </row>
    <row r="671" spans="1:9" x14ac:dyDescent="0.25">
      <c r="A671" s="9" t="s">
        <v>1415</v>
      </c>
      <c r="B671" s="9">
        <v>801</v>
      </c>
      <c r="C671" s="9">
        <v>11</v>
      </c>
      <c r="D671" s="10">
        <v>433.99</v>
      </c>
      <c r="E671">
        <f t="shared" si="50"/>
        <v>1</v>
      </c>
      <c r="F671">
        <f t="shared" si="51"/>
        <v>5</v>
      </c>
      <c r="G671">
        <f t="shared" si="52"/>
        <v>5</v>
      </c>
      <c r="H671" s="3" t="str">
        <f t="shared" si="53"/>
        <v>155</v>
      </c>
      <c r="I671" t="str">
        <f t="shared" si="54"/>
        <v>Loyal Customer</v>
      </c>
    </row>
    <row r="672" spans="1:9" x14ac:dyDescent="0.25">
      <c r="A672" s="9" t="s">
        <v>1417</v>
      </c>
      <c r="B672" s="9">
        <v>740</v>
      </c>
      <c r="C672" s="9">
        <v>5</v>
      </c>
      <c r="D672" s="10">
        <v>495.95</v>
      </c>
      <c r="E672">
        <f t="shared" si="50"/>
        <v>2</v>
      </c>
      <c r="F672">
        <f t="shared" si="51"/>
        <v>2</v>
      </c>
      <c r="G672">
        <f t="shared" si="52"/>
        <v>5</v>
      </c>
      <c r="H672" s="3" t="str">
        <f t="shared" si="53"/>
        <v>225</v>
      </c>
      <c r="I672" t="str">
        <f t="shared" si="54"/>
        <v>Big Spender</v>
      </c>
    </row>
    <row r="673" spans="1:9" x14ac:dyDescent="0.25">
      <c r="A673" s="9" t="s">
        <v>1419</v>
      </c>
      <c r="B673" s="9">
        <v>679</v>
      </c>
      <c r="C673" s="9">
        <v>7</v>
      </c>
      <c r="D673" s="10">
        <v>356.22</v>
      </c>
      <c r="E673">
        <f t="shared" si="50"/>
        <v>3</v>
      </c>
      <c r="F673">
        <f t="shared" si="51"/>
        <v>3</v>
      </c>
      <c r="G673">
        <f t="shared" si="52"/>
        <v>4</v>
      </c>
      <c r="H673" s="3" t="str">
        <f t="shared" si="53"/>
        <v>334</v>
      </c>
      <c r="I673" t="str">
        <f t="shared" si="54"/>
        <v>Big Spender</v>
      </c>
    </row>
    <row r="674" spans="1:9" x14ac:dyDescent="0.25">
      <c r="A674" s="9" t="s">
        <v>1421</v>
      </c>
      <c r="B674" s="9">
        <v>529</v>
      </c>
      <c r="C674" s="9">
        <v>7</v>
      </c>
      <c r="D674" s="10">
        <v>156.4</v>
      </c>
      <c r="E674">
        <f t="shared" si="50"/>
        <v>5</v>
      </c>
      <c r="F674">
        <f t="shared" si="51"/>
        <v>3</v>
      </c>
      <c r="G674">
        <f t="shared" si="52"/>
        <v>2</v>
      </c>
      <c r="H674" s="3" t="str">
        <f t="shared" si="53"/>
        <v>532</v>
      </c>
      <c r="I674" t="str">
        <f t="shared" si="54"/>
        <v>Potential Loyalist</v>
      </c>
    </row>
    <row r="675" spans="1:9" x14ac:dyDescent="0.25">
      <c r="A675" s="9" t="s">
        <v>1423</v>
      </c>
      <c r="B675" s="9">
        <v>581</v>
      </c>
      <c r="C675" s="9">
        <v>3</v>
      </c>
      <c r="D675" s="10">
        <v>454.36</v>
      </c>
      <c r="E675">
        <f t="shared" si="50"/>
        <v>4</v>
      </c>
      <c r="F675">
        <f t="shared" si="51"/>
        <v>1</v>
      </c>
      <c r="G675">
        <f t="shared" si="52"/>
        <v>5</v>
      </c>
      <c r="H675" s="3" t="str">
        <f t="shared" si="53"/>
        <v>415</v>
      </c>
      <c r="I675" t="str">
        <f t="shared" si="54"/>
        <v>Big Spender</v>
      </c>
    </row>
    <row r="676" spans="1:9" x14ac:dyDescent="0.25">
      <c r="A676" s="9" t="s">
        <v>1425</v>
      </c>
      <c r="B676" s="9">
        <v>825</v>
      </c>
      <c r="C676" s="9">
        <v>11</v>
      </c>
      <c r="D676" s="10">
        <v>486.07</v>
      </c>
      <c r="E676">
        <f t="shared" si="50"/>
        <v>1</v>
      </c>
      <c r="F676">
        <f t="shared" si="51"/>
        <v>5</v>
      </c>
      <c r="G676">
        <f t="shared" si="52"/>
        <v>5</v>
      </c>
      <c r="H676" s="3" t="str">
        <f t="shared" si="53"/>
        <v>155</v>
      </c>
      <c r="I676" t="str">
        <f t="shared" si="54"/>
        <v>Loyal Customer</v>
      </c>
    </row>
    <row r="677" spans="1:9" x14ac:dyDescent="0.25">
      <c r="A677" s="9" t="s">
        <v>1427</v>
      </c>
      <c r="B677" s="9">
        <v>778</v>
      </c>
      <c r="C677" s="9">
        <v>11</v>
      </c>
      <c r="D677" s="10">
        <v>427.86</v>
      </c>
      <c r="E677">
        <f t="shared" si="50"/>
        <v>1</v>
      </c>
      <c r="F677">
        <f t="shared" si="51"/>
        <v>5</v>
      </c>
      <c r="G677">
        <f t="shared" si="52"/>
        <v>5</v>
      </c>
      <c r="H677" s="3" t="str">
        <f t="shared" si="53"/>
        <v>155</v>
      </c>
      <c r="I677" t="str">
        <f t="shared" si="54"/>
        <v>Loyal Customer</v>
      </c>
    </row>
    <row r="678" spans="1:9" x14ac:dyDescent="0.25">
      <c r="A678" s="9" t="s">
        <v>1428</v>
      </c>
      <c r="B678" s="9">
        <v>752</v>
      </c>
      <c r="C678" s="9">
        <v>10</v>
      </c>
      <c r="D678" s="10">
        <v>235.13</v>
      </c>
      <c r="E678">
        <f t="shared" si="50"/>
        <v>2</v>
      </c>
      <c r="F678">
        <f t="shared" si="51"/>
        <v>5</v>
      </c>
      <c r="G678">
        <f t="shared" si="52"/>
        <v>3</v>
      </c>
      <c r="H678" s="3" t="str">
        <f t="shared" si="53"/>
        <v>253</v>
      </c>
      <c r="I678" t="str">
        <f t="shared" si="54"/>
        <v>About To Sleep</v>
      </c>
    </row>
    <row r="679" spans="1:9" x14ac:dyDescent="0.25">
      <c r="A679" s="9" t="s">
        <v>1430</v>
      </c>
      <c r="B679" s="9">
        <v>582</v>
      </c>
      <c r="C679" s="9">
        <v>4</v>
      </c>
      <c r="D679" s="10">
        <v>361.27</v>
      </c>
      <c r="E679">
        <f t="shared" si="50"/>
        <v>4</v>
      </c>
      <c r="F679">
        <f t="shared" si="51"/>
        <v>2</v>
      </c>
      <c r="G679">
        <f t="shared" si="52"/>
        <v>4</v>
      </c>
      <c r="H679" s="3" t="str">
        <f t="shared" si="53"/>
        <v>424</v>
      </c>
      <c r="I679" t="str">
        <f t="shared" si="54"/>
        <v>Big Spender</v>
      </c>
    </row>
    <row r="680" spans="1:9" x14ac:dyDescent="0.25">
      <c r="A680" s="9" t="s">
        <v>1432</v>
      </c>
      <c r="B680" s="9">
        <v>816</v>
      </c>
      <c r="C680" s="9">
        <v>10</v>
      </c>
      <c r="D680" s="10">
        <v>195.83</v>
      </c>
      <c r="E680">
        <f t="shared" si="50"/>
        <v>1</v>
      </c>
      <c r="F680">
        <f t="shared" si="51"/>
        <v>5</v>
      </c>
      <c r="G680">
        <f t="shared" si="52"/>
        <v>2</v>
      </c>
      <c r="H680" s="3" t="str">
        <f t="shared" si="53"/>
        <v>152</v>
      </c>
      <c r="I680" t="str">
        <f t="shared" si="54"/>
        <v>About To Sleep</v>
      </c>
    </row>
    <row r="681" spans="1:9" x14ac:dyDescent="0.25">
      <c r="A681" s="9" t="s">
        <v>1434</v>
      </c>
      <c r="B681" s="9">
        <v>579</v>
      </c>
      <c r="C681" s="9">
        <v>10</v>
      </c>
      <c r="D681" s="10">
        <v>340.31</v>
      </c>
      <c r="E681">
        <f t="shared" si="50"/>
        <v>4</v>
      </c>
      <c r="F681">
        <f t="shared" si="51"/>
        <v>5</v>
      </c>
      <c r="G681">
        <f t="shared" si="52"/>
        <v>4</v>
      </c>
      <c r="H681" s="3" t="str">
        <f t="shared" si="53"/>
        <v>454</v>
      </c>
      <c r="I681" t="str">
        <f t="shared" si="54"/>
        <v>Champion</v>
      </c>
    </row>
    <row r="682" spans="1:9" x14ac:dyDescent="0.25">
      <c r="A682" s="9" t="s">
        <v>1436</v>
      </c>
      <c r="B682" s="9">
        <v>485</v>
      </c>
      <c r="C682" s="9">
        <v>5</v>
      </c>
      <c r="D682" s="10">
        <v>489.67</v>
      </c>
      <c r="E682">
        <f t="shared" si="50"/>
        <v>5</v>
      </c>
      <c r="F682">
        <f t="shared" si="51"/>
        <v>2</v>
      </c>
      <c r="G682">
        <f t="shared" si="52"/>
        <v>5</v>
      </c>
      <c r="H682" s="3" t="str">
        <f t="shared" si="53"/>
        <v>525</v>
      </c>
      <c r="I682" t="str">
        <f t="shared" si="54"/>
        <v>Big Spender</v>
      </c>
    </row>
    <row r="683" spans="1:9" x14ac:dyDescent="0.25">
      <c r="A683" s="9" t="s">
        <v>1438</v>
      </c>
      <c r="B683" s="9">
        <v>569</v>
      </c>
      <c r="C683" s="9">
        <v>11</v>
      </c>
      <c r="D683" s="10">
        <v>482.5</v>
      </c>
      <c r="E683">
        <f t="shared" si="50"/>
        <v>4</v>
      </c>
      <c r="F683">
        <f t="shared" si="51"/>
        <v>5</v>
      </c>
      <c r="G683">
        <f t="shared" si="52"/>
        <v>5</v>
      </c>
      <c r="H683" s="3" t="str">
        <f t="shared" si="53"/>
        <v>455</v>
      </c>
      <c r="I683" t="str">
        <f t="shared" si="54"/>
        <v>Champion</v>
      </c>
    </row>
    <row r="684" spans="1:9" x14ac:dyDescent="0.25">
      <c r="A684" s="9" t="s">
        <v>1440</v>
      </c>
      <c r="B684" s="9">
        <v>650</v>
      </c>
      <c r="C684" s="9">
        <v>10</v>
      </c>
      <c r="D684" s="10">
        <v>433.14</v>
      </c>
      <c r="E684">
        <f t="shared" si="50"/>
        <v>3</v>
      </c>
      <c r="F684">
        <f t="shared" si="51"/>
        <v>5</v>
      </c>
      <c r="G684">
        <f t="shared" si="52"/>
        <v>5</v>
      </c>
      <c r="H684" s="3" t="str">
        <f t="shared" si="53"/>
        <v>355</v>
      </c>
      <c r="I684" t="str">
        <f t="shared" si="54"/>
        <v>Loyal Customer</v>
      </c>
    </row>
    <row r="685" spans="1:9" x14ac:dyDescent="0.25">
      <c r="A685" s="9" t="s">
        <v>1442</v>
      </c>
      <c r="B685" s="9">
        <v>570</v>
      </c>
      <c r="C685" s="9">
        <v>6</v>
      </c>
      <c r="D685" s="10">
        <v>375.7</v>
      </c>
      <c r="E685">
        <f t="shared" si="50"/>
        <v>4</v>
      </c>
      <c r="F685">
        <f t="shared" si="51"/>
        <v>3</v>
      </c>
      <c r="G685">
        <f t="shared" si="52"/>
        <v>4</v>
      </c>
      <c r="H685" s="3" t="str">
        <f t="shared" si="53"/>
        <v>434</v>
      </c>
      <c r="I685" t="str">
        <f t="shared" si="54"/>
        <v>Potential Loyalist</v>
      </c>
    </row>
    <row r="686" spans="1:9" x14ac:dyDescent="0.25">
      <c r="A686" s="9" t="s">
        <v>1444</v>
      </c>
      <c r="B686" s="9">
        <v>832</v>
      </c>
      <c r="C686" s="9">
        <v>12</v>
      </c>
      <c r="D686" s="10">
        <v>381.3</v>
      </c>
      <c r="E686">
        <f t="shared" si="50"/>
        <v>1</v>
      </c>
      <c r="F686">
        <f t="shared" si="51"/>
        <v>5</v>
      </c>
      <c r="G686">
        <f t="shared" si="52"/>
        <v>4</v>
      </c>
      <c r="H686" s="3" t="str">
        <f t="shared" si="53"/>
        <v>154</v>
      </c>
      <c r="I686" t="str">
        <f t="shared" si="54"/>
        <v>Loyal Customer</v>
      </c>
    </row>
    <row r="687" spans="1:9" x14ac:dyDescent="0.25">
      <c r="A687" s="9" t="s">
        <v>1446</v>
      </c>
      <c r="B687" s="9">
        <v>654</v>
      </c>
      <c r="C687" s="9">
        <v>4</v>
      </c>
      <c r="D687" s="10">
        <v>210.21</v>
      </c>
      <c r="E687">
        <f t="shared" si="50"/>
        <v>3</v>
      </c>
      <c r="F687">
        <f t="shared" si="51"/>
        <v>2</v>
      </c>
      <c r="G687">
        <f t="shared" si="52"/>
        <v>2</v>
      </c>
      <c r="H687" s="3" t="str">
        <f t="shared" si="53"/>
        <v>322</v>
      </c>
      <c r="I687" t="str">
        <f t="shared" si="54"/>
        <v>Lost Customer</v>
      </c>
    </row>
    <row r="688" spans="1:9" x14ac:dyDescent="0.25">
      <c r="A688" s="9" t="s">
        <v>1448</v>
      </c>
      <c r="B688" s="9">
        <v>643</v>
      </c>
      <c r="C688" s="9">
        <v>8</v>
      </c>
      <c r="D688" s="10">
        <v>408.81</v>
      </c>
      <c r="E688">
        <f t="shared" si="50"/>
        <v>3</v>
      </c>
      <c r="F688">
        <f t="shared" si="51"/>
        <v>4</v>
      </c>
      <c r="G688">
        <f t="shared" si="52"/>
        <v>4</v>
      </c>
      <c r="H688" s="3" t="str">
        <f t="shared" si="53"/>
        <v>344</v>
      </c>
      <c r="I688" t="str">
        <f t="shared" si="54"/>
        <v>Loyal Customer</v>
      </c>
    </row>
    <row r="689" spans="1:9" x14ac:dyDescent="0.25">
      <c r="A689" s="9" t="s">
        <v>1450</v>
      </c>
      <c r="B689" s="9">
        <v>832</v>
      </c>
      <c r="C689" s="9">
        <v>10</v>
      </c>
      <c r="D689" s="10">
        <v>118.65</v>
      </c>
      <c r="E689">
        <f t="shared" si="50"/>
        <v>1</v>
      </c>
      <c r="F689">
        <f t="shared" si="51"/>
        <v>5</v>
      </c>
      <c r="G689">
        <f t="shared" si="52"/>
        <v>1</v>
      </c>
      <c r="H689" s="3" t="str">
        <f t="shared" si="53"/>
        <v>151</v>
      </c>
      <c r="I689" t="str">
        <f t="shared" si="54"/>
        <v>About To Sleep</v>
      </c>
    </row>
    <row r="690" spans="1:9" x14ac:dyDescent="0.25">
      <c r="A690" s="9" t="s">
        <v>1452</v>
      </c>
      <c r="B690" s="9">
        <v>615</v>
      </c>
      <c r="C690" s="9">
        <v>7</v>
      </c>
      <c r="D690" s="10">
        <v>166.45</v>
      </c>
      <c r="E690">
        <f t="shared" si="50"/>
        <v>4</v>
      </c>
      <c r="F690">
        <f t="shared" si="51"/>
        <v>3</v>
      </c>
      <c r="G690">
        <f t="shared" si="52"/>
        <v>2</v>
      </c>
      <c r="H690" s="3" t="str">
        <f t="shared" si="53"/>
        <v>432</v>
      </c>
      <c r="I690" t="str">
        <f t="shared" si="54"/>
        <v>Potential Loyalist</v>
      </c>
    </row>
    <row r="691" spans="1:9" x14ac:dyDescent="0.25">
      <c r="A691" s="9" t="s">
        <v>1454</v>
      </c>
      <c r="B691" s="9">
        <v>592</v>
      </c>
      <c r="C691" s="9">
        <v>10</v>
      </c>
      <c r="D691" s="10">
        <v>385.32</v>
      </c>
      <c r="E691">
        <f t="shared" si="50"/>
        <v>4</v>
      </c>
      <c r="F691">
        <f t="shared" si="51"/>
        <v>5</v>
      </c>
      <c r="G691">
        <f t="shared" si="52"/>
        <v>4</v>
      </c>
      <c r="H691" s="3" t="str">
        <f t="shared" si="53"/>
        <v>454</v>
      </c>
      <c r="I691" t="str">
        <f t="shared" si="54"/>
        <v>Champion</v>
      </c>
    </row>
    <row r="692" spans="1:9" x14ac:dyDescent="0.25">
      <c r="A692" s="9" t="s">
        <v>1456</v>
      </c>
      <c r="B692" s="9">
        <v>568</v>
      </c>
      <c r="C692" s="9">
        <v>10</v>
      </c>
      <c r="D692" s="10">
        <v>293.99</v>
      </c>
      <c r="E692">
        <f t="shared" si="50"/>
        <v>4</v>
      </c>
      <c r="F692">
        <f t="shared" si="51"/>
        <v>5</v>
      </c>
      <c r="G692">
        <f t="shared" si="52"/>
        <v>3</v>
      </c>
      <c r="H692" s="3" t="str">
        <f t="shared" si="53"/>
        <v>453</v>
      </c>
      <c r="I692" t="str">
        <f t="shared" si="54"/>
        <v>Potential Loyalist</v>
      </c>
    </row>
    <row r="693" spans="1:9" x14ac:dyDescent="0.25">
      <c r="A693" s="9" t="s">
        <v>1458</v>
      </c>
      <c r="B693" s="9">
        <v>743</v>
      </c>
      <c r="C693" s="9">
        <v>9</v>
      </c>
      <c r="D693" s="10">
        <v>161.41</v>
      </c>
      <c r="E693">
        <f t="shared" si="50"/>
        <v>2</v>
      </c>
      <c r="F693">
        <f t="shared" si="51"/>
        <v>4</v>
      </c>
      <c r="G693">
        <f t="shared" si="52"/>
        <v>2</v>
      </c>
      <c r="H693" s="3" t="str">
        <f t="shared" si="53"/>
        <v>242</v>
      </c>
      <c r="I693" t="str">
        <f t="shared" si="54"/>
        <v>About To Sleep</v>
      </c>
    </row>
    <row r="694" spans="1:9" x14ac:dyDescent="0.25">
      <c r="A694" s="9" t="s">
        <v>1460</v>
      </c>
      <c r="B694" s="9">
        <v>488</v>
      </c>
      <c r="C694" s="9">
        <v>2</v>
      </c>
      <c r="D694" s="10">
        <v>130.91999999999999</v>
      </c>
      <c r="E694">
        <f t="shared" si="50"/>
        <v>5</v>
      </c>
      <c r="F694">
        <f t="shared" si="51"/>
        <v>1</v>
      </c>
      <c r="G694">
        <f t="shared" si="52"/>
        <v>1</v>
      </c>
      <c r="H694" s="3" t="str">
        <f t="shared" si="53"/>
        <v>511</v>
      </c>
      <c r="I694" t="str">
        <f t="shared" si="54"/>
        <v>Lost Customer</v>
      </c>
    </row>
    <row r="695" spans="1:9" x14ac:dyDescent="0.25">
      <c r="A695" s="9" t="s">
        <v>1461</v>
      </c>
      <c r="B695" s="9">
        <v>675</v>
      </c>
      <c r="C695" s="9">
        <v>4</v>
      </c>
      <c r="D695" s="10">
        <v>468.6</v>
      </c>
      <c r="E695">
        <f t="shared" si="50"/>
        <v>3</v>
      </c>
      <c r="F695">
        <f t="shared" si="51"/>
        <v>2</v>
      </c>
      <c r="G695">
        <f t="shared" si="52"/>
        <v>5</v>
      </c>
      <c r="H695" s="3" t="str">
        <f t="shared" si="53"/>
        <v>325</v>
      </c>
      <c r="I695" t="str">
        <f t="shared" si="54"/>
        <v>Big Spender</v>
      </c>
    </row>
    <row r="696" spans="1:9" x14ac:dyDescent="0.25">
      <c r="A696" s="9" t="s">
        <v>1463</v>
      </c>
      <c r="B696" s="9">
        <v>725</v>
      </c>
      <c r="C696" s="9">
        <v>5</v>
      </c>
      <c r="D696" s="10">
        <v>237.57</v>
      </c>
      <c r="E696">
        <f t="shared" si="50"/>
        <v>2</v>
      </c>
      <c r="F696">
        <f t="shared" si="51"/>
        <v>2</v>
      </c>
      <c r="G696">
        <f t="shared" si="52"/>
        <v>3</v>
      </c>
      <c r="H696" s="3" t="str">
        <f t="shared" si="53"/>
        <v>223</v>
      </c>
      <c r="I696" t="str">
        <f t="shared" si="54"/>
        <v>At Risk</v>
      </c>
    </row>
    <row r="697" spans="1:9" x14ac:dyDescent="0.25">
      <c r="A697" s="9" t="s">
        <v>1465</v>
      </c>
      <c r="B697" s="9">
        <v>639</v>
      </c>
      <c r="C697" s="9">
        <v>5</v>
      </c>
      <c r="D697" s="10">
        <v>395.18</v>
      </c>
      <c r="E697">
        <f t="shared" si="50"/>
        <v>3</v>
      </c>
      <c r="F697">
        <f t="shared" si="51"/>
        <v>2</v>
      </c>
      <c r="G697">
        <f t="shared" si="52"/>
        <v>4</v>
      </c>
      <c r="H697" s="3" t="str">
        <f t="shared" si="53"/>
        <v>324</v>
      </c>
      <c r="I697" t="str">
        <f t="shared" si="54"/>
        <v>Big Spender</v>
      </c>
    </row>
    <row r="698" spans="1:9" x14ac:dyDescent="0.25">
      <c r="A698" s="9" t="s">
        <v>1467</v>
      </c>
      <c r="B698" s="9">
        <v>752</v>
      </c>
      <c r="C698" s="9">
        <v>12</v>
      </c>
      <c r="D698" s="10">
        <v>427.94</v>
      </c>
      <c r="E698">
        <f t="shared" si="50"/>
        <v>2</v>
      </c>
      <c r="F698">
        <f t="shared" si="51"/>
        <v>5</v>
      </c>
      <c r="G698">
        <f t="shared" si="52"/>
        <v>5</v>
      </c>
      <c r="H698" s="3" t="str">
        <f t="shared" si="53"/>
        <v>255</v>
      </c>
      <c r="I698" t="str">
        <f t="shared" si="54"/>
        <v>Loyal Customer</v>
      </c>
    </row>
    <row r="699" spans="1:9" x14ac:dyDescent="0.25">
      <c r="A699" s="9" t="s">
        <v>1469</v>
      </c>
      <c r="B699" s="9">
        <v>755</v>
      </c>
      <c r="C699" s="9">
        <v>9</v>
      </c>
      <c r="D699" s="10">
        <v>81.23</v>
      </c>
      <c r="E699">
        <f t="shared" si="50"/>
        <v>2</v>
      </c>
      <c r="F699">
        <f t="shared" si="51"/>
        <v>4</v>
      </c>
      <c r="G699">
        <f t="shared" si="52"/>
        <v>1</v>
      </c>
      <c r="H699" s="3" t="str">
        <f t="shared" si="53"/>
        <v>241</v>
      </c>
      <c r="I699" t="str">
        <f t="shared" si="54"/>
        <v>About To Sleep</v>
      </c>
    </row>
    <row r="700" spans="1:9" x14ac:dyDescent="0.25">
      <c r="A700" s="9" t="s">
        <v>1471</v>
      </c>
      <c r="B700" s="9">
        <v>736</v>
      </c>
      <c r="C700" s="9">
        <v>5</v>
      </c>
      <c r="D700" s="10">
        <v>257.43</v>
      </c>
      <c r="E700">
        <f t="shared" si="50"/>
        <v>2</v>
      </c>
      <c r="F700">
        <f t="shared" si="51"/>
        <v>2</v>
      </c>
      <c r="G700">
        <f t="shared" si="52"/>
        <v>3</v>
      </c>
      <c r="H700" s="3" t="str">
        <f t="shared" si="53"/>
        <v>223</v>
      </c>
      <c r="I700" t="str">
        <f t="shared" si="54"/>
        <v>At Risk</v>
      </c>
    </row>
    <row r="701" spans="1:9" x14ac:dyDescent="0.25">
      <c r="A701" s="9" t="s">
        <v>1473</v>
      </c>
      <c r="B701" s="9">
        <v>492</v>
      </c>
      <c r="C701" s="9">
        <v>7</v>
      </c>
      <c r="D701" s="10">
        <v>305.73</v>
      </c>
      <c r="E701">
        <f t="shared" si="50"/>
        <v>5</v>
      </c>
      <c r="F701">
        <f t="shared" si="51"/>
        <v>3</v>
      </c>
      <c r="G701">
        <f t="shared" si="52"/>
        <v>3</v>
      </c>
      <c r="H701" s="3" t="str">
        <f t="shared" si="53"/>
        <v>533</v>
      </c>
      <c r="I701" t="str">
        <f t="shared" si="54"/>
        <v>Potential Loyalist</v>
      </c>
    </row>
    <row r="702" spans="1:9" x14ac:dyDescent="0.25">
      <c r="A702" s="9" t="s">
        <v>1475</v>
      </c>
      <c r="B702" s="9">
        <v>616</v>
      </c>
      <c r="C702" s="9">
        <v>10</v>
      </c>
      <c r="D702" s="10">
        <v>249.82</v>
      </c>
      <c r="E702">
        <f t="shared" si="50"/>
        <v>4</v>
      </c>
      <c r="F702">
        <f t="shared" si="51"/>
        <v>5</v>
      </c>
      <c r="G702">
        <f t="shared" si="52"/>
        <v>3</v>
      </c>
      <c r="H702" s="3" t="str">
        <f t="shared" si="53"/>
        <v>453</v>
      </c>
      <c r="I702" t="str">
        <f t="shared" si="54"/>
        <v>Potential Loyalist</v>
      </c>
    </row>
    <row r="703" spans="1:9" x14ac:dyDescent="0.25">
      <c r="A703" s="9" t="s">
        <v>1477</v>
      </c>
      <c r="B703" s="9">
        <v>599</v>
      </c>
      <c r="C703" s="9">
        <v>11</v>
      </c>
      <c r="D703" s="10">
        <v>332.79</v>
      </c>
      <c r="E703">
        <f t="shared" si="50"/>
        <v>4</v>
      </c>
      <c r="F703">
        <f t="shared" si="51"/>
        <v>5</v>
      </c>
      <c r="G703">
        <f t="shared" si="52"/>
        <v>4</v>
      </c>
      <c r="H703" s="3" t="str">
        <f t="shared" si="53"/>
        <v>454</v>
      </c>
      <c r="I703" t="str">
        <f t="shared" si="54"/>
        <v>Champion</v>
      </c>
    </row>
    <row r="704" spans="1:9" x14ac:dyDescent="0.25">
      <c r="A704" s="9" t="s">
        <v>1479</v>
      </c>
      <c r="B704" s="9">
        <v>590</v>
      </c>
      <c r="C704" s="9">
        <v>3</v>
      </c>
      <c r="D704" s="10">
        <v>78.900000000000006</v>
      </c>
      <c r="E704">
        <f t="shared" si="50"/>
        <v>4</v>
      </c>
      <c r="F704">
        <f t="shared" si="51"/>
        <v>1</v>
      </c>
      <c r="G704">
        <f t="shared" si="52"/>
        <v>1</v>
      </c>
      <c r="H704" s="3" t="str">
        <f t="shared" si="53"/>
        <v>411</v>
      </c>
      <c r="I704" t="str">
        <f t="shared" si="54"/>
        <v>Lost Customer</v>
      </c>
    </row>
    <row r="705" spans="1:9" x14ac:dyDescent="0.25">
      <c r="A705" s="9" t="s">
        <v>1481</v>
      </c>
      <c r="B705" s="9">
        <v>661</v>
      </c>
      <c r="C705" s="9">
        <v>9</v>
      </c>
      <c r="D705" s="10">
        <v>122.55</v>
      </c>
      <c r="E705">
        <f t="shared" si="50"/>
        <v>3</v>
      </c>
      <c r="F705">
        <f t="shared" si="51"/>
        <v>4</v>
      </c>
      <c r="G705">
        <f t="shared" si="52"/>
        <v>1</v>
      </c>
      <c r="H705" s="3" t="str">
        <f t="shared" si="53"/>
        <v>341</v>
      </c>
      <c r="I705" t="str">
        <f t="shared" si="54"/>
        <v>Others</v>
      </c>
    </row>
    <row r="706" spans="1:9" x14ac:dyDescent="0.25">
      <c r="A706" s="9" t="s">
        <v>1483</v>
      </c>
      <c r="B706" s="9">
        <v>585</v>
      </c>
      <c r="C706" s="9">
        <v>6</v>
      </c>
      <c r="D706" s="10">
        <v>307.61</v>
      </c>
      <c r="E706">
        <f t="shared" si="50"/>
        <v>4</v>
      </c>
      <c r="F706">
        <f t="shared" si="51"/>
        <v>3</v>
      </c>
      <c r="G706">
        <f t="shared" si="52"/>
        <v>3</v>
      </c>
      <c r="H706" s="3" t="str">
        <f t="shared" si="53"/>
        <v>433</v>
      </c>
      <c r="I706" t="str">
        <f t="shared" si="54"/>
        <v>Potential Loyalist</v>
      </c>
    </row>
    <row r="707" spans="1:9" x14ac:dyDescent="0.25">
      <c r="A707" s="9" t="s">
        <v>1485</v>
      </c>
      <c r="B707" s="9">
        <v>822</v>
      </c>
      <c r="C707" s="9">
        <v>2</v>
      </c>
      <c r="D707" s="10">
        <v>152.33000000000001</v>
      </c>
      <c r="E707">
        <f t="shared" ref="E707:E770" si="55">IF(B707 &lt;= _xlfn.PERCENTILE.INC($B$2:$B$1001, 0.2), 5,
 IF(B707 &lt;= _xlfn.PERCENTILE.INC($B$2:$B$1001, 0.4), 4,
 IF(B707 &lt;= _xlfn.PERCENTILE.INC($B$2:$B$1001, 0.6), 3,
 IF(B707 &lt;= _xlfn.PERCENTILE.INC($B$2:$B$1001, 0.8), 2, 1))))</f>
        <v>1</v>
      </c>
      <c r="F707">
        <f t="shared" ref="F707:F770" si="56">IF(C707 &gt;= _xlfn.PERCENTILE.INC($C$2:$C$1001, 0.8), 5,
 IF(C707 &gt;= _xlfn.PERCENTILE.INC($C$2:$C$1001, 0.6), 4,
 IF(C707 &gt;= _xlfn.PERCENTILE.INC($C$2:$C$1001, 0.4), 3,
 IF(C707 &gt;= _xlfn.PERCENTILE.INC($C$2:$C$1001, 0.2), 2, 1))))</f>
        <v>1</v>
      </c>
      <c r="G707">
        <f t="shared" ref="G707:G770" si="57">IF(D707 &gt;= _xlfn.PERCENTILE.INC($D$2:$D$1001, 0.8), 5,
 IF(D707 &gt;= _xlfn.PERCENTILE.INC($D$2:$D$1001, 0.6), 4,
 IF(D707 &gt;= _xlfn.PERCENTILE.INC($D$2:$D$1001, 0.4), 3,
 IF(D707 &gt;= _xlfn.PERCENTILE.INC($D$2:$D$1001, 0.2), 2, 1))))</f>
        <v>2</v>
      </c>
      <c r="H707" s="3" t="str">
        <f t="shared" ref="H707:H770" si="58">TEXT(E707,"0") &amp; TEXT(F707,"0") &amp; TEXT(G707,"0")</f>
        <v>112</v>
      </c>
      <c r="I707" t="str">
        <f t="shared" ref="I707:I770" si="59">IF(AND(E707&gt;=4, F707&gt;=4, G707&gt;=4), "Champion",
 IF(AND(F707&gt;=4, G707&gt;=4), "Loyal Customer",
 IF(AND(E707&gt;=4, F707&gt;=3), "Potential Loyalist",
 IF(G707&gt;=4, "Big Spender",
 IF(AND(E707&lt;=2, F707&lt;=2), "At Risk",
 IF(E707&lt;=2, "About To Sleep",
 IF(AND(F707&lt;=2, G707&lt;=2), "Lost Customer", "Others")))))))</f>
        <v>At Risk</v>
      </c>
    </row>
    <row r="708" spans="1:9" x14ac:dyDescent="0.25">
      <c r="A708" s="9" t="s">
        <v>1487</v>
      </c>
      <c r="B708" s="9">
        <v>779</v>
      </c>
      <c r="C708" s="9">
        <v>8</v>
      </c>
      <c r="D708" s="10">
        <v>465.07</v>
      </c>
      <c r="E708">
        <f t="shared" si="55"/>
        <v>1</v>
      </c>
      <c r="F708">
        <f t="shared" si="56"/>
        <v>4</v>
      </c>
      <c r="G708">
        <f t="shared" si="57"/>
        <v>5</v>
      </c>
      <c r="H708" s="3" t="str">
        <f t="shared" si="58"/>
        <v>145</v>
      </c>
      <c r="I708" t="str">
        <f t="shared" si="59"/>
        <v>Loyal Customer</v>
      </c>
    </row>
    <row r="709" spans="1:9" x14ac:dyDescent="0.25">
      <c r="A709" s="9" t="s">
        <v>1489</v>
      </c>
      <c r="B709" s="9">
        <v>833</v>
      </c>
      <c r="C709" s="9">
        <v>10</v>
      </c>
      <c r="D709" s="10">
        <v>498.23</v>
      </c>
      <c r="E709">
        <f t="shared" si="55"/>
        <v>1</v>
      </c>
      <c r="F709">
        <f t="shared" si="56"/>
        <v>5</v>
      </c>
      <c r="G709">
        <f t="shared" si="57"/>
        <v>5</v>
      </c>
      <c r="H709" s="3" t="str">
        <f t="shared" si="58"/>
        <v>155</v>
      </c>
      <c r="I709" t="str">
        <f t="shared" si="59"/>
        <v>Loyal Customer</v>
      </c>
    </row>
    <row r="710" spans="1:9" x14ac:dyDescent="0.25">
      <c r="A710" s="9" t="s">
        <v>1491</v>
      </c>
      <c r="B710" s="9">
        <v>601</v>
      </c>
      <c r="C710" s="9">
        <v>3</v>
      </c>
      <c r="D710" s="10">
        <v>491.18</v>
      </c>
      <c r="E710">
        <f t="shared" si="55"/>
        <v>4</v>
      </c>
      <c r="F710">
        <f t="shared" si="56"/>
        <v>1</v>
      </c>
      <c r="G710">
        <f t="shared" si="57"/>
        <v>5</v>
      </c>
      <c r="H710" s="3" t="str">
        <f t="shared" si="58"/>
        <v>415</v>
      </c>
      <c r="I710" t="str">
        <f t="shared" si="59"/>
        <v>Big Spender</v>
      </c>
    </row>
    <row r="711" spans="1:9" x14ac:dyDescent="0.25">
      <c r="A711" s="9" t="s">
        <v>1493</v>
      </c>
      <c r="B711" s="9">
        <v>838</v>
      </c>
      <c r="C711" s="9">
        <v>3</v>
      </c>
      <c r="D711" s="10">
        <v>149.41999999999999</v>
      </c>
      <c r="E711">
        <f t="shared" si="55"/>
        <v>1</v>
      </c>
      <c r="F711">
        <f t="shared" si="56"/>
        <v>1</v>
      </c>
      <c r="G711">
        <f t="shared" si="57"/>
        <v>2</v>
      </c>
      <c r="H711" s="3" t="str">
        <f t="shared" si="58"/>
        <v>112</v>
      </c>
      <c r="I711" t="str">
        <f t="shared" si="59"/>
        <v>At Risk</v>
      </c>
    </row>
    <row r="712" spans="1:9" x14ac:dyDescent="0.25">
      <c r="A712" s="9" t="s">
        <v>1495</v>
      </c>
      <c r="B712" s="9">
        <v>741</v>
      </c>
      <c r="C712" s="9">
        <v>9</v>
      </c>
      <c r="D712" s="10">
        <v>82.13</v>
      </c>
      <c r="E712">
        <f t="shared" si="55"/>
        <v>2</v>
      </c>
      <c r="F712">
        <f t="shared" si="56"/>
        <v>4</v>
      </c>
      <c r="G712">
        <f t="shared" si="57"/>
        <v>1</v>
      </c>
      <c r="H712" s="3" t="str">
        <f t="shared" si="58"/>
        <v>241</v>
      </c>
      <c r="I712" t="str">
        <f t="shared" si="59"/>
        <v>About To Sleep</v>
      </c>
    </row>
    <row r="713" spans="1:9" x14ac:dyDescent="0.25">
      <c r="A713" s="9" t="s">
        <v>1497</v>
      </c>
      <c r="B713" s="9">
        <v>762</v>
      </c>
      <c r="C713" s="9">
        <v>4</v>
      </c>
      <c r="D713" s="10">
        <v>425.18</v>
      </c>
      <c r="E713">
        <f t="shared" si="55"/>
        <v>1</v>
      </c>
      <c r="F713">
        <f t="shared" si="56"/>
        <v>2</v>
      </c>
      <c r="G713">
        <f t="shared" si="57"/>
        <v>5</v>
      </c>
      <c r="H713" s="3" t="str">
        <f t="shared" si="58"/>
        <v>125</v>
      </c>
      <c r="I713" t="str">
        <f t="shared" si="59"/>
        <v>Big Spender</v>
      </c>
    </row>
    <row r="714" spans="1:9" x14ac:dyDescent="0.25">
      <c r="A714" s="9" t="s">
        <v>1499</v>
      </c>
      <c r="B714" s="9">
        <v>674</v>
      </c>
      <c r="C714" s="9">
        <v>8</v>
      </c>
      <c r="D714" s="10">
        <v>176.12</v>
      </c>
      <c r="E714">
        <f t="shared" si="55"/>
        <v>3</v>
      </c>
      <c r="F714">
        <f t="shared" si="56"/>
        <v>4</v>
      </c>
      <c r="G714">
        <f t="shared" si="57"/>
        <v>2</v>
      </c>
      <c r="H714" s="3" t="str">
        <f t="shared" si="58"/>
        <v>342</v>
      </c>
      <c r="I714" t="str">
        <f t="shared" si="59"/>
        <v>Others</v>
      </c>
    </row>
    <row r="715" spans="1:9" x14ac:dyDescent="0.25">
      <c r="A715" s="9" t="s">
        <v>1501</v>
      </c>
      <c r="B715" s="9">
        <v>778</v>
      </c>
      <c r="C715" s="9">
        <v>6</v>
      </c>
      <c r="D715" s="10">
        <v>70.3</v>
      </c>
      <c r="E715">
        <f t="shared" si="55"/>
        <v>1</v>
      </c>
      <c r="F715">
        <f t="shared" si="56"/>
        <v>3</v>
      </c>
      <c r="G715">
        <f t="shared" si="57"/>
        <v>1</v>
      </c>
      <c r="H715" s="3" t="str">
        <f t="shared" si="58"/>
        <v>131</v>
      </c>
      <c r="I715" t="str">
        <f t="shared" si="59"/>
        <v>About To Sleep</v>
      </c>
    </row>
    <row r="716" spans="1:9" x14ac:dyDescent="0.25">
      <c r="A716" s="9" t="s">
        <v>1503</v>
      </c>
      <c r="B716" s="9">
        <v>519</v>
      </c>
      <c r="C716" s="9">
        <v>7</v>
      </c>
      <c r="D716" s="10">
        <v>319.39</v>
      </c>
      <c r="E716">
        <f t="shared" si="55"/>
        <v>5</v>
      </c>
      <c r="F716">
        <f t="shared" si="56"/>
        <v>3</v>
      </c>
      <c r="G716">
        <f t="shared" si="57"/>
        <v>3</v>
      </c>
      <c r="H716" s="3" t="str">
        <f t="shared" si="58"/>
        <v>533</v>
      </c>
      <c r="I716" t="str">
        <f t="shared" si="59"/>
        <v>Potential Loyalist</v>
      </c>
    </row>
    <row r="717" spans="1:9" x14ac:dyDescent="0.25">
      <c r="A717" s="9" t="s">
        <v>1505</v>
      </c>
      <c r="B717" s="9">
        <v>796</v>
      </c>
      <c r="C717" s="9">
        <v>11</v>
      </c>
      <c r="D717" s="10">
        <v>113.51</v>
      </c>
      <c r="E717">
        <f t="shared" si="55"/>
        <v>1</v>
      </c>
      <c r="F717">
        <f t="shared" si="56"/>
        <v>5</v>
      </c>
      <c r="G717">
        <f t="shared" si="57"/>
        <v>1</v>
      </c>
      <c r="H717" s="3" t="str">
        <f t="shared" si="58"/>
        <v>151</v>
      </c>
      <c r="I717" t="str">
        <f t="shared" si="59"/>
        <v>About To Sleep</v>
      </c>
    </row>
    <row r="718" spans="1:9" x14ac:dyDescent="0.25">
      <c r="A718" s="9" t="s">
        <v>1507</v>
      </c>
      <c r="B718" s="9">
        <v>781</v>
      </c>
      <c r="C718" s="9">
        <v>2</v>
      </c>
      <c r="D718" s="10">
        <v>492.74</v>
      </c>
      <c r="E718">
        <f t="shared" si="55"/>
        <v>1</v>
      </c>
      <c r="F718">
        <f t="shared" si="56"/>
        <v>1</v>
      </c>
      <c r="G718">
        <f t="shared" si="57"/>
        <v>5</v>
      </c>
      <c r="H718" s="3" t="str">
        <f t="shared" si="58"/>
        <v>115</v>
      </c>
      <c r="I718" t="str">
        <f t="shared" si="59"/>
        <v>Big Spender</v>
      </c>
    </row>
    <row r="719" spans="1:9" x14ac:dyDescent="0.25">
      <c r="A719" s="9" t="s">
        <v>1509</v>
      </c>
      <c r="B719" s="9">
        <v>788</v>
      </c>
      <c r="C719" s="9">
        <v>9</v>
      </c>
      <c r="D719" s="10">
        <v>143.80000000000001</v>
      </c>
      <c r="E719">
        <f t="shared" si="55"/>
        <v>1</v>
      </c>
      <c r="F719">
        <f t="shared" si="56"/>
        <v>4</v>
      </c>
      <c r="G719">
        <f t="shared" si="57"/>
        <v>2</v>
      </c>
      <c r="H719" s="3" t="str">
        <f t="shared" si="58"/>
        <v>142</v>
      </c>
      <c r="I719" t="str">
        <f t="shared" si="59"/>
        <v>About To Sleep</v>
      </c>
    </row>
    <row r="720" spans="1:9" x14ac:dyDescent="0.25">
      <c r="A720" s="9" t="s">
        <v>1511</v>
      </c>
      <c r="B720" s="9">
        <v>750</v>
      </c>
      <c r="C720" s="9">
        <v>5</v>
      </c>
      <c r="D720" s="10">
        <v>158.54</v>
      </c>
      <c r="E720">
        <f t="shared" si="55"/>
        <v>2</v>
      </c>
      <c r="F720">
        <f t="shared" si="56"/>
        <v>2</v>
      </c>
      <c r="G720">
        <f t="shared" si="57"/>
        <v>2</v>
      </c>
      <c r="H720" s="3" t="str">
        <f t="shared" si="58"/>
        <v>222</v>
      </c>
      <c r="I720" t="str">
        <f t="shared" si="59"/>
        <v>At Risk</v>
      </c>
    </row>
    <row r="721" spans="1:9" x14ac:dyDescent="0.25">
      <c r="A721" s="9" t="s">
        <v>1513</v>
      </c>
      <c r="B721" s="9">
        <v>540</v>
      </c>
      <c r="C721" s="9">
        <v>6</v>
      </c>
      <c r="D721" s="10">
        <v>213.39</v>
      </c>
      <c r="E721">
        <f t="shared" si="55"/>
        <v>5</v>
      </c>
      <c r="F721">
        <f t="shared" si="56"/>
        <v>3</v>
      </c>
      <c r="G721">
        <f t="shared" si="57"/>
        <v>2</v>
      </c>
      <c r="H721" s="3" t="str">
        <f t="shared" si="58"/>
        <v>532</v>
      </c>
      <c r="I721" t="str">
        <f t="shared" si="59"/>
        <v>Potential Loyalist</v>
      </c>
    </row>
    <row r="722" spans="1:9" x14ac:dyDescent="0.25">
      <c r="A722" s="9" t="s">
        <v>1515</v>
      </c>
      <c r="B722" s="9">
        <v>485</v>
      </c>
      <c r="C722" s="9">
        <v>2</v>
      </c>
      <c r="D722" s="10">
        <v>127.18</v>
      </c>
      <c r="E722">
        <f t="shared" si="55"/>
        <v>5</v>
      </c>
      <c r="F722">
        <f t="shared" si="56"/>
        <v>1</v>
      </c>
      <c r="G722">
        <f t="shared" si="57"/>
        <v>1</v>
      </c>
      <c r="H722" s="3" t="str">
        <f t="shared" si="58"/>
        <v>511</v>
      </c>
      <c r="I722" t="str">
        <f t="shared" si="59"/>
        <v>Lost Customer</v>
      </c>
    </row>
    <row r="723" spans="1:9" x14ac:dyDescent="0.25">
      <c r="A723" s="9" t="s">
        <v>1517</v>
      </c>
      <c r="B723" s="9">
        <v>517</v>
      </c>
      <c r="C723" s="9">
        <v>9</v>
      </c>
      <c r="D723" s="10">
        <v>476.63</v>
      </c>
      <c r="E723">
        <f t="shared" si="55"/>
        <v>5</v>
      </c>
      <c r="F723">
        <f t="shared" si="56"/>
        <v>4</v>
      </c>
      <c r="G723">
        <f t="shared" si="57"/>
        <v>5</v>
      </c>
      <c r="H723" s="3" t="str">
        <f t="shared" si="58"/>
        <v>545</v>
      </c>
      <c r="I723" t="str">
        <f t="shared" si="59"/>
        <v>Champion</v>
      </c>
    </row>
    <row r="724" spans="1:9" x14ac:dyDescent="0.25">
      <c r="A724" s="9" t="s">
        <v>1519</v>
      </c>
      <c r="B724" s="9">
        <v>584</v>
      </c>
      <c r="C724" s="9">
        <v>3</v>
      </c>
      <c r="D724" s="10">
        <v>56.02</v>
      </c>
      <c r="E724">
        <f t="shared" si="55"/>
        <v>4</v>
      </c>
      <c r="F724">
        <f t="shared" si="56"/>
        <v>1</v>
      </c>
      <c r="G724">
        <f t="shared" si="57"/>
        <v>1</v>
      </c>
      <c r="H724" s="3" t="str">
        <f t="shared" si="58"/>
        <v>411</v>
      </c>
      <c r="I724" t="str">
        <f t="shared" si="59"/>
        <v>Lost Customer</v>
      </c>
    </row>
    <row r="725" spans="1:9" x14ac:dyDescent="0.25">
      <c r="A725" s="9" t="s">
        <v>1521</v>
      </c>
      <c r="B725" s="9">
        <v>571</v>
      </c>
      <c r="C725" s="9">
        <v>3</v>
      </c>
      <c r="D725" s="10">
        <v>398.97</v>
      </c>
      <c r="E725">
        <f t="shared" si="55"/>
        <v>4</v>
      </c>
      <c r="F725">
        <f t="shared" si="56"/>
        <v>1</v>
      </c>
      <c r="G725">
        <f t="shared" si="57"/>
        <v>4</v>
      </c>
      <c r="H725" s="3" t="str">
        <f t="shared" si="58"/>
        <v>414</v>
      </c>
      <c r="I725" t="str">
        <f t="shared" si="59"/>
        <v>Big Spender</v>
      </c>
    </row>
    <row r="726" spans="1:9" x14ac:dyDescent="0.25">
      <c r="A726" s="9" t="s">
        <v>1523</v>
      </c>
      <c r="B726" s="9">
        <v>645</v>
      </c>
      <c r="C726" s="9">
        <v>6</v>
      </c>
      <c r="D726" s="10">
        <v>53.45</v>
      </c>
      <c r="E726">
        <f t="shared" si="55"/>
        <v>3</v>
      </c>
      <c r="F726">
        <f t="shared" si="56"/>
        <v>3</v>
      </c>
      <c r="G726">
        <f t="shared" si="57"/>
        <v>1</v>
      </c>
      <c r="H726" s="3" t="str">
        <f t="shared" si="58"/>
        <v>331</v>
      </c>
      <c r="I726" t="str">
        <f t="shared" si="59"/>
        <v>Others</v>
      </c>
    </row>
    <row r="727" spans="1:9" x14ac:dyDescent="0.25">
      <c r="A727" s="9" t="s">
        <v>1524</v>
      </c>
      <c r="B727" s="9">
        <v>616</v>
      </c>
      <c r="C727" s="9">
        <v>2</v>
      </c>
      <c r="D727" s="10">
        <v>61.19</v>
      </c>
      <c r="E727">
        <f t="shared" si="55"/>
        <v>4</v>
      </c>
      <c r="F727">
        <f t="shared" si="56"/>
        <v>1</v>
      </c>
      <c r="G727">
        <f t="shared" si="57"/>
        <v>1</v>
      </c>
      <c r="H727" s="3" t="str">
        <f t="shared" si="58"/>
        <v>411</v>
      </c>
      <c r="I727" t="str">
        <f t="shared" si="59"/>
        <v>Lost Customer</v>
      </c>
    </row>
    <row r="728" spans="1:9" x14ac:dyDescent="0.25">
      <c r="A728" s="9" t="s">
        <v>1526</v>
      </c>
      <c r="B728" s="9">
        <v>489</v>
      </c>
      <c r="C728" s="9">
        <v>4</v>
      </c>
      <c r="D728" s="10">
        <v>471.31</v>
      </c>
      <c r="E728">
        <f t="shared" si="55"/>
        <v>5</v>
      </c>
      <c r="F728">
        <f t="shared" si="56"/>
        <v>2</v>
      </c>
      <c r="G728">
        <f t="shared" si="57"/>
        <v>5</v>
      </c>
      <c r="H728" s="3" t="str">
        <f t="shared" si="58"/>
        <v>525</v>
      </c>
      <c r="I728" t="str">
        <f t="shared" si="59"/>
        <v>Big Spender</v>
      </c>
    </row>
    <row r="729" spans="1:9" x14ac:dyDescent="0.25">
      <c r="A729" s="9" t="s">
        <v>1528</v>
      </c>
      <c r="B729" s="9">
        <v>760</v>
      </c>
      <c r="C729" s="9">
        <v>10</v>
      </c>
      <c r="D729" s="10">
        <v>179.19</v>
      </c>
      <c r="E729">
        <f t="shared" si="55"/>
        <v>2</v>
      </c>
      <c r="F729">
        <f t="shared" si="56"/>
        <v>5</v>
      </c>
      <c r="G729">
        <f t="shared" si="57"/>
        <v>2</v>
      </c>
      <c r="H729" s="3" t="str">
        <f t="shared" si="58"/>
        <v>252</v>
      </c>
      <c r="I729" t="str">
        <f t="shared" si="59"/>
        <v>About To Sleep</v>
      </c>
    </row>
    <row r="730" spans="1:9" x14ac:dyDescent="0.25">
      <c r="A730" s="9" t="s">
        <v>1530</v>
      </c>
      <c r="B730" s="9">
        <v>564</v>
      </c>
      <c r="C730" s="9">
        <v>6</v>
      </c>
      <c r="D730" s="10">
        <v>294.61</v>
      </c>
      <c r="E730">
        <f t="shared" si="55"/>
        <v>4</v>
      </c>
      <c r="F730">
        <f t="shared" si="56"/>
        <v>3</v>
      </c>
      <c r="G730">
        <f t="shared" si="57"/>
        <v>3</v>
      </c>
      <c r="H730" s="3" t="str">
        <f t="shared" si="58"/>
        <v>433</v>
      </c>
      <c r="I730" t="str">
        <f t="shared" si="59"/>
        <v>Potential Loyalist</v>
      </c>
    </row>
    <row r="731" spans="1:9" x14ac:dyDescent="0.25">
      <c r="A731" s="9" t="s">
        <v>1532</v>
      </c>
      <c r="B731" s="9">
        <v>736</v>
      </c>
      <c r="C731" s="9">
        <v>6</v>
      </c>
      <c r="D731" s="10">
        <v>375.45</v>
      </c>
      <c r="E731">
        <f t="shared" si="55"/>
        <v>2</v>
      </c>
      <c r="F731">
        <f t="shared" si="56"/>
        <v>3</v>
      </c>
      <c r="G731">
        <f t="shared" si="57"/>
        <v>4</v>
      </c>
      <c r="H731" s="3" t="str">
        <f t="shared" si="58"/>
        <v>234</v>
      </c>
      <c r="I731" t="str">
        <f t="shared" si="59"/>
        <v>Big Spender</v>
      </c>
    </row>
    <row r="732" spans="1:9" x14ac:dyDescent="0.25">
      <c r="A732" s="9" t="s">
        <v>1534</v>
      </c>
      <c r="B732" s="9">
        <v>816</v>
      </c>
      <c r="C732" s="9">
        <v>12</v>
      </c>
      <c r="D732" s="10">
        <v>83.5</v>
      </c>
      <c r="E732">
        <f t="shared" si="55"/>
        <v>1</v>
      </c>
      <c r="F732">
        <f t="shared" si="56"/>
        <v>5</v>
      </c>
      <c r="G732">
        <f t="shared" si="57"/>
        <v>1</v>
      </c>
      <c r="H732" s="3" t="str">
        <f t="shared" si="58"/>
        <v>151</v>
      </c>
      <c r="I732" t="str">
        <f t="shared" si="59"/>
        <v>About To Sleep</v>
      </c>
    </row>
    <row r="733" spans="1:9" x14ac:dyDescent="0.25">
      <c r="A733" s="9" t="s">
        <v>1536</v>
      </c>
      <c r="B733" s="9">
        <v>836</v>
      </c>
      <c r="C733" s="9">
        <v>7</v>
      </c>
      <c r="D733" s="10">
        <v>109.88</v>
      </c>
      <c r="E733">
        <f t="shared" si="55"/>
        <v>1</v>
      </c>
      <c r="F733">
        <f t="shared" si="56"/>
        <v>3</v>
      </c>
      <c r="G733">
        <f t="shared" si="57"/>
        <v>1</v>
      </c>
      <c r="H733" s="3" t="str">
        <f t="shared" si="58"/>
        <v>131</v>
      </c>
      <c r="I733" t="str">
        <f t="shared" si="59"/>
        <v>About To Sleep</v>
      </c>
    </row>
    <row r="734" spans="1:9" x14ac:dyDescent="0.25">
      <c r="A734" s="9" t="s">
        <v>1538</v>
      </c>
      <c r="B734" s="9">
        <v>607</v>
      </c>
      <c r="C734" s="9">
        <v>11</v>
      </c>
      <c r="D734" s="10">
        <v>182.54</v>
      </c>
      <c r="E734">
        <f t="shared" si="55"/>
        <v>4</v>
      </c>
      <c r="F734">
        <f t="shared" si="56"/>
        <v>5</v>
      </c>
      <c r="G734">
        <f t="shared" si="57"/>
        <v>2</v>
      </c>
      <c r="H734" s="3" t="str">
        <f t="shared" si="58"/>
        <v>452</v>
      </c>
      <c r="I734" t="str">
        <f t="shared" si="59"/>
        <v>Potential Loyalist</v>
      </c>
    </row>
    <row r="735" spans="1:9" x14ac:dyDescent="0.25">
      <c r="A735" s="9" t="s">
        <v>1540</v>
      </c>
      <c r="B735" s="9">
        <v>668</v>
      </c>
      <c r="C735" s="9">
        <v>3</v>
      </c>
      <c r="D735" s="10">
        <v>465.48</v>
      </c>
      <c r="E735">
        <f t="shared" si="55"/>
        <v>3</v>
      </c>
      <c r="F735">
        <f t="shared" si="56"/>
        <v>1</v>
      </c>
      <c r="G735">
        <f t="shared" si="57"/>
        <v>5</v>
      </c>
      <c r="H735" s="3" t="str">
        <f t="shared" si="58"/>
        <v>315</v>
      </c>
      <c r="I735" t="str">
        <f t="shared" si="59"/>
        <v>Big Spender</v>
      </c>
    </row>
    <row r="736" spans="1:9" x14ac:dyDescent="0.25">
      <c r="A736" s="9" t="s">
        <v>1542</v>
      </c>
      <c r="B736" s="9">
        <v>507</v>
      </c>
      <c r="C736" s="9">
        <v>8</v>
      </c>
      <c r="D736" s="10">
        <v>224.52</v>
      </c>
      <c r="E736">
        <f t="shared" si="55"/>
        <v>5</v>
      </c>
      <c r="F736">
        <f t="shared" si="56"/>
        <v>4</v>
      </c>
      <c r="G736">
        <f t="shared" si="57"/>
        <v>2</v>
      </c>
      <c r="H736" s="3" t="str">
        <f t="shared" si="58"/>
        <v>542</v>
      </c>
      <c r="I736" t="str">
        <f t="shared" si="59"/>
        <v>Potential Loyalist</v>
      </c>
    </row>
    <row r="737" spans="1:9" x14ac:dyDescent="0.25">
      <c r="A737" s="9" t="s">
        <v>1544</v>
      </c>
      <c r="B737" s="9">
        <v>839</v>
      </c>
      <c r="C737" s="9">
        <v>12</v>
      </c>
      <c r="D737" s="10">
        <v>281.37</v>
      </c>
      <c r="E737">
        <f t="shared" si="55"/>
        <v>1</v>
      </c>
      <c r="F737">
        <f t="shared" si="56"/>
        <v>5</v>
      </c>
      <c r="G737">
        <f t="shared" si="57"/>
        <v>3</v>
      </c>
      <c r="H737" s="3" t="str">
        <f t="shared" si="58"/>
        <v>153</v>
      </c>
      <c r="I737" t="str">
        <f t="shared" si="59"/>
        <v>About To Sleep</v>
      </c>
    </row>
    <row r="738" spans="1:9" x14ac:dyDescent="0.25">
      <c r="A738" s="9" t="s">
        <v>1546</v>
      </c>
      <c r="B738" s="9">
        <v>668</v>
      </c>
      <c r="C738" s="9">
        <v>2</v>
      </c>
      <c r="D738" s="10">
        <v>125.68</v>
      </c>
      <c r="E738">
        <f t="shared" si="55"/>
        <v>3</v>
      </c>
      <c r="F738">
        <f t="shared" si="56"/>
        <v>1</v>
      </c>
      <c r="G738">
        <f t="shared" si="57"/>
        <v>1</v>
      </c>
      <c r="H738" s="3" t="str">
        <f t="shared" si="58"/>
        <v>311</v>
      </c>
      <c r="I738" t="str">
        <f t="shared" si="59"/>
        <v>Lost Customer</v>
      </c>
    </row>
    <row r="739" spans="1:9" x14ac:dyDescent="0.25">
      <c r="A739" s="9" t="s">
        <v>1548</v>
      </c>
      <c r="B739" s="9">
        <v>696</v>
      </c>
      <c r="C739" s="9">
        <v>7</v>
      </c>
      <c r="D739" s="10">
        <v>178.21</v>
      </c>
      <c r="E739">
        <f t="shared" si="55"/>
        <v>2</v>
      </c>
      <c r="F739">
        <f t="shared" si="56"/>
        <v>3</v>
      </c>
      <c r="G739">
        <f t="shared" si="57"/>
        <v>2</v>
      </c>
      <c r="H739" s="3" t="str">
        <f t="shared" si="58"/>
        <v>232</v>
      </c>
      <c r="I739" t="str">
        <f t="shared" si="59"/>
        <v>About To Sleep</v>
      </c>
    </row>
    <row r="740" spans="1:9" x14ac:dyDescent="0.25">
      <c r="A740" s="9" t="s">
        <v>1550</v>
      </c>
      <c r="B740" s="9">
        <v>487</v>
      </c>
      <c r="C740" s="9">
        <v>7</v>
      </c>
      <c r="D740" s="10">
        <v>483.23</v>
      </c>
      <c r="E740">
        <f t="shared" si="55"/>
        <v>5</v>
      </c>
      <c r="F740">
        <f t="shared" si="56"/>
        <v>3</v>
      </c>
      <c r="G740">
        <f t="shared" si="57"/>
        <v>5</v>
      </c>
      <c r="H740" s="3" t="str">
        <f t="shared" si="58"/>
        <v>535</v>
      </c>
      <c r="I740" t="str">
        <f t="shared" si="59"/>
        <v>Potential Loyalist</v>
      </c>
    </row>
    <row r="741" spans="1:9" x14ac:dyDescent="0.25">
      <c r="A741" s="9" t="s">
        <v>1552</v>
      </c>
      <c r="B741" s="9">
        <v>572</v>
      </c>
      <c r="C741" s="9">
        <v>11</v>
      </c>
      <c r="D741" s="10">
        <v>415.3</v>
      </c>
      <c r="E741">
        <f t="shared" si="55"/>
        <v>4</v>
      </c>
      <c r="F741">
        <f t="shared" si="56"/>
        <v>5</v>
      </c>
      <c r="G741">
        <f t="shared" si="57"/>
        <v>5</v>
      </c>
      <c r="H741" s="3" t="str">
        <f t="shared" si="58"/>
        <v>455</v>
      </c>
      <c r="I741" t="str">
        <f t="shared" si="59"/>
        <v>Champion</v>
      </c>
    </row>
    <row r="742" spans="1:9" x14ac:dyDescent="0.25">
      <c r="A742" s="9" t="s">
        <v>1554</v>
      </c>
      <c r="B742" s="9">
        <v>536</v>
      </c>
      <c r="C742" s="9">
        <v>7</v>
      </c>
      <c r="D742" s="10">
        <v>85.52</v>
      </c>
      <c r="E742">
        <f t="shared" si="55"/>
        <v>5</v>
      </c>
      <c r="F742">
        <f t="shared" si="56"/>
        <v>3</v>
      </c>
      <c r="G742">
        <f t="shared" si="57"/>
        <v>1</v>
      </c>
      <c r="H742" s="3" t="str">
        <f t="shared" si="58"/>
        <v>531</v>
      </c>
      <c r="I742" t="str">
        <f t="shared" si="59"/>
        <v>Potential Loyalist</v>
      </c>
    </row>
    <row r="743" spans="1:9" x14ac:dyDescent="0.25">
      <c r="A743" s="9" t="s">
        <v>1556</v>
      </c>
      <c r="B743" s="9">
        <v>619</v>
      </c>
      <c r="C743" s="9">
        <v>2</v>
      </c>
      <c r="D743" s="10">
        <v>422.31</v>
      </c>
      <c r="E743">
        <f t="shared" si="55"/>
        <v>4</v>
      </c>
      <c r="F743">
        <f t="shared" si="56"/>
        <v>1</v>
      </c>
      <c r="G743">
        <f t="shared" si="57"/>
        <v>5</v>
      </c>
      <c r="H743" s="3" t="str">
        <f t="shared" si="58"/>
        <v>415</v>
      </c>
      <c r="I743" t="str">
        <f t="shared" si="59"/>
        <v>Big Spender</v>
      </c>
    </row>
    <row r="744" spans="1:9" x14ac:dyDescent="0.25">
      <c r="A744" s="9" t="s">
        <v>1558</v>
      </c>
      <c r="B744" s="9">
        <v>566</v>
      </c>
      <c r="C744" s="9">
        <v>11</v>
      </c>
      <c r="D744" s="10">
        <v>70.42</v>
      </c>
      <c r="E744">
        <f t="shared" si="55"/>
        <v>4</v>
      </c>
      <c r="F744">
        <f t="shared" si="56"/>
        <v>5</v>
      </c>
      <c r="G744">
        <f t="shared" si="57"/>
        <v>1</v>
      </c>
      <c r="H744" s="3" t="str">
        <f t="shared" si="58"/>
        <v>451</v>
      </c>
      <c r="I744" t="str">
        <f t="shared" si="59"/>
        <v>Potential Loyalist</v>
      </c>
    </row>
    <row r="745" spans="1:9" x14ac:dyDescent="0.25">
      <c r="A745" s="9" t="s">
        <v>1560</v>
      </c>
      <c r="B745" s="9">
        <v>673</v>
      </c>
      <c r="C745" s="9">
        <v>6</v>
      </c>
      <c r="D745" s="10">
        <v>437.4</v>
      </c>
      <c r="E745">
        <f t="shared" si="55"/>
        <v>3</v>
      </c>
      <c r="F745">
        <f t="shared" si="56"/>
        <v>3</v>
      </c>
      <c r="G745">
        <f t="shared" si="57"/>
        <v>5</v>
      </c>
      <c r="H745" s="3" t="str">
        <f t="shared" si="58"/>
        <v>335</v>
      </c>
      <c r="I745" t="str">
        <f t="shared" si="59"/>
        <v>Big Spender</v>
      </c>
    </row>
    <row r="746" spans="1:9" x14ac:dyDescent="0.25">
      <c r="A746" s="9" t="s">
        <v>1562</v>
      </c>
      <c r="B746" s="9">
        <v>753</v>
      </c>
      <c r="C746" s="9">
        <v>4</v>
      </c>
      <c r="D746" s="10">
        <v>207.11</v>
      </c>
      <c r="E746">
        <f t="shared" si="55"/>
        <v>2</v>
      </c>
      <c r="F746">
        <f t="shared" si="56"/>
        <v>2</v>
      </c>
      <c r="G746">
        <f t="shared" si="57"/>
        <v>2</v>
      </c>
      <c r="H746" s="3" t="str">
        <f t="shared" si="58"/>
        <v>222</v>
      </c>
      <c r="I746" t="str">
        <f t="shared" si="59"/>
        <v>At Risk</v>
      </c>
    </row>
    <row r="747" spans="1:9" x14ac:dyDescent="0.25">
      <c r="A747" s="9" t="s">
        <v>1564</v>
      </c>
      <c r="B747" s="9">
        <v>673</v>
      </c>
      <c r="C747" s="9">
        <v>2</v>
      </c>
      <c r="D747" s="10">
        <v>378.87</v>
      </c>
      <c r="E747">
        <f t="shared" si="55"/>
        <v>3</v>
      </c>
      <c r="F747">
        <f t="shared" si="56"/>
        <v>1</v>
      </c>
      <c r="G747">
        <f t="shared" si="57"/>
        <v>4</v>
      </c>
      <c r="H747" s="3" t="str">
        <f t="shared" si="58"/>
        <v>314</v>
      </c>
      <c r="I747" t="str">
        <f t="shared" si="59"/>
        <v>Big Spender</v>
      </c>
    </row>
    <row r="748" spans="1:9" x14ac:dyDescent="0.25">
      <c r="A748" s="9" t="s">
        <v>1566</v>
      </c>
      <c r="B748" s="9">
        <v>826</v>
      </c>
      <c r="C748" s="9">
        <v>10</v>
      </c>
      <c r="D748" s="10">
        <v>349</v>
      </c>
      <c r="E748">
        <f t="shared" si="55"/>
        <v>1</v>
      </c>
      <c r="F748">
        <f t="shared" si="56"/>
        <v>5</v>
      </c>
      <c r="G748">
        <f t="shared" si="57"/>
        <v>4</v>
      </c>
      <c r="H748" s="3" t="str">
        <f t="shared" si="58"/>
        <v>154</v>
      </c>
      <c r="I748" t="str">
        <f t="shared" si="59"/>
        <v>Loyal Customer</v>
      </c>
    </row>
    <row r="749" spans="1:9" x14ac:dyDescent="0.25">
      <c r="A749" s="9" t="s">
        <v>1568</v>
      </c>
      <c r="B749" s="9">
        <v>800</v>
      </c>
      <c r="C749" s="9">
        <v>3</v>
      </c>
      <c r="D749" s="10">
        <v>330.27</v>
      </c>
      <c r="E749">
        <f t="shared" si="55"/>
        <v>1</v>
      </c>
      <c r="F749">
        <f t="shared" si="56"/>
        <v>1</v>
      </c>
      <c r="G749">
        <f t="shared" si="57"/>
        <v>4</v>
      </c>
      <c r="H749" s="3" t="str">
        <f t="shared" si="58"/>
        <v>114</v>
      </c>
      <c r="I749" t="str">
        <f t="shared" si="59"/>
        <v>Big Spender</v>
      </c>
    </row>
    <row r="750" spans="1:9" x14ac:dyDescent="0.25">
      <c r="A750" s="9" t="s">
        <v>1570</v>
      </c>
      <c r="B750" s="9">
        <v>595</v>
      </c>
      <c r="C750" s="9">
        <v>10</v>
      </c>
      <c r="D750" s="10">
        <v>410.29</v>
      </c>
      <c r="E750">
        <f t="shared" si="55"/>
        <v>4</v>
      </c>
      <c r="F750">
        <f t="shared" si="56"/>
        <v>5</v>
      </c>
      <c r="G750">
        <f t="shared" si="57"/>
        <v>4</v>
      </c>
      <c r="H750" s="3" t="str">
        <f t="shared" si="58"/>
        <v>454</v>
      </c>
      <c r="I750" t="str">
        <f t="shared" si="59"/>
        <v>Champion</v>
      </c>
    </row>
    <row r="751" spans="1:9" x14ac:dyDescent="0.25">
      <c r="A751" s="9" t="s">
        <v>1572</v>
      </c>
      <c r="B751" s="9">
        <v>585</v>
      </c>
      <c r="C751" s="9">
        <v>7</v>
      </c>
      <c r="D751" s="10">
        <v>400.86</v>
      </c>
      <c r="E751">
        <f t="shared" si="55"/>
        <v>4</v>
      </c>
      <c r="F751">
        <f t="shared" si="56"/>
        <v>3</v>
      </c>
      <c r="G751">
        <f t="shared" si="57"/>
        <v>4</v>
      </c>
      <c r="H751" s="3" t="str">
        <f t="shared" si="58"/>
        <v>434</v>
      </c>
      <c r="I751" t="str">
        <f t="shared" si="59"/>
        <v>Potential Loyalist</v>
      </c>
    </row>
    <row r="752" spans="1:9" x14ac:dyDescent="0.25">
      <c r="A752" s="9" t="s">
        <v>1574</v>
      </c>
      <c r="B752" s="9">
        <v>597</v>
      </c>
      <c r="C752" s="9">
        <v>11</v>
      </c>
      <c r="D752" s="10">
        <v>225.12</v>
      </c>
      <c r="E752">
        <f t="shared" si="55"/>
        <v>4</v>
      </c>
      <c r="F752">
        <f t="shared" si="56"/>
        <v>5</v>
      </c>
      <c r="G752">
        <f t="shared" si="57"/>
        <v>2</v>
      </c>
      <c r="H752" s="3" t="str">
        <f t="shared" si="58"/>
        <v>452</v>
      </c>
      <c r="I752" t="str">
        <f t="shared" si="59"/>
        <v>Potential Loyalist</v>
      </c>
    </row>
    <row r="753" spans="1:9" x14ac:dyDescent="0.25">
      <c r="A753" s="9" t="s">
        <v>1576</v>
      </c>
      <c r="B753" s="9">
        <v>819</v>
      </c>
      <c r="C753" s="9">
        <v>12</v>
      </c>
      <c r="D753" s="10">
        <v>273.48</v>
      </c>
      <c r="E753">
        <f t="shared" si="55"/>
        <v>1</v>
      </c>
      <c r="F753">
        <f t="shared" si="56"/>
        <v>5</v>
      </c>
      <c r="G753">
        <f t="shared" si="57"/>
        <v>3</v>
      </c>
      <c r="H753" s="3" t="str">
        <f t="shared" si="58"/>
        <v>153</v>
      </c>
      <c r="I753" t="str">
        <f t="shared" si="59"/>
        <v>About To Sleep</v>
      </c>
    </row>
    <row r="754" spans="1:9" x14ac:dyDescent="0.25">
      <c r="A754" s="9" t="s">
        <v>1578</v>
      </c>
      <c r="B754" s="9">
        <v>598</v>
      </c>
      <c r="C754" s="9">
        <v>11</v>
      </c>
      <c r="D754" s="10">
        <v>363.84</v>
      </c>
      <c r="E754">
        <f t="shared" si="55"/>
        <v>4</v>
      </c>
      <c r="F754">
        <f t="shared" si="56"/>
        <v>5</v>
      </c>
      <c r="G754">
        <f t="shared" si="57"/>
        <v>4</v>
      </c>
      <c r="H754" s="3" t="str">
        <f t="shared" si="58"/>
        <v>454</v>
      </c>
      <c r="I754" t="str">
        <f t="shared" si="59"/>
        <v>Champion</v>
      </c>
    </row>
    <row r="755" spans="1:9" x14ac:dyDescent="0.25">
      <c r="A755" s="9" t="s">
        <v>1580</v>
      </c>
      <c r="B755" s="9">
        <v>636</v>
      </c>
      <c r="C755" s="9">
        <v>9</v>
      </c>
      <c r="D755" s="10">
        <v>302.60000000000002</v>
      </c>
      <c r="E755">
        <f t="shared" si="55"/>
        <v>3</v>
      </c>
      <c r="F755">
        <f t="shared" si="56"/>
        <v>4</v>
      </c>
      <c r="G755">
        <f t="shared" si="57"/>
        <v>3</v>
      </c>
      <c r="H755" s="3" t="str">
        <f t="shared" si="58"/>
        <v>343</v>
      </c>
      <c r="I755" t="str">
        <f t="shared" si="59"/>
        <v>Others</v>
      </c>
    </row>
    <row r="756" spans="1:9" x14ac:dyDescent="0.25">
      <c r="A756" s="9" t="s">
        <v>1582</v>
      </c>
      <c r="B756" s="9">
        <v>739</v>
      </c>
      <c r="C756" s="9">
        <v>6</v>
      </c>
      <c r="D756" s="10">
        <v>317.08999999999997</v>
      </c>
      <c r="E756">
        <f t="shared" si="55"/>
        <v>2</v>
      </c>
      <c r="F756">
        <f t="shared" si="56"/>
        <v>3</v>
      </c>
      <c r="G756">
        <f t="shared" si="57"/>
        <v>3</v>
      </c>
      <c r="H756" s="3" t="str">
        <f t="shared" si="58"/>
        <v>233</v>
      </c>
      <c r="I756" t="str">
        <f t="shared" si="59"/>
        <v>About To Sleep</v>
      </c>
    </row>
    <row r="757" spans="1:9" x14ac:dyDescent="0.25">
      <c r="A757" s="9" t="s">
        <v>1584</v>
      </c>
      <c r="B757" s="9">
        <v>648</v>
      </c>
      <c r="C757" s="9">
        <v>9</v>
      </c>
      <c r="D757" s="10">
        <v>193.32</v>
      </c>
      <c r="E757">
        <f t="shared" si="55"/>
        <v>3</v>
      </c>
      <c r="F757">
        <f t="shared" si="56"/>
        <v>4</v>
      </c>
      <c r="G757">
        <f t="shared" si="57"/>
        <v>2</v>
      </c>
      <c r="H757" s="3" t="str">
        <f t="shared" si="58"/>
        <v>342</v>
      </c>
      <c r="I757" t="str">
        <f t="shared" si="59"/>
        <v>Others</v>
      </c>
    </row>
    <row r="758" spans="1:9" x14ac:dyDescent="0.25">
      <c r="A758" s="9" t="s">
        <v>1586</v>
      </c>
      <c r="B758" s="9">
        <v>581</v>
      </c>
      <c r="C758" s="9">
        <v>6</v>
      </c>
      <c r="D758" s="10">
        <v>282.24</v>
      </c>
      <c r="E758">
        <f t="shared" si="55"/>
        <v>4</v>
      </c>
      <c r="F758">
        <f t="shared" si="56"/>
        <v>3</v>
      </c>
      <c r="G758">
        <f t="shared" si="57"/>
        <v>3</v>
      </c>
      <c r="H758" s="3" t="str">
        <f t="shared" si="58"/>
        <v>433</v>
      </c>
      <c r="I758" t="str">
        <f t="shared" si="59"/>
        <v>Potential Loyalist</v>
      </c>
    </row>
    <row r="759" spans="1:9" x14ac:dyDescent="0.25">
      <c r="A759" s="9" t="s">
        <v>1588</v>
      </c>
      <c r="B759" s="9">
        <v>575</v>
      </c>
      <c r="C759" s="9">
        <v>6</v>
      </c>
      <c r="D759" s="10">
        <v>154.19</v>
      </c>
      <c r="E759">
        <f t="shared" si="55"/>
        <v>4</v>
      </c>
      <c r="F759">
        <f t="shared" si="56"/>
        <v>3</v>
      </c>
      <c r="G759">
        <f t="shared" si="57"/>
        <v>2</v>
      </c>
      <c r="H759" s="3" t="str">
        <f t="shared" si="58"/>
        <v>432</v>
      </c>
      <c r="I759" t="str">
        <f t="shared" si="59"/>
        <v>Potential Loyalist</v>
      </c>
    </row>
    <row r="760" spans="1:9" x14ac:dyDescent="0.25">
      <c r="A760" s="9" t="s">
        <v>1590</v>
      </c>
      <c r="B760" s="9">
        <v>533</v>
      </c>
      <c r="C760" s="9">
        <v>10</v>
      </c>
      <c r="D760" s="10">
        <v>84.15</v>
      </c>
      <c r="E760">
        <f t="shared" si="55"/>
        <v>5</v>
      </c>
      <c r="F760">
        <f t="shared" si="56"/>
        <v>5</v>
      </c>
      <c r="G760">
        <f t="shared" si="57"/>
        <v>1</v>
      </c>
      <c r="H760" s="3" t="str">
        <f t="shared" si="58"/>
        <v>551</v>
      </c>
      <c r="I760" t="str">
        <f t="shared" si="59"/>
        <v>Potential Loyalist</v>
      </c>
    </row>
    <row r="761" spans="1:9" x14ac:dyDescent="0.25">
      <c r="A761" s="9" t="s">
        <v>1592</v>
      </c>
      <c r="B761" s="9">
        <v>705</v>
      </c>
      <c r="C761" s="9">
        <v>7</v>
      </c>
      <c r="D761" s="10">
        <v>214.69</v>
      </c>
      <c r="E761">
        <f t="shared" si="55"/>
        <v>2</v>
      </c>
      <c r="F761">
        <f t="shared" si="56"/>
        <v>3</v>
      </c>
      <c r="G761">
        <f t="shared" si="57"/>
        <v>2</v>
      </c>
      <c r="H761" s="3" t="str">
        <f t="shared" si="58"/>
        <v>232</v>
      </c>
      <c r="I761" t="str">
        <f t="shared" si="59"/>
        <v>About To Sleep</v>
      </c>
    </row>
    <row r="762" spans="1:9" x14ac:dyDescent="0.25">
      <c r="A762" s="9" t="s">
        <v>1594</v>
      </c>
      <c r="B762" s="9">
        <v>512</v>
      </c>
      <c r="C762" s="9">
        <v>12</v>
      </c>
      <c r="D762" s="10">
        <v>61.21</v>
      </c>
      <c r="E762">
        <f t="shared" si="55"/>
        <v>5</v>
      </c>
      <c r="F762">
        <f t="shared" si="56"/>
        <v>5</v>
      </c>
      <c r="G762">
        <f t="shared" si="57"/>
        <v>1</v>
      </c>
      <c r="H762" s="3" t="str">
        <f t="shared" si="58"/>
        <v>551</v>
      </c>
      <c r="I762" t="str">
        <f t="shared" si="59"/>
        <v>Potential Loyalist</v>
      </c>
    </row>
    <row r="763" spans="1:9" x14ac:dyDescent="0.25">
      <c r="A763" s="9" t="s">
        <v>1596</v>
      </c>
      <c r="B763" s="9">
        <v>750</v>
      </c>
      <c r="C763" s="9">
        <v>11</v>
      </c>
      <c r="D763" s="10">
        <v>462.48</v>
      </c>
      <c r="E763">
        <f t="shared" si="55"/>
        <v>2</v>
      </c>
      <c r="F763">
        <f t="shared" si="56"/>
        <v>5</v>
      </c>
      <c r="G763">
        <f t="shared" si="57"/>
        <v>5</v>
      </c>
      <c r="H763" s="3" t="str">
        <f t="shared" si="58"/>
        <v>255</v>
      </c>
      <c r="I763" t="str">
        <f t="shared" si="59"/>
        <v>Loyal Customer</v>
      </c>
    </row>
    <row r="764" spans="1:9" x14ac:dyDescent="0.25">
      <c r="A764" s="9" t="s">
        <v>1598</v>
      </c>
      <c r="B764" s="9">
        <v>760</v>
      </c>
      <c r="C764" s="9">
        <v>3</v>
      </c>
      <c r="D764" s="10">
        <v>449.18</v>
      </c>
      <c r="E764">
        <f t="shared" si="55"/>
        <v>2</v>
      </c>
      <c r="F764">
        <f t="shared" si="56"/>
        <v>1</v>
      </c>
      <c r="G764">
        <f t="shared" si="57"/>
        <v>5</v>
      </c>
      <c r="H764" s="3" t="str">
        <f t="shared" si="58"/>
        <v>215</v>
      </c>
      <c r="I764" t="str">
        <f t="shared" si="59"/>
        <v>Big Spender</v>
      </c>
    </row>
    <row r="765" spans="1:9" x14ac:dyDescent="0.25">
      <c r="A765" s="9" t="s">
        <v>1600</v>
      </c>
      <c r="B765" s="9">
        <v>656</v>
      </c>
      <c r="C765" s="9">
        <v>7</v>
      </c>
      <c r="D765" s="10">
        <v>314.36</v>
      </c>
      <c r="E765">
        <f t="shared" si="55"/>
        <v>3</v>
      </c>
      <c r="F765">
        <f t="shared" si="56"/>
        <v>3</v>
      </c>
      <c r="G765">
        <f t="shared" si="57"/>
        <v>3</v>
      </c>
      <c r="H765" s="3" t="str">
        <f t="shared" si="58"/>
        <v>333</v>
      </c>
      <c r="I765" t="str">
        <f t="shared" si="59"/>
        <v>Others</v>
      </c>
    </row>
    <row r="766" spans="1:9" x14ac:dyDescent="0.25">
      <c r="A766" s="9" t="s">
        <v>1602</v>
      </c>
      <c r="B766" s="9">
        <v>764</v>
      </c>
      <c r="C766" s="9">
        <v>3</v>
      </c>
      <c r="D766" s="10">
        <v>367.7</v>
      </c>
      <c r="E766">
        <f t="shared" si="55"/>
        <v>1</v>
      </c>
      <c r="F766">
        <f t="shared" si="56"/>
        <v>1</v>
      </c>
      <c r="G766">
        <f t="shared" si="57"/>
        <v>4</v>
      </c>
      <c r="H766" s="3" t="str">
        <f t="shared" si="58"/>
        <v>114</v>
      </c>
      <c r="I766" t="str">
        <f t="shared" si="59"/>
        <v>Big Spender</v>
      </c>
    </row>
    <row r="767" spans="1:9" x14ac:dyDescent="0.25">
      <c r="A767" s="9" t="s">
        <v>1604</v>
      </c>
      <c r="B767" s="9">
        <v>515</v>
      </c>
      <c r="C767" s="9">
        <v>7</v>
      </c>
      <c r="D767" s="10">
        <v>229.97</v>
      </c>
      <c r="E767">
        <f t="shared" si="55"/>
        <v>5</v>
      </c>
      <c r="F767">
        <f t="shared" si="56"/>
        <v>3</v>
      </c>
      <c r="G767">
        <f t="shared" si="57"/>
        <v>3</v>
      </c>
      <c r="H767" s="3" t="str">
        <f t="shared" si="58"/>
        <v>533</v>
      </c>
      <c r="I767" t="str">
        <f t="shared" si="59"/>
        <v>Potential Loyalist</v>
      </c>
    </row>
    <row r="768" spans="1:9" x14ac:dyDescent="0.25">
      <c r="A768" s="9" t="s">
        <v>1606</v>
      </c>
      <c r="B768" s="9">
        <v>626</v>
      </c>
      <c r="C768" s="9">
        <v>3</v>
      </c>
      <c r="D768" s="10">
        <v>226.53</v>
      </c>
      <c r="E768">
        <f t="shared" si="55"/>
        <v>3</v>
      </c>
      <c r="F768">
        <f t="shared" si="56"/>
        <v>1</v>
      </c>
      <c r="G768">
        <f t="shared" si="57"/>
        <v>2</v>
      </c>
      <c r="H768" s="3" t="str">
        <f t="shared" si="58"/>
        <v>312</v>
      </c>
      <c r="I768" t="str">
        <f t="shared" si="59"/>
        <v>Lost Customer</v>
      </c>
    </row>
    <row r="769" spans="1:9" x14ac:dyDescent="0.25">
      <c r="A769" s="9" t="s">
        <v>1608</v>
      </c>
      <c r="B769" s="9">
        <v>573</v>
      </c>
      <c r="C769" s="9">
        <v>2</v>
      </c>
      <c r="D769" s="10">
        <v>218.32</v>
      </c>
      <c r="E769">
        <f t="shared" si="55"/>
        <v>4</v>
      </c>
      <c r="F769">
        <f t="shared" si="56"/>
        <v>1</v>
      </c>
      <c r="G769">
        <f t="shared" si="57"/>
        <v>2</v>
      </c>
      <c r="H769" s="3" t="str">
        <f t="shared" si="58"/>
        <v>412</v>
      </c>
      <c r="I769" t="str">
        <f t="shared" si="59"/>
        <v>Lost Customer</v>
      </c>
    </row>
    <row r="770" spans="1:9" x14ac:dyDescent="0.25">
      <c r="A770" s="9" t="s">
        <v>1610</v>
      </c>
      <c r="B770" s="9">
        <v>488</v>
      </c>
      <c r="C770" s="9">
        <v>7</v>
      </c>
      <c r="D770" s="10">
        <v>132.66999999999999</v>
      </c>
      <c r="E770">
        <f t="shared" si="55"/>
        <v>5</v>
      </c>
      <c r="F770">
        <f t="shared" si="56"/>
        <v>3</v>
      </c>
      <c r="G770">
        <f t="shared" si="57"/>
        <v>1</v>
      </c>
      <c r="H770" s="3" t="str">
        <f t="shared" si="58"/>
        <v>531</v>
      </c>
      <c r="I770" t="str">
        <f t="shared" si="59"/>
        <v>Potential Loyalist</v>
      </c>
    </row>
    <row r="771" spans="1:9" x14ac:dyDescent="0.25">
      <c r="A771" s="9" t="s">
        <v>1612</v>
      </c>
      <c r="B771" s="9">
        <v>695</v>
      </c>
      <c r="C771" s="9">
        <v>7</v>
      </c>
      <c r="D771" s="10">
        <v>416.96</v>
      </c>
      <c r="E771">
        <f t="shared" ref="E771:E834" si="60">IF(B771 &lt;= _xlfn.PERCENTILE.INC($B$2:$B$1001, 0.2), 5,
 IF(B771 &lt;= _xlfn.PERCENTILE.INC($B$2:$B$1001, 0.4), 4,
 IF(B771 &lt;= _xlfn.PERCENTILE.INC($B$2:$B$1001, 0.6), 3,
 IF(B771 &lt;= _xlfn.PERCENTILE.INC($B$2:$B$1001, 0.8), 2, 1))))</f>
        <v>2</v>
      </c>
      <c r="F771">
        <f t="shared" ref="F771:F834" si="61">IF(C771 &gt;= _xlfn.PERCENTILE.INC($C$2:$C$1001, 0.8), 5,
 IF(C771 &gt;= _xlfn.PERCENTILE.INC($C$2:$C$1001, 0.6), 4,
 IF(C771 &gt;= _xlfn.PERCENTILE.INC($C$2:$C$1001, 0.4), 3,
 IF(C771 &gt;= _xlfn.PERCENTILE.INC($C$2:$C$1001, 0.2), 2, 1))))</f>
        <v>3</v>
      </c>
      <c r="G771">
        <f t="shared" ref="G771:G834" si="62">IF(D771 &gt;= _xlfn.PERCENTILE.INC($D$2:$D$1001, 0.8), 5,
 IF(D771 &gt;= _xlfn.PERCENTILE.INC($D$2:$D$1001, 0.6), 4,
 IF(D771 &gt;= _xlfn.PERCENTILE.INC($D$2:$D$1001, 0.4), 3,
 IF(D771 &gt;= _xlfn.PERCENTILE.INC($D$2:$D$1001, 0.2), 2, 1))))</f>
        <v>5</v>
      </c>
      <c r="H771" s="3" t="str">
        <f t="shared" ref="H771:H834" si="63">TEXT(E771,"0") &amp; TEXT(F771,"0") &amp; TEXT(G771,"0")</f>
        <v>235</v>
      </c>
      <c r="I771" t="str">
        <f t="shared" ref="I771:I834" si="64">IF(AND(E771&gt;=4, F771&gt;=4, G771&gt;=4), "Champion",
 IF(AND(F771&gt;=4, G771&gt;=4), "Loyal Customer",
 IF(AND(E771&gt;=4, F771&gt;=3), "Potential Loyalist",
 IF(G771&gt;=4, "Big Spender",
 IF(AND(E771&lt;=2, F771&lt;=2), "At Risk",
 IF(E771&lt;=2, "About To Sleep",
 IF(AND(F771&lt;=2, G771&lt;=2), "Lost Customer", "Others")))))))</f>
        <v>Big Spender</v>
      </c>
    </row>
    <row r="772" spans="1:9" x14ac:dyDescent="0.25">
      <c r="A772" s="9" t="s">
        <v>1614</v>
      </c>
      <c r="B772" s="9">
        <v>836</v>
      </c>
      <c r="C772" s="9">
        <v>7</v>
      </c>
      <c r="D772" s="10">
        <v>459.51</v>
      </c>
      <c r="E772">
        <f t="shared" si="60"/>
        <v>1</v>
      </c>
      <c r="F772">
        <f t="shared" si="61"/>
        <v>3</v>
      </c>
      <c r="G772">
        <f t="shared" si="62"/>
        <v>5</v>
      </c>
      <c r="H772" s="3" t="str">
        <f t="shared" si="63"/>
        <v>135</v>
      </c>
      <c r="I772" t="str">
        <f t="shared" si="64"/>
        <v>Big Spender</v>
      </c>
    </row>
    <row r="773" spans="1:9" x14ac:dyDescent="0.25">
      <c r="A773" s="9" t="s">
        <v>1616</v>
      </c>
      <c r="B773" s="9">
        <v>766</v>
      </c>
      <c r="C773" s="9">
        <v>2</v>
      </c>
      <c r="D773" s="10">
        <v>487.96</v>
      </c>
      <c r="E773">
        <f t="shared" si="60"/>
        <v>1</v>
      </c>
      <c r="F773">
        <f t="shared" si="61"/>
        <v>1</v>
      </c>
      <c r="G773">
        <f t="shared" si="62"/>
        <v>5</v>
      </c>
      <c r="H773" s="3" t="str">
        <f t="shared" si="63"/>
        <v>115</v>
      </c>
      <c r="I773" t="str">
        <f t="shared" si="64"/>
        <v>Big Spender</v>
      </c>
    </row>
    <row r="774" spans="1:9" x14ac:dyDescent="0.25">
      <c r="A774" s="9" t="s">
        <v>1618</v>
      </c>
      <c r="B774" s="9">
        <v>636</v>
      </c>
      <c r="C774" s="9">
        <v>7</v>
      </c>
      <c r="D774" s="10">
        <v>150.11000000000001</v>
      </c>
      <c r="E774">
        <f t="shared" si="60"/>
        <v>3</v>
      </c>
      <c r="F774">
        <f t="shared" si="61"/>
        <v>3</v>
      </c>
      <c r="G774">
        <f t="shared" si="62"/>
        <v>2</v>
      </c>
      <c r="H774" s="3" t="str">
        <f t="shared" si="63"/>
        <v>332</v>
      </c>
      <c r="I774" t="str">
        <f t="shared" si="64"/>
        <v>Others</v>
      </c>
    </row>
    <row r="775" spans="1:9" x14ac:dyDescent="0.25">
      <c r="A775" s="9" t="s">
        <v>1620</v>
      </c>
      <c r="B775" s="9">
        <v>579</v>
      </c>
      <c r="C775" s="9">
        <v>5</v>
      </c>
      <c r="D775" s="10">
        <v>218.87</v>
      </c>
      <c r="E775">
        <f t="shared" si="60"/>
        <v>4</v>
      </c>
      <c r="F775">
        <f t="shared" si="61"/>
        <v>2</v>
      </c>
      <c r="G775">
        <f t="shared" si="62"/>
        <v>2</v>
      </c>
      <c r="H775" s="3" t="str">
        <f t="shared" si="63"/>
        <v>422</v>
      </c>
      <c r="I775" t="str">
        <f t="shared" si="64"/>
        <v>Lost Customer</v>
      </c>
    </row>
    <row r="776" spans="1:9" x14ac:dyDescent="0.25">
      <c r="A776" s="9" t="s">
        <v>1622</v>
      </c>
      <c r="B776" s="9">
        <v>772</v>
      </c>
      <c r="C776" s="9">
        <v>7</v>
      </c>
      <c r="D776" s="10">
        <v>437.06</v>
      </c>
      <c r="E776">
        <f t="shared" si="60"/>
        <v>1</v>
      </c>
      <c r="F776">
        <f t="shared" si="61"/>
        <v>3</v>
      </c>
      <c r="G776">
        <f t="shared" si="62"/>
        <v>5</v>
      </c>
      <c r="H776" s="3" t="str">
        <f t="shared" si="63"/>
        <v>135</v>
      </c>
      <c r="I776" t="str">
        <f t="shared" si="64"/>
        <v>Big Spender</v>
      </c>
    </row>
    <row r="777" spans="1:9" x14ac:dyDescent="0.25">
      <c r="A777" s="9" t="s">
        <v>1624</v>
      </c>
      <c r="B777" s="9">
        <v>812</v>
      </c>
      <c r="C777" s="9">
        <v>2</v>
      </c>
      <c r="D777" s="10">
        <v>122.58</v>
      </c>
      <c r="E777">
        <f t="shared" si="60"/>
        <v>1</v>
      </c>
      <c r="F777">
        <f t="shared" si="61"/>
        <v>1</v>
      </c>
      <c r="G777">
        <f t="shared" si="62"/>
        <v>1</v>
      </c>
      <c r="H777" s="3" t="str">
        <f t="shared" si="63"/>
        <v>111</v>
      </c>
      <c r="I777" t="str">
        <f t="shared" si="64"/>
        <v>At Risk</v>
      </c>
    </row>
    <row r="778" spans="1:9" x14ac:dyDescent="0.25">
      <c r="A778" s="9" t="s">
        <v>1626</v>
      </c>
      <c r="B778" s="9">
        <v>637</v>
      </c>
      <c r="C778" s="9">
        <v>8</v>
      </c>
      <c r="D778" s="10">
        <v>195.07</v>
      </c>
      <c r="E778">
        <f t="shared" si="60"/>
        <v>3</v>
      </c>
      <c r="F778">
        <f t="shared" si="61"/>
        <v>4</v>
      </c>
      <c r="G778">
        <f t="shared" si="62"/>
        <v>2</v>
      </c>
      <c r="H778" s="3" t="str">
        <f t="shared" si="63"/>
        <v>342</v>
      </c>
      <c r="I778" t="str">
        <f t="shared" si="64"/>
        <v>Others</v>
      </c>
    </row>
    <row r="779" spans="1:9" x14ac:dyDescent="0.25">
      <c r="A779" s="9" t="s">
        <v>1628</v>
      </c>
      <c r="B779" s="9">
        <v>807</v>
      </c>
      <c r="C779" s="9">
        <v>9</v>
      </c>
      <c r="D779" s="10">
        <v>190.06</v>
      </c>
      <c r="E779">
        <f t="shared" si="60"/>
        <v>1</v>
      </c>
      <c r="F779">
        <f t="shared" si="61"/>
        <v>4</v>
      </c>
      <c r="G779">
        <f t="shared" si="62"/>
        <v>2</v>
      </c>
      <c r="H779" s="3" t="str">
        <f t="shared" si="63"/>
        <v>142</v>
      </c>
      <c r="I779" t="str">
        <f t="shared" si="64"/>
        <v>About To Sleep</v>
      </c>
    </row>
    <row r="780" spans="1:9" x14ac:dyDescent="0.25">
      <c r="A780" s="9" t="s">
        <v>1630</v>
      </c>
      <c r="B780" s="9">
        <v>686</v>
      </c>
      <c r="C780" s="9">
        <v>10</v>
      </c>
      <c r="D780" s="10">
        <v>485.76</v>
      </c>
      <c r="E780">
        <f t="shared" si="60"/>
        <v>3</v>
      </c>
      <c r="F780">
        <f t="shared" si="61"/>
        <v>5</v>
      </c>
      <c r="G780">
        <f t="shared" si="62"/>
        <v>5</v>
      </c>
      <c r="H780" s="3" t="str">
        <f t="shared" si="63"/>
        <v>355</v>
      </c>
      <c r="I780" t="str">
        <f t="shared" si="64"/>
        <v>Loyal Customer</v>
      </c>
    </row>
    <row r="781" spans="1:9" x14ac:dyDescent="0.25">
      <c r="A781" s="9" t="s">
        <v>1632</v>
      </c>
      <c r="B781" s="9">
        <v>562</v>
      </c>
      <c r="C781" s="9">
        <v>7</v>
      </c>
      <c r="D781" s="10">
        <v>242.57</v>
      </c>
      <c r="E781">
        <f t="shared" si="60"/>
        <v>4</v>
      </c>
      <c r="F781">
        <f t="shared" si="61"/>
        <v>3</v>
      </c>
      <c r="G781">
        <f t="shared" si="62"/>
        <v>3</v>
      </c>
      <c r="H781" s="3" t="str">
        <f t="shared" si="63"/>
        <v>433</v>
      </c>
      <c r="I781" t="str">
        <f t="shared" si="64"/>
        <v>Potential Loyalist</v>
      </c>
    </row>
    <row r="782" spans="1:9" x14ac:dyDescent="0.25">
      <c r="A782" s="9" t="s">
        <v>1634</v>
      </c>
      <c r="B782" s="9">
        <v>837</v>
      </c>
      <c r="C782" s="9">
        <v>2</v>
      </c>
      <c r="D782" s="10">
        <v>303.13</v>
      </c>
      <c r="E782">
        <f t="shared" si="60"/>
        <v>1</v>
      </c>
      <c r="F782">
        <f t="shared" si="61"/>
        <v>1</v>
      </c>
      <c r="G782">
        <f t="shared" si="62"/>
        <v>3</v>
      </c>
      <c r="H782" s="3" t="str">
        <f t="shared" si="63"/>
        <v>113</v>
      </c>
      <c r="I782" t="str">
        <f t="shared" si="64"/>
        <v>At Risk</v>
      </c>
    </row>
    <row r="783" spans="1:9" x14ac:dyDescent="0.25">
      <c r="A783" s="9" t="s">
        <v>1636</v>
      </c>
      <c r="B783" s="9">
        <v>783</v>
      </c>
      <c r="C783" s="9">
        <v>5</v>
      </c>
      <c r="D783" s="10">
        <v>136.1</v>
      </c>
      <c r="E783">
        <f t="shared" si="60"/>
        <v>1</v>
      </c>
      <c r="F783">
        <f t="shared" si="61"/>
        <v>2</v>
      </c>
      <c r="G783">
        <f t="shared" si="62"/>
        <v>1</v>
      </c>
      <c r="H783" s="3" t="str">
        <f t="shared" si="63"/>
        <v>121</v>
      </c>
      <c r="I783" t="str">
        <f t="shared" si="64"/>
        <v>At Risk</v>
      </c>
    </row>
    <row r="784" spans="1:9" x14ac:dyDescent="0.25">
      <c r="A784" s="9" t="s">
        <v>1638</v>
      </c>
      <c r="B784" s="9">
        <v>566</v>
      </c>
      <c r="C784" s="9">
        <v>11</v>
      </c>
      <c r="D784" s="10">
        <v>249.02</v>
      </c>
      <c r="E784">
        <f t="shared" si="60"/>
        <v>4</v>
      </c>
      <c r="F784">
        <f t="shared" si="61"/>
        <v>5</v>
      </c>
      <c r="G784">
        <f t="shared" si="62"/>
        <v>3</v>
      </c>
      <c r="H784" s="3" t="str">
        <f t="shared" si="63"/>
        <v>453</v>
      </c>
      <c r="I784" t="str">
        <f t="shared" si="64"/>
        <v>Potential Loyalist</v>
      </c>
    </row>
    <row r="785" spans="1:9" x14ac:dyDescent="0.25">
      <c r="A785" s="9" t="s">
        <v>1640</v>
      </c>
      <c r="B785" s="9">
        <v>495</v>
      </c>
      <c r="C785" s="9">
        <v>7</v>
      </c>
      <c r="D785" s="10">
        <v>466.74</v>
      </c>
      <c r="E785">
        <f t="shared" si="60"/>
        <v>5</v>
      </c>
      <c r="F785">
        <f t="shared" si="61"/>
        <v>3</v>
      </c>
      <c r="G785">
        <f t="shared" si="62"/>
        <v>5</v>
      </c>
      <c r="H785" s="3" t="str">
        <f t="shared" si="63"/>
        <v>535</v>
      </c>
      <c r="I785" t="str">
        <f t="shared" si="64"/>
        <v>Potential Loyalist</v>
      </c>
    </row>
    <row r="786" spans="1:9" x14ac:dyDescent="0.25">
      <c r="A786" s="9" t="s">
        <v>1642</v>
      </c>
      <c r="B786" s="9">
        <v>511</v>
      </c>
      <c r="C786" s="9">
        <v>6</v>
      </c>
      <c r="D786" s="10">
        <v>229.3</v>
      </c>
      <c r="E786">
        <f t="shared" si="60"/>
        <v>5</v>
      </c>
      <c r="F786">
        <f t="shared" si="61"/>
        <v>3</v>
      </c>
      <c r="G786">
        <f t="shared" si="62"/>
        <v>3</v>
      </c>
      <c r="H786" s="3" t="str">
        <f t="shared" si="63"/>
        <v>533</v>
      </c>
      <c r="I786" t="str">
        <f t="shared" si="64"/>
        <v>Potential Loyalist</v>
      </c>
    </row>
    <row r="787" spans="1:9" x14ac:dyDescent="0.25">
      <c r="A787" s="9" t="s">
        <v>1644</v>
      </c>
      <c r="B787" s="9">
        <v>828</v>
      </c>
      <c r="C787" s="9">
        <v>8</v>
      </c>
      <c r="D787" s="10">
        <v>450.52</v>
      </c>
      <c r="E787">
        <f t="shared" si="60"/>
        <v>1</v>
      </c>
      <c r="F787">
        <f t="shared" si="61"/>
        <v>4</v>
      </c>
      <c r="G787">
        <f t="shared" si="62"/>
        <v>5</v>
      </c>
      <c r="H787" s="3" t="str">
        <f t="shared" si="63"/>
        <v>145</v>
      </c>
      <c r="I787" t="str">
        <f t="shared" si="64"/>
        <v>Loyal Customer</v>
      </c>
    </row>
    <row r="788" spans="1:9" x14ac:dyDescent="0.25">
      <c r="A788" s="9" t="s">
        <v>1646</v>
      </c>
      <c r="B788" s="9">
        <v>580</v>
      </c>
      <c r="C788" s="9">
        <v>4</v>
      </c>
      <c r="D788" s="10">
        <v>246.44</v>
      </c>
      <c r="E788">
        <f t="shared" si="60"/>
        <v>4</v>
      </c>
      <c r="F788">
        <f t="shared" si="61"/>
        <v>2</v>
      </c>
      <c r="G788">
        <f t="shared" si="62"/>
        <v>3</v>
      </c>
      <c r="H788" s="3" t="str">
        <f t="shared" si="63"/>
        <v>423</v>
      </c>
      <c r="I788" t="str">
        <f t="shared" si="64"/>
        <v>Others</v>
      </c>
    </row>
    <row r="789" spans="1:9" x14ac:dyDescent="0.25">
      <c r="A789" s="9" t="s">
        <v>1648</v>
      </c>
      <c r="B789" s="9">
        <v>616</v>
      </c>
      <c r="C789" s="9">
        <v>2</v>
      </c>
      <c r="D789" s="10">
        <v>93.52</v>
      </c>
      <c r="E789">
        <f t="shared" si="60"/>
        <v>4</v>
      </c>
      <c r="F789">
        <f t="shared" si="61"/>
        <v>1</v>
      </c>
      <c r="G789">
        <f t="shared" si="62"/>
        <v>1</v>
      </c>
      <c r="H789" s="3" t="str">
        <f t="shared" si="63"/>
        <v>411</v>
      </c>
      <c r="I789" t="str">
        <f t="shared" si="64"/>
        <v>Lost Customer</v>
      </c>
    </row>
    <row r="790" spans="1:9" x14ac:dyDescent="0.25">
      <c r="A790" s="9" t="s">
        <v>1650</v>
      </c>
      <c r="B790" s="9">
        <v>588</v>
      </c>
      <c r="C790" s="9">
        <v>6</v>
      </c>
      <c r="D790" s="10">
        <v>137.75</v>
      </c>
      <c r="E790">
        <f t="shared" si="60"/>
        <v>4</v>
      </c>
      <c r="F790">
        <f t="shared" si="61"/>
        <v>3</v>
      </c>
      <c r="G790">
        <f t="shared" si="62"/>
        <v>1</v>
      </c>
      <c r="H790" s="3" t="str">
        <f t="shared" si="63"/>
        <v>431</v>
      </c>
      <c r="I790" t="str">
        <f t="shared" si="64"/>
        <v>Potential Loyalist</v>
      </c>
    </row>
    <row r="791" spans="1:9" x14ac:dyDescent="0.25">
      <c r="A791" s="9" t="s">
        <v>1652</v>
      </c>
      <c r="B791" s="9">
        <v>694</v>
      </c>
      <c r="C791" s="9">
        <v>5</v>
      </c>
      <c r="D791" s="10">
        <v>78.64</v>
      </c>
      <c r="E791">
        <f t="shared" si="60"/>
        <v>2</v>
      </c>
      <c r="F791">
        <f t="shared" si="61"/>
        <v>2</v>
      </c>
      <c r="G791">
        <f t="shared" si="62"/>
        <v>1</v>
      </c>
      <c r="H791" s="3" t="str">
        <f t="shared" si="63"/>
        <v>221</v>
      </c>
      <c r="I791" t="str">
        <f t="shared" si="64"/>
        <v>At Risk</v>
      </c>
    </row>
    <row r="792" spans="1:9" x14ac:dyDescent="0.25">
      <c r="A792" s="9" t="s">
        <v>1654</v>
      </c>
      <c r="B792" s="9">
        <v>527</v>
      </c>
      <c r="C792" s="9">
        <v>9</v>
      </c>
      <c r="D792" s="10">
        <v>214.82</v>
      </c>
      <c r="E792">
        <f t="shared" si="60"/>
        <v>5</v>
      </c>
      <c r="F792">
        <f t="shared" si="61"/>
        <v>4</v>
      </c>
      <c r="G792">
        <f t="shared" si="62"/>
        <v>2</v>
      </c>
      <c r="H792" s="3" t="str">
        <f t="shared" si="63"/>
        <v>542</v>
      </c>
      <c r="I792" t="str">
        <f t="shared" si="64"/>
        <v>Potential Loyalist</v>
      </c>
    </row>
    <row r="793" spans="1:9" x14ac:dyDescent="0.25">
      <c r="A793" s="9" t="s">
        <v>1656</v>
      </c>
      <c r="B793" s="9">
        <v>640</v>
      </c>
      <c r="C793" s="9">
        <v>3</v>
      </c>
      <c r="D793" s="10">
        <v>57.39</v>
      </c>
      <c r="E793">
        <f t="shared" si="60"/>
        <v>3</v>
      </c>
      <c r="F793">
        <f t="shared" si="61"/>
        <v>1</v>
      </c>
      <c r="G793">
        <f t="shared" si="62"/>
        <v>1</v>
      </c>
      <c r="H793" s="3" t="str">
        <f t="shared" si="63"/>
        <v>311</v>
      </c>
      <c r="I793" t="str">
        <f t="shared" si="64"/>
        <v>Lost Customer</v>
      </c>
    </row>
    <row r="794" spans="1:9" x14ac:dyDescent="0.25">
      <c r="A794" s="9" t="s">
        <v>1658</v>
      </c>
      <c r="B794" s="9">
        <v>834</v>
      </c>
      <c r="C794" s="9">
        <v>10</v>
      </c>
      <c r="D794" s="10">
        <v>363.91</v>
      </c>
      <c r="E794">
        <f t="shared" si="60"/>
        <v>1</v>
      </c>
      <c r="F794">
        <f t="shared" si="61"/>
        <v>5</v>
      </c>
      <c r="G794">
        <f t="shared" si="62"/>
        <v>4</v>
      </c>
      <c r="H794" s="3" t="str">
        <f t="shared" si="63"/>
        <v>154</v>
      </c>
      <c r="I794" t="str">
        <f t="shared" si="64"/>
        <v>Loyal Customer</v>
      </c>
    </row>
    <row r="795" spans="1:9" x14ac:dyDescent="0.25">
      <c r="A795" s="9" t="s">
        <v>1659</v>
      </c>
      <c r="B795" s="9">
        <v>834</v>
      </c>
      <c r="C795" s="9">
        <v>12</v>
      </c>
      <c r="D795" s="10">
        <v>304.79000000000002</v>
      </c>
      <c r="E795">
        <f t="shared" si="60"/>
        <v>1</v>
      </c>
      <c r="F795">
        <f t="shared" si="61"/>
        <v>5</v>
      </c>
      <c r="G795">
        <f t="shared" si="62"/>
        <v>3</v>
      </c>
      <c r="H795" s="3" t="str">
        <f t="shared" si="63"/>
        <v>153</v>
      </c>
      <c r="I795" t="str">
        <f t="shared" si="64"/>
        <v>About To Sleep</v>
      </c>
    </row>
    <row r="796" spans="1:9" x14ac:dyDescent="0.25">
      <c r="A796" s="9" t="s">
        <v>1661</v>
      </c>
      <c r="B796" s="9">
        <v>693</v>
      </c>
      <c r="C796" s="9">
        <v>4</v>
      </c>
      <c r="D796" s="10">
        <v>363.98</v>
      </c>
      <c r="E796">
        <f t="shared" si="60"/>
        <v>3</v>
      </c>
      <c r="F796">
        <f t="shared" si="61"/>
        <v>2</v>
      </c>
      <c r="G796">
        <f t="shared" si="62"/>
        <v>4</v>
      </c>
      <c r="H796" s="3" t="str">
        <f t="shared" si="63"/>
        <v>324</v>
      </c>
      <c r="I796" t="str">
        <f t="shared" si="64"/>
        <v>Big Spender</v>
      </c>
    </row>
    <row r="797" spans="1:9" x14ac:dyDescent="0.25">
      <c r="A797" s="9" t="s">
        <v>1663</v>
      </c>
      <c r="B797" s="9">
        <v>709</v>
      </c>
      <c r="C797" s="9">
        <v>7</v>
      </c>
      <c r="D797" s="10">
        <v>249.6</v>
      </c>
      <c r="E797">
        <f t="shared" si="60"/>
        <v>2</v>
      </c>
      <c r="F797">
        <f t="shared" si="61"/>
        <v>3</v>
      </c>
      <c r="G797">
        <f t="shared" si="62"/>
        <v>3</v>
      </c>
      <c r="H797" s="3" t="str">
        <f t="shared" si="63"/>
        <v>233</v>
      </c>
      <c r="I797" t="str">
        <f t="shared" si="64"/>
        <v>About To Sleep</v>
      </c>
    </row>
    <row r="798" spans="1:9" x14ac:dyDescent="0.25">
      <c r="A798" s="9" t="s">
        <v>1665</v>
      </c>
      <c r="B798" s="9">
        <v>551</v>
      </c>
      <c r="C798" s="9">
        <v>12</v>
      </c>
      <c r="D798" s="10">
        <v>345.04</v>
      </c>
      <c r="E798">
        <f t="shared" si="60"/>
        <v>5</v>
      </c>
      <c r="F798">
        <f t="shared" si="61"/>
        <v>5</v>
      </c>
      <c r="G798">
        <f t="shared" si="62"/>
        <v>4</v>
      </c>
      <c r="H798" s="3" t="str">
        <f t="shared" si="63"/>
        <v>554</v>
      </c>
      <c r="I798" t="str">
        <f t="shared" si="64"/>
        <v>Champion</v>
      </c>
    </row>
    <row r="799" spans="1:9" x14ac:dyDescent="0.25">
      <c r="A799" s="9" t="s">
        <v>1667</v>
      </c>
      <c r="B799" s="9">
        <v>731</v>
      </c>
      <c r="C799" s="9">
        <v>3</v>
      </c>
      <c r="D799" s="10">
        <v>59.15</v>
      </c>
      <c r="E799">
        <f t="shared" si="60"/>
        <v>2</v>
      </c>
      <c r="F799">
        <f t="shared" si="61"/>
        <v>1</v>
      </c>
      <c r="G799">
        <f t="shared" si="62"/>
        <v>1</v>
      </c>
      <c r="H799" s="3" t="str">
        <f t="shared" si="63"/>
        <v>211</v>
      </c>
      <c r="I799" t="str">
        <f t="shared" si="64"/>
        <v>At Risk</v>
      </c>
    </row>
    <row r="800" spans="1:9" x14ac:dyDescent="0.25">
      <c r="A800" s="9" t="s">
        <v>1669</v>
      </c>
      <c r="B800" s="9">
        <v>682</v>
      </c>
      <c r="C800" s="9">
        <v>12</v>
      </c>
      <c r="D800" s="10">
        <v>461.81</v>
      </c>
      <c r="E800">
        <f t="shared" si="60"/>
        <v>3</v>
      </c>
      <c r="F800">
        <f t="shared" si="61"/>
        <v>5</v>
      </c>
      <c r="G800">
        <f t="shared" si="62"/>
        <v>5</v>
      </c>
      <c r="H800" s="3" t="str">
        <f t="shared" si="63"/>
        <v>355</v>
      </c>
      <c r="I800" t="str">
        <f t="shared" si="64"/>
        <v>Loyal Customer</v>
      </c>
    </row>
    <row r="801" spans="1:9" x14ac:dyDescent="0.25">
      <c r="A801" s="9" t="s">
        <v>1671</v>
      </c>
      <c r="B801" s="9">
        <v>715</v>
      </c>
      <c r="C801" s="9">
        <v>4</v>
      </c>
      <c r="D801" s="10">
        <v>280.88</v>
      </c>
      <c r="E801">
        <f t="shared" si="60"/>
        <v>2</v>
      </c>
      <c r="F801">
        <f t="shared" si="61"/>
        <v>2</v>
      </c>
      <c r="G801">
        <f t="shared" si="62"/>
        <v>3</v>
      </c>
      <c r="H801" s="3" t="str">
        <f t="shared" si="63"/>
        <v>223</v>
      </c>
      <c r="I801" t="str">
        <f t="shared" si="64"/>
        <v>At Risk</v>
      </c>
    </row>
    <row r="802" spans="1:9" x14ac:dyDescent="0.25">
      <c r="A802" s="9" t="s">
        <v>1673</v>
      </c>
      <c r="B802" s="9">
        <v>781</v>
      </c>
      <c r="C802" s="9">
        <v>8</v>
      </c>
      <c r="D802" s="10">
        <v>283.7</v>
      </c>
      <c r="E802">
        <f t="shared" si="60"/>
        <v>1</v>
      </c>
      <c r="F802">
        <f t="shared" si="61"/>
        <v>4</v>
      </c>
      <c r="G802">
        <f t="shared" si="62"/>
        <v>3</v>
      </c>
      <c r="H802" s="3" t="str">
        <f t="shared" si="63"/>
        <v>143</v>
      </c>
      <c r="I802" t="str">
        <f t="shared" si="64"/>
        <v>About To Sleep</v>
      </c>
    </row>
    <row r="803" spans="1:9" x14ac:dyDescent="0.25">
      <c r="A803" s="9" t="s">
        <v>1675</v>
      </c>
      <c r="B803" s="9">
        <v>488</v>
      </c>
      <c r="C803" s="9">
        <v>10</v>
      </c>
      <c r="D803" s="10">
        <v>411.95</v>
      </c>
      <c r="E803">
        <f t="shared" si="60"/>
        <v>5</v>
      </c>
      <c r="F803">
        <f t="shared" si="61"/>
        <v>5</v>
      </c>
      <c r="G803">
        <f t="shared" si="62"/>
        <v>4</v>
      </c>
      <c r="H803" s="3" t="str">
        <f t="shared" si="63"/>
        <v>554</v>
      </c>
      <c r="I803" t="str">
        <f t="shared" si="64"/>
        <v>Champion</v>
      </c>
    </row>
    <row r="804" spans="1:9" x14ac:dyDescent="0.25">
      <c r="A804" s="9" t="s">
        <v>1677</v>
      </c>
      <c r="B804" s="9">
        <v>538</v>
      </c>
      <c r="C804" s="9">
        <v>5</v>
      </c>
      <c r="D804" s="10">
        <v>476.11</v>
      </c>
      <c r="E804">
        <f t="shared" si="60"/>
        <v>5</v>
      </c>
      <c r="F804">
        <f t="shared" si="61"/>
        <v>2</v>
      </c>
      <c r="G804">
        <f t="shared" si="62"/>
        <v>5</v>
      </c>
      <c r="H804" s="3" t="str">
        <f t="shared" si="63"/>
        <v>525</v>
      </c>
      <c r="I804" t="str">
        <f t="shared" si="64"/>
        <v>Big Spender</v>
      </c>
    </row>
    <row r="805" spans="1:9" x14ac:dyDescent="0.25">
      <c r="A805" s="9" t="s">
        <v>1679</v>
      </c>
      <c r="B805" s="9">
        <v>668</v>
      </c>
      <c r="C805" s="9">
        <v>7</v>
      </c>
      <c r="D805" s="10">
        <v>399.24</v>
      </c>
      <c r="E805">
        <f t="shared" si="60"/>
        <v>3</v>
      </c>
      <c r="F805">
        <f t="shared" si="61"/>
        <v>3</v>
      </c>
      <c r="G805">
        <f t="shared" si="62"/>
        <v>4</v>
      </c>
      <c r="H805" s="3" t="str">
        <f t="shared" si="63"/>
        <v>334</v>
      </c>
      <c r="I805" t="str">
        <f t="shared" si="64"/>
        <v>Big Spender</v>
      </c>
    </row>
    <row r="806" spans="1:9" x14ac:dyDescent="0.25">
      <c r="A806" s="9" t="s">
        <v>1681</v>
      </c>
      <c r="B806" s="9">
        <v>581</v>
      </c>
      <c r="C806" s="9">
        <v>12</v>
      </c>
      <c r="D806" s="10">
        <v>90.79</v>
      </c>
      <c r="E806">
        <f t="shared" si="60"/>
        <v>4</v>
      </c>
      <c r="F806">
        <f t="shared" si="61"/>
        <v>5</v>
      </c>
      <c r="G806">
        <f t="shared" si="62"/>
        <v>1</v>
      </c>
      <c r="H806" s="3" t="str">
        <f t="shared" si="63"/>
        <v>451</v>
      </c>
      <c r="I806" t="str">
        <f t="shared" si="64"/>
        <v>Potential Loyalist</v>
      </c>
    </row>
    <row r="807" spans="1:9" x14ac:dyDescent="0.25">
      <c r="A807" s="9" t="s">
        <v>1683</v>
      </c>
      <c r="B807" s="9">
        <v>827</v>
      </c>
      <c r="C807" s="9">
        <v>9</v>
      </c>
      <c r="D807" s="10">
        <v>229.56</v>
      </c>
      <c r="E807">
        <f t="shared" si="60"/>
        <v>1</v>
      </c>
      <c r="F807">
        <f t="shared" si="61"/>
        <v>4</v>
      </c>
      <c r="G807">
        <f t="shared" si="62"/>
        <v>3</v>
      </c>
      <c r="H807" s="3" t="str">
        <f t="shared" si="63"/>
        <v>143</v>
      </c>
      <c r="I807" t="str">
        <f t="shared" si="64"/>
        <v>About To Sleep</v>
      </c>
    </row>
    <row r="808" spans="1:9" x14ac:dyDescent="0.25">
      <c r="A808" s="9" t="s">
        <v>1685</v>
      </c>
      <c r="B808" s="9">
        <v>764</v>
      </c>
      <c r="C808" s="9">
        <v>7</v>
      </c>
      <c r="D808" s="10">
        <v>160.47</v>
      </c>
      <c r="E808">
        <f t="shared" si="60"/>
        <v>1</v>
      </c>
      <c r="F808">
        <f t="shared" si="61"/>
        <v>3</v>
      </c>
      <c r="G808">
        <f t="shared" si="62"/>
        <v>2</v>
      </c>
      <c r="H808" s="3" t="str">
        <f t="shared" si="63"/>
        <v>132</v>
      </c>
      <c r="I808" t="str">
        <f t="shared" si="64"/>
        <v>About To Sleep</v>
      </c>
    </row>
    <row r="809" spans="1:9" x14ac:dyDescent="0.25">
      <c r="A809" s="9" t="s">
        <v>1687</v>
      </c>
      <c r="B809" s="9">
        <v>575</v>
      </c>
      <c r="C809" s="9">
        <v>6</v>
      </c>
      <c r="D809" s="10">
        <v>104.74</v>
      </c>
      <c r="E809">
        <f t="shared" si="60"/>
        <v>4</v>
      </c>
      <c r="F809">
        <f t="shared" si="61"/>
        <v>3</v>
      </c>
      <c r="G809">
        <f t="shared" si="62"/>
        <v>1</v>
      </c>
      <c r="H809" s="3" t="str">
        <f t="shared" si="63"/>
        <v>431</v>
      </c>
      <c r="I809" t="str">
        <f t="shared" si="64"/>
        <v>Potential Loyalist</v>
      </c>
    </row>
    <row r="810" spans="1:9" x14ac:dyDescent="0.25">
      <c r="A810" s="9" t="s">
        <v>1689</v>
      </c>
      <c r="B810" s="9">
        <v>774</v>
      </c>
      <c r="C810" s="9">
        <v>10</v>
      </c>
      <c r="D810" s="10">
        <v>399.95</v>
      </c>
      <c r="E810">
        <f t="shared" si="60"/>
        <v>1</v>
      </c>
      <c r="F810">
        <f t="shared" si="61"/>
        <v>5</v>
      </c>
      <c r="G810">
        <f t="shared" si="62"/>
        <v>4</v>
      </c>
      <c r="H810" s="3" t="str">
        <f t="shared" si="63"/>
        <v>154</v>
      </c>
      <c r="I810" t="str">
        <f t="shared" si="64"/>
        <v>Loyal Customer</v>
      </c>
    </row>
    <row r="811" spans="1:9" x14ac:dyDescent="0.25">
      <c r="A811" s="9" t="s">
        <v>1691</v>
      </c>
      <c r="B811" s="9">
        <v>511</v>
      </c>
      <c r="C811" s="9">
        <v>8</v>
      </c>
      <c r="D811" s="10">
        <v>337.33</v>
      </c>
      <c r="E811">
        <f t="shared" si="60"/>
        <v>5</v>
      </c>
      <c r="F811">
        <f t="shared" si="61"/>
        <v>4</v>
      </c>
      <c r="G811">
        <f t="shared" si="62"/>
        <v>4</v>
      </c>
      <c r="H811" s="3" t="str">
        <f t="shared" si="63"/>
        <v>544</v>
      </c>
      <c r="I811" t="str">
        <f t="shared" si="64"/>
        <v>Champion</v>
      </c>
    </row>
    <row r="812" spans="1:9" x14ac:dyDescent="0.25">
      <c r="A812" s="9" t="s">
        <v>1693</v>
      </c>
      <c r="B812" s="9">
        <v>728</v>
      </c>
      <c r="C812" s="9">
        <v>6</v>
      </c>
      <c r="D812" s="10">
        <v>204.83</v>
      </c>
      <c r="E812">
        <f t="shared" si="60"/>
        <v>2</v>
      </c>
      <c r="F812">
        <f t="shared" si="61"/>
        <v>3</v>
      </c>
      <c r="G812">
        <f t="shared" si="62"/>
        <v>2</v>
      </c>
      <c r="H812" s="3" t="str">
        <f t="shared" si="63"/>
        <v>232</v>
      </c>
      <c r="I812" t="str">
        <f t="shared" si="64"/>
        <v>About To Sleep</v>
      </c>
    </row>
    <row r="813" spans="1:9" x14ac:dyDescent="0.25">
      <c r="A813" s="9" t="s">
        <v>1695</v>
      </c>
      <c r="B813" s="9">
        <v>619</v>
      </c>
      <c r="C813" s="9">
        <v>11</v>
      </c>
      <c r="D813" s="10">
        <v>193.94</v>
      </c>
      <c r="E813">
        <f t="shared" si="60"/>
        <v>4</v>
      </c>
      <c r="F813">
        <f t="shared" si="61"/>
        <v>5</v>
      </c>
      <c r="G813">
        <f t="shared" si="62"/>
        <v>2</v>
      </c>
      <c r="H813" s="3" t="str">
        <f t="shared" si="63"/>
        <v>452</v>
      </c>
      <c r="I813" t="str">
        <f t="shared" si="64"/>
        <v>Potential Loyalist</v>
      </c>
    </row>
    <row r="814" spans="1:9" x14ac:dyDescent="0.25">
      <c r="A814" s="9" t="s">
        <v>1697</v>
      </c>
      <c r="B814" s="9">
        <v>646</v>
      </c>
      <c r="C814" s="9">
        <v>10</v>
      </c>
      <c r="D814" s="10">
        <v>460.37</v>
      </c>
      <c r="E814">
        <f t="shared" si="60"/>
        <v>3</v>
      </c>
      <c r="F814">
        <f t="shared" si="61"/>
        <v>5</v>
      </c>
      <c r="G814">
        <f t="shared" si="62"/>
        <v>5</v>
      </c>
      <c r="H814" s="3" t="str">
        <f t="shared" si="63"/>
        <v>355</v>
      </c>
      <c r="I814" t="str">
        <f t="shared" si="64"/>
        <v>Loyal Customer</v>
      </c>
    </row>
    <row r="815" spans="1:9" x14ac:dyDescent="0.25">
      <c r="A815" s="9" t="s">
        <v>1699</v>
      </c>
      <c r="B815" s="9">
        <v>840</v>
      </c>
      <c r="C815" s="9">
        <v>9</v>
      </c>
      <c r="D815" s="10">
        <v>297.29000000000002</v>
      </c>
      <c r="E815">
        <f t="shared" si="60"/>
        <v>1</v>
      </c>
      <c r="F815">
        <f t="shared" si="61"/>
        <v>4</v>
      </c>
      <c r="G815">
        <f t="shared" si="62"/>
        <v>3</v>
      </c>
      <c r="H815" s="3" t="str">
        <f t="shared" si="63"/>
        <v>143</v>
      </c>
      <c r="I815" t="str">
        <f t="shared" si="64"/>
        <v>About To Sleep</v>
      </c>
    </row>
    <row r="816" spans="1:9" x14ac:dyDescent="0.25">
      <c r="A816" s="9" t="s">
        <v>1700</v>
      </c>
      <c r="B816" s="9">
        <v>799</v>
      </c>
      <c r="C816" s="9">
        <v>4</v>
      </c>
      <c r="D816" s="10">
        <v>389.47</v>
      </c>
      <c r="E816">
        <f t="shared" si="60"/>
        <v>1</v>
      </c>
      <c r="F816">
        <f t="shared" si="61"/>
        <v>2</v>
      </c>
      <c r="G816">
        <f t="shared" si="62"/>
        <v>4</v>
      </c>
      <c r="H816" s="3" t="str">
        <f t="shared" si="63"/>
        <v>124</v>
      </c>
      <c r="I816" t="str">
        <f t="shared" si="64"/>
        <v>Big Spender</v>
      </c>
    </row>
    <row r="817" spans="1:9" x14ac:dyDescent="0.25">
      <c r="A817" s="9" t="s">
        <v>1702</v>
      </c>
      <c r="B817" s="9">
        <v>537</v>
      </c>
      <c r="C817" s="9">
        <v>11</v>
      </c>
      <c r="D817" s="10">
        <v>370.05</v>
      </c>
      <c r="E817">
        <f t="shared" si="60"/>
        <v>5</v>
      </c>
      <c r="F817">
        <f t="shared" si="61"/>
        <v>5</v>
      </c>
      <c r="G817">
        <f t="shared" si="62"/>
        <v>4</v>
      </c>
      <c r="H817" s="3" t="str">
        <f t="shared" si="63"/>
        <v>554</v>
      </c>
      <c r="I817" t="str">
        <f t="shared" si="64"/>
        <v>Champion</v>
      </c>
    </row>
    <row r="818" spans="1:9" x14ac:dyDescent="0.25">
      <c r="A818" s="9" t="s">
        <v>1704</v>
      </c>
      <c r="B818" s="9">
        <v>762</v>
      </c>
      <c r="C818" s="9">
        <v>2</v>
      </c>
      <c r="D818" s="10">
        <v>462.24</v>
      </c>
      <c r="E818">
        <f t="shared" si="60"/>
        <v>1</v>
      </c>
      <c r="F818">
        <f t="shared" si="61"/>
        <v>1</v>
      </c>
      <c r="G818">
        <f t="shared" si="62"/>
        <v>5</v>
      </c>
      <c r="H818" s="3" t="str">
        <f t="shared" si="63"/>
        <v>115</v>
      </c>
      <c r="I818" t="str">
        <f t="shared" si="64"/>
        <v>Big Spender</v>
      </c>
    </row>
    <row r="819" spans="1:9" x14ac:dyDescent="0.25">
      <c r="A819" s="9" t="s">
        <v>1706</v>
      </c>
      <c r="B819" s="9">
        <v>720</v>
      </c>
      <c r="C819" s="9">
        <v>11</v>
      </c>
      <c r="D819" s="10">
        <v>472.53</v>
      </c>
      <c r="E819">
        <f t="shared" si="60"/>
        <v>2</v>
      </c>
      <c r="F819">
        <f t="shared" si="61"/>
        <v>5</v>
      </c>
      <c r="G819">
        <f t="shared" si="62"/>
        <v>5</v>
      </c>
      <c r="H819" s="3" t="str">
        <f t="shared" si="63"/>
        <v>255</v>
      </c>
      <c r="I819" t="str">
        <f t="shared" si="64"/>
        <v>Loyal Customer</v>
      </c>
    </row>
    <row r="820" spans="1:9" x14ac:dyDescent="0.25">
      <c r="A820" s="9" t="s">
        <v>1708</v>
      </c>
      <c r="B820" s="9">
        <v>511</v>
      </c>
      <c r="C820" s="9">
        <v>3</v>
      </c>
      <c r="D820" s="10">
        <v>407.29</v>
      </c>
      <c r="E820">
        <f t="shared" si="60"/>
        <v>5</v>
      </c>
      <c r="F820">
        <f t="shared" si="61"/>
        <v>1</v>
      </c>
      <c r="G820">
        <f t="shared" si="62"/>
        <v>4</v>
      </c>
      <c r="H820" s="3" t="str">
        <f t="shared" si="63"/>
        <v>514</v>
      </c>
      <c r="I820" t="str">
        <f t="shared" si="64"/>
        <v>Big Spender</v>
      </c>
    </row>
    <row r="821" spans="1:9" x14ac:dyDescent="0.25">
      <c r="A821" s="9" t="s">
        <v>1710</v>
      </c>
      <c r="B821" s="9">
        <v>794</v>
      </c>
      <c r="C821" s="9">
        <v>8</v>
      </c>
      <c r="D821" s="10">
        <v>135.65</v>
      </c>
      <c r="E821">
        <f t="shared" si="60"/>
        <v>1</v>
      </c>
      <c r="F821">
        <f t="shared" si="61"/>
        <v>4</v>
      </c>
      <c r="G821">
        <f t="shared" si="62"/>
        <v>1</v>
      </c>
      <c r="H821" s="3" t="str">
        <f t="shared" si="63"/>
        <v>141</v>
      </c>
      <c r="I821" t="str">
        <f t="shared" si="64"/>
        <v>About To Sleep</v>
      </c>
    </row>
    <row r="822" spans="1:9" x14ac:dyDescent="0.25">
      <c r="A822" s="9" t="s">
        <v>1712</v>
      </c>
      <c r="B822" s="9">
        <v>669</v>
      </c>
      <c r="C822" s="9">
        <v>4</v>
      </c>
      <c r="D822" s="10">
        <v>352.35</v>
      </c>
      <c r="E822">
        <f t="shared" si="60"/>
        <v>3</v>
      </c>
      <c r="F822">
        <f t="shared" si="61"/>
        <v>2</v>
      </c>
      <c r="G822">
        <f t="shared" si="62"/>
        <v>4</v>
      </c>
      <c r="H822" s="3" t="str">
        <f t="shared" si="63"/>
        <v>324</v>
      </c>
      <c r="I822" t="str">
        <f t="shared" si="64"/>
        <v>Big Spender</v>
      </c>
    </row>
    <row r="823" spans="1:9" x14ac:dyDescent="0.25">
      <c r="A823" s="9" t="s">
        <v>1714</v>
      </c>
      <c r="B823" s="9">
        <v>806</v>
      </c>
      <c r="C823" s="9">
        <v>12</v>
      </c>
      <c r="D823" s="10">
        <v>441.73</v>
      </c>
      <c r="E823">
        <f t="shared" si="60"/>
        <v>1</v>
      </c>
      <c r="F823">
        <f t="shared" si="61"/>
        <v>5</v>
      </c>
      <c r="G823">
        <f t="shared" si="62"/>
        <v>5</v>
      </c>
      <c r="H823" s="3" t="str">
        <f t="shared" si="63"/>
        <v>155</v>
      </c>
      <c r="I823" t="str">
        <f t="shared" si="64"/>
        <v>Loyal Customer</v>
      </c>
    </row>
    <row r="824" spans="1:9" x14ac:dyDescent="0.25">
      <c r="A824" s="9" t="s">
        <v>1715</v>
      </c>
      <c r="B824" s="9">
        <v>624</v>
      </c>
      <c r="C824" s="9">
        <v>12</v>
      </c>
      <c r="D824" s="10">
        <v>105.95</v>
      </c>
      <c r="E824">
        <f t="shared" si="60"/>
        <v>4</v>
      </c>
      <c r="F824">
        <f t="shared" si="61"/>
        <v>5</v>
      </c>
      <c r="G824">
        <f t="shared" si="62"/>
        <v>1</v>
      </c>
      <c r="H824" s="3" t="str">
        <f t="shared" si="63"/>
        <v>451</v>
      </c>
      <c r="I824" t="str">
        <f t="shared" si="64"/>
        <v>Potential Loyalist</v>
      </c>
    </row>
    <row r="825" spans="1:9" x14ac:dyDescent="0.25">
      <c r="A825" s="9" t="s">
        <v>1717</v>
      </c>
      <c r="B825" s="9">
        <v>760</v>
      </c>
      <c r="C825" s="9">
        <v>11</v>
      </c>
      <c r="D825" s="10">
        <v>351.54</v>
      </c>
      <c r="E825">
        <f t="shared" si="60"/>
        <v>2</v>
      </c>
      <c r="F825">
        <f t="shared" si="61"/>
        <v>5</v>
      </c>
      <c r="G825">
        <f t="shared" si="62"/>
        <v>4</v>
      </c>
      <c r="H825" s="3" t="str">
        <f t="shared" si="63"/>
        <v>254</v>
      </c>
      <c r="I825" t="str">
        <f t="shared" si="64"/>
        <v>Loyal Customer</v>
      </c>
    </row>
    <row r="826" spans="1:9" x14ac:dyDescent="0.25">
      <c r="A826" s="9" t="s">
        <v>1719</v>
      </c>
      <c r="B826" s="9">
        <v>676</v>
      </c>
      <c r="C826" s="9">
        <v>12</v>
      </c>
      <c r="D826" s="10">
        <v>321.26</v>
      </c>
      <c r="E826">
        <f t="shared" si="60"/>
        <v>3</v>
      </c>
      <c r="F826">
        <f t="shared" si="61"/>
        <v>5</v>
      </c>
      <c r="G826">
        <f t="shared" si="62"/>
        <v>3</v>
      </c>
      <c r="H826" s="3" t="str">
        <f t="shared" si="63"/>
        <v>353</v>
      </c>
      <c r="I826" t="str">
        <f t="shared" si="64"/>
        <v>Others</v>
      </c>
    </row>
    <row r="827" spans="1:9" x14ac:dyDescent="0.25">
      <c r="A827" s="9" t="s">
        <v>1721</v>
      </c>
      <c r="B827" s="9">
        <v>746</v>
      </c>
      <c r="C827" s="9">
        <v>11</v>
      </c>
      <c r="D827" s="10">
        <v>421.5</v>
      </c>
      <c r="E827">
        <f t="shared" si="60"/>
        <v>2</v>
      </c>
      <c r="F827">
        <f t="shared" si="61"/>
        <v>5</v>
      </c>
      <c r="G827">
        <f t="shared" si="62"/>
        <v>5</v>
      </c>
      <c r="H827" s="3" t="str">
        <f t="shared" si="63"/>
        <v>255</v>
      </c>
      <c r="I827" t="str">
        <f t="shared" si="64"/>
        <v>Loyal Customer</v>
      </c>
    </row>
    <row r="828" spans="1:9" x14ac:dyDescent="0.25">
      <c r="A828" s="9" t="s">
        <v>1723</v>
      </c>
      <c r="B828" s="9">
        <v>718</v>
      </c>
      <c r="C828" s="9">
        <v>6</v>
      </c>
      <c r="D828" s="10">
        <v>253.29</v>
      </c>
      <c r="E828">
        <f t="shared" si="60"/>
        <v>2</v>
      </c>
      <c r="F828">
        <f t="shared" si="61"/>
        <v>3</v>
      </c>
      <c r="G828">
        <f t="shared" si="62"/>
        <v>3</v>
      </c>
      <c r="H828" s="3" t="str">
        <f t="shared" si="63"/>
        <v>233</v>
      </c>
      <c r="I828" t="str">
        <f t="shared" si="64"/>
        <v>About To Sleep</v>
      </c>
    </row>
    <row r="829" spans="1:9" x14ac:dyDescent="0.25">
      <c r="A829" s="9" t="s">
        <v>1725</v>
      </c>
      <c r="B829" s="9">
        <v>796</v>
      </c>
      <c r="C829" s="9">
        <v>3</v>
      </c>
      <c r="D829" s="10">
        <v>217.62</v>
      </c>
      <c r="E829">
        <f t="shared" si="60"/>
        <v>1</v>
      </c>
      <c r="F829">
        <f t="shared" si="61"/>
        <v>1</v>
      </c>
      <c r="G829">
        <f t="shared" si="62"/>
        <v>2</v>
      </c>
      <c r="H829" s="3" t="str">
        <f t="shared" si="63"/>
        <v>112</v>
      </c>
      <c r="I829" t="str">
        <f t="shared" si="64"/>
        <v>At Risk</v>
      </c>
    </row>
    <row r="830" spans="1:9" x14ac:dyDescent="0.25">
      <c r="A830" s="9" t="s">
        <v>1727</v>
      </c>
      <c r="B830" s="9">
        <v>706</v>
      </c>
      <c r="C830" s="9">
        <v>11</v>
      </c>
      <c r="D830" s="10">
        <v>226.04</v>
      </c>
      <c r="E830">
        <f t="shared" si="60"/>
        <v>2</v>
      </c>
      <c r="F830">
        <f t="shared" si="61"/>
        <v>5</v>
      </c>
      <c r="G830">
        <f t="shared" si="62"/>
        <v>2</v>
      </c>
      <c r="H830" s="3" t="str">
        <f t="shared" si="63"/>
        <v>252</v>
      </c>
      <c r="I830" t="str">
        <f t="shared" si="64"/>
        <v>About To Sleep</v>
      </c>
    </row>
    <row r="831" spans="1:9" x14ac:dyDescent="0.25">
      <c r="A831" s="9" t="s">
        <v>1729</v>
      </c>
      <c r="B831" s="9">
        <v>804</v>
      </c>
      <c r="C831" s="9">
        <v>4</v>
      </c>
      <c r="D831" s="10">
        <v>52.79</v>
      </c>
      <c r="E831">
        <f t="shared" si="60"/>
        <v>1</v>
      </c>
      <c r="F831">
        <f t="shared" si="61"/>
        <v>2</v>
      </c>
      <c r="G831">
        <f t="shared" si="62"/>
        <v>1</v>
      </c>
      <c r="H831" s="3" t="str">
        <f t="shared" si="63"/>
        <v>121</v>
      </c>
      <c r="I831" t="str">
        <f t="shared" si="64"/>
        <v>At Risk</v>
      </c>
    </row>
    <row r="832" spans="1:9" x14ac:dyDescent="0.25">
      <c r="A832" s="9" t="s">
        <v>1731</v>
      </c>
      <c r="B832" s="9">
        <v>524</v>
      </c>
      <c r="C832" s="9">
        <v>7</v>
      </c>
      <c r="D832" s="10">
        <v>385.08</v>
      </c>
      <c r="E832">
        <f t="shared" si="60"/>
        <v>5</v>
      </c>
      <c r="F832">
        <f t="shared" si="61"/>
        <v>3</v>
      </c>
      <c r="G832">
        <f t="shared" si="62"/>
        <v>4</v>
      </c>
      <c r="H832" s="3" t="str">
        <f t="shared" si="63"/>
        <v>534</v>
      </c>
      <c r="I832" t="str">
        <f t="shared" si="64"/>
        <v>Potential Loyalist</v>
      </c>
    </row>
    <row r="833" spans="1:9" x14ac:dyDescent="0.25">
      <c r="A833" s="9" t="s">
        <v>1733</v>
      </c>
      <c r="B833" s="9">
        <v>480</v>
      </c>
      <c r="C833" s="9">
        <v>2</v>
      </c>
      <c r="D833" s="10">
        <v>181.1</v>
      </c>
      <c r="E833">
        <f t="shared" si="60"/>
        <v>5</v>
      </c>
      <c r="F833">
        <f t="shared" si="61"/>
        <v>1</v>
      </c>
      <c r="G833">
        <f t="shared" si="62"/>
        <v>2</v>
      </c>
      <c r="H833" s="3" t="str">
        <f t="shared" si="63"/>
        <v>512</v>
      </c>
      <c r="I833" t="str">
        <f t="shared" si="64"/>
        <v>Lost Customer</v>
      </c>
    </row>
    <row r="834" spans="1:9" x14ac:dyDescent="0.25">
      <c r="A834" s="9" t="s">
        <v>1734</v>
      </c>
      <c r="B834" s="9">
        <v>566</v>
      </c>
      <c r="C834" s="9">
        <v>7</v>
      </c>
      <c r="D834" s="10">
        <v>246.41</v>
      </c>
      <c r="E834">
        <f t="shared" si="60"/>
        <v>4</v>
      </c>
      <c r="F834">
        <f t="shared" si="61"/>
        <v>3</v>
      </c>
      <c r="G834">
        <f t="shared" si="62"/>
        <v>3</v>
      </c>
      <c r="H834" s="3" t="str">
        <f t="shared" si="63"/>
        <v>433</v>
      </c>
      <c r="I834" t="str">
        <f t="shared" si="64"/>
        <v>Potential Loyalist</v>
      </c>
    </row>
    <row r="835" spans="1:9" x14ac:dyDescent="0.25">
      <c r="A835" s="9" t="s">
        <v>1736</v>
      </c>
      <c r="B835" s="9">
        <v>778</v>
      </c>
      <c r="C835" s="9">
        <v>8</v>
      </c>
      <c r="D835" s="10">
        <v>140.87</v>
      </c>
      <c r="E835">
        <f t="shared" ref="E835:E898" si="65">IF(B835 &lt;= _xlfn.PERCENTILE.INC($B$2:$B$1001, 0.2), 5,
 IF(B835 &lt;= _xlfn.PERCENTILE.INC($B$2:$B$1001, 0.4), 4,
 IF(B835 &lt;= _xlfn.PERCENTILE.INC($B$2:$B$1001, 0.6), 3,
 IF(B835 &lt;= _xlfn.PERCENTILE.INC($B$2:$B$1001, 0.8), 2, 1))))</f>
        <v>1</v>
      </c>
      <c r="F835">
        <f t="shared" ref="F835:F898" si="66">IF(C835 &gt;= _xlfn.PERCENTILE.INC($C$2:$C$1001, 0.8), 5,
 IF(C835 &gt;= _xlfn.PERCENTILE.INC($C$2:$C$1001, 0.6), 4,
 IF(C835 &gt;= _xlfn.PERCENTILE.INC($C$2:$C$1001, 0.4), 3,
 IF(C835 &gt;= _xlfn.PERCENTILE.INC($C$2:$C$1001, 0.2), 2, 1))))</f>
        <v>4</v>
      </c>
      <c r="G835">
        <f t="shared" ref="G835:G898" si="67">IF(D835 &gt;= _xlfn.PERCENTILE.INC($D$2:$D$1001, 0.8), 5,
 IF(D835 &gt;= _xlfn.PERCENTILE.INC($D$2:$D$1001, 0.6), 4,
 IF(D835 &gt;= _xlfn.PERCENTILE.INC($D$2:$D$1001, 0.4), 3,
 IF(D835 &gt;= _xlfn.PERCENTILE.INC($D$2:$D$1001, 0.2), 2, 1))))</f>
        <v>2</v>
      </c>
      <c r="H835" s="3" t="str">
        <f t="shared" ref="H835:H898" si="68">TEXT(E835,"0") &amp; TEXT(F835,"0") &amp; TEXT(G835,"0")</f>
        <v>142</v>
      </c>
      <c r="I835" t="str">
        <f t="shared" ref="I835:I898" si="69">IF(AND(E835&gt;=4, F835&gt;=4, G835&gt;=4), "Champion",
 IF(AND(F835&gt;=4, G835&gt;=4), "Loyal Customer",
 IF(AND(E835&gt;=4, F835&gt;=3), "Potential Loyalist",
 IF(G835&gt;=4, "Big Spender",
 IF(AND(E835&lt;=2, F835&lt;=2), "At Risk",
 IF(E835&lt;=2, "About To Sleep",
 IF(AND(F835&lt;=2, G835&lt;=2), "Lost Customer", "Others")))))))</f>
        <v>About To Sleep</v>
      </c>
    </row>
    <row r="836" spans="1:9" x14ac:dyDescent="0.25">
      <c r="A836" s="9" t="s">
        <v>1738</v>
      </c>
      <c r="B836" s="9">
        <v>730</v>
      </c>
      <c r="C836" s="9">
        <v>2</v>
      </c>
      <c r="D836" s="10">
        <v>151.25</v>
      </c>
      <c r="E836">
        <f t="shared" si="65"/>
        <v>2</v>
      </c>
      <c r="F836">
        <f t="shared" si="66"/>
        <v>1</v>
      </c>
      <c r="G836">
        <f t="shared" si="67"/>
        <v>2</v>
      </c>
      <c r="H836" s="3" t="str">
        <f t="shared" si="68"/>
        <v>212</v>
      </c>
      <c r="I836" t="str">
        <f t="shared" si="69"/>
        <v>At Risk</v>
      </c>
    </row>
    <row r="837" spans="1:9" x14ac:dyDescent="0.25">
      <c r="A837" s="9" t="s">
        <v>1740</v>
      </c>
      <c r="B837" s="9">
        <v>607</v>
      </c>
      <c r="C837" s="9">
        <v>3</v>
      </c>
      <c r="D837" s="10">
        <v>171.52</v>
      </c>
      <c r="E837">
        <f t="shared" si="65"/>
        <v>4</v>
      </c>
      <c r="F837">
        <f t="shared" si="66"/>
        <v>1</v>
      </c>
      <c r="G837">
        <f t="shared" si="67"/>
        <v>2</v>
      </c>
      <c r="H837" s="3" t="str">
        <f t="shared" si="68"/>
        <v>412</v>
      </c>
      <c r="I837" t="str">
        <f t="shared" si="69"/>
        <v>Lost Customer</v>
      </c>
    </row>
    <row r="838" spans="1:9" x14ac:dyDescent="0.25">
      <c r="A838" s="9" t="s">
        <v>1742</v>
      </c>
      <c r="B838" s="9">
        <v>546</v>
      </c>
      <c r="C838" s="9">
        <v>10</v>
      </c>
      <c r="D838" s="10">
        <v>399.56</v>
      </c>
      <c r="E838">
        <f t="shared" si="65"/>
        <v>5</v>
      </c>
      <c r="F838">
        <f t="shared" si="66"/>
        <v>5</v>
      </c>
      <c r="G838">
        <f t="shared" si="67"/>
        <v>4</v>
      </c>
      <c r="H838" s="3" t="str">
        <f t="shared" si="68"/>
        <v>554</v>
      </c>
      <c r="I838" t="str">
        <f t="shared" si="69"/>
        <v>Champion</v>
      </c>
    </row>
    <row r="839" spans="1:9" x14ac:dyDescent="0.25">
      <c r="A839" s="9" t="s">
        <v>1744</v>
      </c>
      <c r="B839" s="9">
        <v>739</v>
      </c>
      <c r="C839" s="9">
        <v>4</v>
      </c>
      <c r="D839" s="10">
        <v>173.46</v>
      </c>
      <c r="E839">
        <f t="shared" si="65"/>
        <v>2</v>
      </c>
      <c r="F839">
        <f t="shared" si="66"/>
        <v>2</v>
      </c>
      <c r="G839">
        <f t="shared" si="67"/>
        <v>2</v>
      </c>
      <c r="H839" s="3" t="str">
        <f t="shared" si="68"/>
        <v>222</v>
      </c>
      <c r="I839" t="str">
        <f t="shared" si="69"/>
        <v>At Risk</v>
      </c>
    </row>
    <row r="840" spans="1:9" x14ac:dyDescent="0.25">
      <c r="A840" s="9" t="s">
        <v>1746</v>
      </c>
      <c r="B840" s="9">
        <v>801</v>
      </c>
      <c r="C840" s="9">
        <v>10</v>
      </c>
      <c r="D840" s="10">
        <v>332.14</v>
      </c>
      <c r="E840">
        <f t="shared" si="65"/>
        <v>1</v>
      </c>
      <c r="F840">
        <f t="shared" si="66"/>
        <v>5</v>
      </c>
      <c r="G840">
        <f t="shared" si="67"/>
        <v>4</v>
      </c>
      <c r="H840" s="3" t="str">
        <f t="shared" si="68"/>
        <v>154</v>
      </c>
      <c r="I840" t="str">
        <f t="shared" si="69"/>
        <v>Loyal Customer</v>
      </c>
    </row>
    <row r="841" spans="1:9" x14ac:dyDescent="0.25">
      <c r="A841" s="9" t="s">
        <v>1748</v>
      </c>
      <c r="B841" s="9">
        <v>695</v>
      </c>
      <c r="C841" s="9">
        <v>8</v>
      </c>
      <c r="D841" s="10">
        <v>247.05</v>
      </c>
      <c r="E841">
        <f t="shared" si="65"/>
        <v>2</v>
      </c>
      <c r="F841">
        <f t="shared" si="66"/>
        <v>4</v>
      </c>
      <c r="G841">
        <f t="shared" si="67"/>
        <v>3</v>
      </c>
      <c r="H841" s="3" t="str">
        <f t="shared" si="68"/>
        <v>243</v>
      </c>
      <c r="I841" t="str">
        <f t="shared" si="69"/>
        <v>About To Sleep</v>
      </c>
    </row>
    <row r="842" spans="1:9" x14ac:dyDescent="0.25">
      <c r="A842" s="9" t="s">
        <v>1750</v>
      </c>
      <c r="B842" s="9">
        <v>734</v>
      </c>
      <c r="C842" s="9">
        <v>10</v>
      </c>
      <c r="D842" s="10">
        <v>365.88</v>
      </c>
      <c r="E842">
        <f t="shared" si="65"/>
        <v>2</v>
      </c>
      <c r="F842">
        <f t="shared" si="66"/>
        <v>5</v>
      </c>
      <c r="G842">
        <f t="shared" si="67"/>
        <v>4</v>
      </c>
      <c r="H842" s="3" t="str">
        <f t="shared" si="68"/>
        <v>254</v>
      </c>
      <c r="I842" t="str">
        <f t="shared" si="69"/>
        <v>Loyal Customer</v>
      </c>
    </row>
    <row r="843" spans="1:9" x14ac:dyDescent="0.25">
      <c r="A843" s="9" t="s">
        <v>1752</v>
      </c>
      <c r="B843" s="9">
        <v>793</v>
      </c>
      <c r="C843" s="9">
        <v>8</v>
      </c>
      <c r="D843" s="10">
        <v>354.92</v>
      </c>
      <c r="E843">
        <f t="shared" si="65"/>
        <v>1</v>
      </c>
      <c r="F843">
        <f t="shared" si="66"/>
        <v>4</v>
      </c>
      <c r="G843">
        <f t="shared" si="67"/>
        <v>4</v>
      </c>
      <c r="H843" s="3" t="str">
        <f t="shared" si="68"/>
        <v>144</v>
      </c>
      <c r="I843" t="str">
        <f t="shared" si="69"/>
        <v>Loyal Customer</v>
      </c>
    </row>
    <row r="844" spans="1:9" x14ac:dyDescent="0.25">
      <c r="A844" s="9" t="s">
        <v>1754</v>
      </c>
      <c r="B844" s="9">
        <v>652</v>
      </c>
      <c r="C844" s="9">
        <v>10</v>
      </c>
      <c r="D844" s="10">
        <v>195.46</v>
      </c>
      <c r="E844">
        <f t="shared" si="65"/>
        <v>3</v>
      </c>
      <c r="F844">
        <f t="shared" si="66"/>
        <v>5</v>
      </c>
      <c r="G844">
        <f t="shared" si="67"/>
        <v>2</v>
      </c>
      <c r="H844" s="3" t="str">
        <f t="shared" si="68"/>
        <v>352</v>
      </c>
      <c r="I844" t="str">
        <f t="shared" si="69"/>
        <v>Others</v>
      </c>
    </row>
    <row r="845" spans="1:9" x14ac:dyDescent="0.25">
      <c r="A845" s="9" t="s">
        <v>1756</v>
      </c>
      <c r="B845" s="9">
        <v>625</v>
      </c>
      <c r="C845" s="9">
        <v>7</v>
      </c>
      <c r="D845" s="10">
        <v>474.03</v>
      </c>
      <c r="E845">
        <f t="shared" si="65"/>
        <v>4</v>
      </c>
      <c r="F845">
        <f t="shared" si="66"/>
        <v>3</v>
      </c>
      <c r="G845">
        <f t="shared" si="67"/>
        <v>5</v>
      </c>
      <c r="H845" s="3" t="str">
        <f t="shared" si="68"/>
        <v>435</v>
      </c>
      <c r="I845" t="str">
        <f t="shared" si="69"/>
        <v>Potential Loyalist</v>
      </c>
    </row>
    <row r="846" spans="1:9" x14ac:dyDescent="0.25">
      <c r="A846" s="9" t="s">
        <v>1758</v>
      </c>
      <c r="B846" s="9">
        <v>772</v>
      </c>
      <c r="C846" s="9">
        <v>6</v>
      </c>
      <c r="D846" s="10">
        <v>106.96</v>
      </c>
      <c r="E846">
        <f t="shared" si="65"/>
        <v>1</v>
      </c>
      <c r="F846">
        <f t="shared" si="66"/>
        <v>3</v>
      </c>
      <c r="G846">
        <f t="shared" si="67"/>
        <v>1</v>
      </c>
      <c r="H846" s="3" t="str">
        <f t="shared" si="68"/>
        <v>131</v>
      </c>
      <c r="I846" t="str">
        <f t="shared" si="69"/>
        <v>About To Sleep</v>
      </c>
    </row>
    <row r="847" spans="1:9" x14ac:dyDescent="0.25">
      <c r="A847" s="9" t="s">
        <v>1760</v>
      </c>
      <c r="B847" s="9">
        <v>631</v>
      </c>
      <c r="C847" s="9">
        <v>9</v>
      </c>
      <c r="D847" s="10">
        <v>371.84</v>
      </c>
      <c r="E847">
        <f t="shared" si="65"/>
        <v>3</v>
      </c>
      <c r="F847">
        <f t="shared" si="66"/>
        <v>4</v>
      </c>
      <c r="G847">
        <f t="shared" si="67"/>
        <v>4</v>
      </c>
      <c r="H847" s="3" t="str">
        <f t="shared" si="68"/>
        <v>344</v>
      </c>
      <c r="I847" t="str">
        <f t="shared" si="69"/>
        <v>Loyal Customer</v>
      </c>
    </row>
    <row r="848" spans="1:9" x14ac:dyDescent="0.25">
      <c r="A848" s="9" t="s">
        <v>1762</v>
      </c>
      <c r="B848" s="9">
        <v>781</v>
      </c>
      <c r="C848" s="9">
        <v>8</v>
      </c>
      <c r="D848" s="10">
        <v>461.16</v>
      </c>
      <c r="E848">
        <f t="shared" si="65"/>
        <v>1</v>
      </c>
      <c r="F848">
        <f t="shared" si="66"/>
        <v>4</v>
      </c>
      <c r="G848">
        <f t="shared" si="67"/>
        <v>5</v>
      </c>
      <c r="H848" s="3" t="str">
        <f t="shared" si="68"/>
        <v>145</v>
      </c>
      <c r="I848" t="str">
        <f t="shared" si="69"/>
        <v>Loyal Customer</v>
      </c>
    </row>
    <row r="849" spans="1:9" x14ac:dyDescent="0.25">
      <c r="A849" s="9" t="s">
        <v>1764</v>
      </c>
      <c r="B849" s="9">
        <v>656</v>
      </c>
      <c r="C849" s="9">
        <v>11</v>
      </c>
      <c r="D849" s="10">
        <v>497.75</v>
      </c>
      <c r="E849">
        <f t="shared" si="65"/>
        <v>3</v>
      </c>
      <c r="F849">
        <f t="shared" si="66"/>
        <v>5</v>
      </c>
      <c r="G849">
        <f t="shared" si="67"/>
        <v>5</v>
      </c>
      <c r="H849" s="3" t="str">
        <f t="shared" si="68"/>
        <v>355</v>
      </c>
      <c r="I849" t="str">
        <f t="shared" si="69"/>
        <v>Loyal Customer</v>
      </c>
    </row>
    <row r="850" spans="1:9" x14ac:dyDescent="0.25">
      <c r="A850" s="9" t="s">
        <v>1766</v>
      </c>
      <c r="B850" s="9">
        <v>779</v>
      </c>
      <c r="C850" s="9">
        <v>5</v>
      </c>
      <c r="D850" s="10">
        <v>492.83</v>
      </c>
      <c r="E850">
        <f t="shared" si="65"/>
        <v>1</v>
      </c>
      <c r="F850">
        <f t="shared" si="66"/>
        <v>2</v>
      </c>
      <c r="G850">
        <f t="shared" si="67"/>
        <v>5</v>
      </c>
      <c r="H850" s="3" t="str">
        <f t="shared" si="68"/>
        <v>125</v>
      </c>
      <c r="I850" t="str">
        <f t="shared" si="69"/>
        <v>Big Spender</v>
      </c>
    </row>
    <row r="851" spans="1:9" x14ac:dyDescent="0.25">
      <c r="A851" s="9" t="s">
        <v>1767</v>
      </c>
      <c r="B851" s="9">
        <v>632</v>
      </c>
      <c r="C851" s="9">
        <v>8</v>
      </c>
      <c r="D851" s="10">
        <v>295.54000000000002</v>
      </c>
      <c r="E851">
        <f t="shared" si="65"/>
        <v>3</v>
      </c>
      <c r="F851">
        <f t="shared" si="66"/>
        <v>4</v>
      </c>
      <c r="G851">
        <f t="shared" si="67"/>
        <v>3</v>
      </c>
      <c r="H851" s="3" t="str">
        <f t="shared" si="68"/>
        <v>343</v>
      </c>
      <c r="I851" t="str">
        <f t="shared" si="69"/>
        <v>Others</v>
      </c>
    </row>
    <row r="852" spans="1:9" x14ac:dyDescent="0.25">
      <c r="A852" s="9" t="s">
        <v>1769</v>
      </c>
      <c r="B852" s="9">
        <v>694</v>
      </c>
      <c r="C852" s="9">
        <v>9</v>
      </c>
      <c r="D852" s="10">
        <v>494.81</v>
      </c>
      <c r="E852">
        <f t="shared" si="65"/>
        <v>2</v>
      </c>
      <c r="F852">
        <f t="shared" si="66"/>
        <v>4</v>
      </c>
      <c r="G852">
        <f t="shared" si="67"/>
        <v>5</v>
      </c>
      <c r="H852" s="3" t="str">
        <f t="shared" si="68"/>
        <v>245</v>
      </c>
      <c r="I852" t="str">
        <f t="shared" si="69"/>
        <v>Loyal Customer</v>
      </c>
    </row>
    <row r="853" spans="1:9" x14ac:dyDescent="0.25">
      <c r="A853" s="9" t="s">
        <v>1771</v>
      </c>
      <c r="B853" s="9">
        <v>777</v>
      </c>
      <c r="C853" s="9">
        <v>7</v>
      </c>
      <c r="D853" s="10">
        <v>160.25</v>
      </c>
      <c r="E853">
        <f t="shared" si="65"/>
        <v>1</v>
      </c>
      <c r="F853">
        <f t="shared" si="66"/>
        <v>3</v>
      </c>
      <c r="G853">
        <f t="shared" si="67"/>
        <v>2</v>
      </c>
      <c r="H853" s="3" t="str">
        <f t="shared" si="68"/>
        <v>132</v>
      </c>
      <c r="I853" t="str">
        <f t="shared" si="69"/>
        <v>About To Sleep</v>
      </c>
    </row>
    <row r="854" spans="1:9" x14ac:dyDescent="0.25">
      <c r="A854" s="9" t="s">
        <v>1773</v>
      </c>
      <c r="B854" s="9">
        <v>493</v>
      </c>
      <c r="C854" s="9">
        <v>4</v>
      </c>
      <c r="D854" s="10">
        <v>198.36</v>
      </c>
      <c r="E854">
        <f t="shared" si="65"/>
        <v>5</v>
      </c>
      <c r="F854">
        <f t="shared" si="66"/>
        <v>2</v>
      </c>
      <c r="G854">
        <f t="shared" si="67"/>
        <v>2</v>
      </c>
      <c r="H854" s="3" t="str">
        <f t="shared" si="68"/>
        <v>522</v>
      </c>
      <c r="I854" t="str">
        <f t="shared" si="69"/>
        <v>Lost Customer</v>
      </c>
    </row>
    <row r="855" spans="1:9" x14ac:dyDescent="0.25">
      <c r="A855" s="9" t="s">
        <v>1775</v>
      </c>
      <c r="B855" s="9">
        <v>786</v>
      </c>
      <c r="C855" s="9">
        <v>12</v>
      </c>
      <c r="D855" s="10">
        <v>82.39</v>
      </c>
      <c r="E855">
        <f t="shared" si="65"/>
        <v>1</v>
      </c>
      <c r="F855">
        <f t="shared" si="66"/>
        <v>5</v>
      </c>
      <c r="G855">
        <f t="shared" si="67"/>
        <v>1</v>
      </c>
      <c r="H855" s="3" t="str">
        <f t="shared" si="68"/>
        <v>151</v>
      </c>
      <c r="I855" t="str">
        <f t="shared" si="69"/>
        <v>About To Sleep</v>
      </c>
    </row>
    <row r="856" spans="1:9" x14ac:dyDescent="0.25">
      <c r="A856" s="9" t="s">
        <v>1777</v>
      </c>
      <c r="B856" s="9">
        <v>769</v>
      </c>
      <c r="C856" s="9">
        <v>3</v>
      </c>
      <c r="D856" s="10">
        <v>290.56</v>
      </c>
      <c r="E856">
        <f t="shared" si="65"/>
        <v>1</v>
      </c>
      <c r="F856">
        <f t="shared" si="66"/>
        <v>1</v>
      </c>
      <c r="G856">
        <f t="shared" si="67"/>
        <v>3</v>
      </c>
      <c r="H856" s="3" t="str">
        <f t="shared" si="68"/>
        <v>113</v>
      </c>
      <c r="I856" t="str">
        <f t="shared" si="69"/>
        <v>At Risk</v>
      </c>
    </row>
    <row r="857" spans="1:9" x14ac:dyDescent="0.25">
      <c r="A857" s="9" t="s">
        <v>1779</v>
      </c>
      <c r="B857" s="9">
        <v>607</v>
      </c>
      <c r="C857" s="9">
        <v>5</v>
      </c>
      <c r="D857" s="10">
        <v>206.79</v>
      </c>
      <c r="E857">
        <f t="shared" si="65"/>
        <v>4</v>
      </c>
      <c r="F857">
        <f t="shared" si="66"/>
        <v>2</v>
      </c>
      <c r="G857">
        <f t="shared" si="67"/>
        <v>2</v>
      </c>
      <c r="H857" s="3" t="str">
        <f t="shared" si="68"/>
        <v>422</v>
      </c>
      <c r="I857" t="str">
        <f t="shared" si="69"/>
        <v>Lost Customer</v>
      </c>
    </row>
    <row r="858" spans="1:9" x14ac:dyDescent="0.25">
      <c r="A858" s="9" t="s">
        <v>1781</v>
      </c>
      <c r="B858" s="9">
        <v>697</v>
      </c>
      <c r="C858" s="9">
        <v>8</v>
      </c>
      <c r="D858" s="10">
        <v>401.43</v>
      </c>
      <c r="E858">
        <f t="shared" si="65"/>
        <v>2</v>
      </c>
      <c r="F858">
        <f t="shared" si="66"/>
        <v>4</v>
      </c>
      <c r="G858">
        <f t="shared" si="67"/>
        <v>4</v>
      </c>
      <c r="H858" s="3" t="str">
        <f t="shared" si="68"/>
        <v>244</v>
      </c>
      <c r="I858" t="str">
        <f t="shared" si="69"/>
        <v>Loyal Customer</v>
      </c>
    </row>
    <row r="859" spans="1:9" x14ac:dyDescent="0.25">
      <c r="A859" s="9" t="s">
        <v>1783</v>
      </c>
      <c r="B859" s="9">
        <v>694</v>
      </c>
      <c r="C859" s="9">
        <v>9</v>
      </c>
      <c r="D859" s="10">
        <v>188.17</v>
      </c>
      <c r="E859">
        <f t="shared" si="65"/>
        <v>2</v>
      </c>
      <c r="F859">
        <f t="shared" si="66"/>
        <v>4</v>
      </c>
      <c r="G859">
        <f t="shared" si="67"/>
        <v>2</v>
      </c>
      <c r="H859" s="3" t="str">
        <f t="shared" si="68"/>
        <v>242</v>
      </c>
      <c r="I859" t="str">
        <f t="shared" si="69"/>
        <v>About To Sleep</v>
      </c>
    </row>
    <row r="860" spans="1:9" x14ac:dyDescent="0.25">
      <c r="A860" s="9" t="s">
        <v>1785</v>
      </c>
      <c r="B860" s="9">
        <v>761</v>
      </c>
      <c r="C860" s="9">
        <v>10</v>
      </c>
      <c r="D860" s="10">
        <v>83.21</v>
      </c>
      <c r="E860">
        <f t="shared" si="65"/>
        <v>2</v>
      </c>
      <c r="F860">
        <f t="shared" si="66"/>
        <v>5</v>
      </c>
      <c r="G860">
        <f t="shared" si="67"/>
        <v>1</v>
      </c>
      <c r="H860" s="3" t="str">
        <f t="shared" si="68"/>
        <v>251</v>
      </c>
      <c r="I860" t="str">
        <f t="shared" si="69"/>
        <v>About To Sleep</v>
      </c>
    </row>
    <row r="861" spans="1:9" x14ac:dyDescent="0.25">
      <c r="A861" s="9" t="s">
        <v>1787</v>
      </c>
      <c r="B861" s="9">
        <v>564</v>
      </c>
      <c r="C861" s="9">
        <v>4</v>
      </c>
      <c r="D861" s="10">
        <v>54.74</v>
      </c>
      <c r="E861">
        <f t="shared" si="65"/>
        <v>4</v>
      </c>
      <c r="F861">
        <f t="shared" si="66"/>
        <v>2</v>
      </c>
      <c r="G861">
        <f t="shared" si="67"/>
        <v>1</v>
      </c>
      <c r="H861" s="3" t="str">
        <f t="shared" si="68"/>
        <v>421</v>
      </c>
      <c r="I861" t="str">
        <f t="shared" si="69"/>
        <v>Lost Customer</v>
      </c>
    </row>
    <row r="862" spans="1:9" x14ac:dyDescent="0.25">
      <c r="A862" s="9" t="s">
        <v>1789</v>
      </c>
      <c r="B862" s="9">
        <v>605</v>
      </c>
      <c r="C862" s="9">
        <v>8</v>
      </c>
      <c r="D862" s="10">
        <v>371.12</v>
      </c>
      <c r="E862">
        <f t="shared" si="65"/>
        <v>4</v>
      </c>
      <c r="F862">
        <f t="shared" si="66"/>
        <v>4</v>
      </c>
      <c r="G862">
        <f t="shared" si="67"/>
        <v>4</v>
      </c>
      <c r="H862" s="3" t="str">
        <f t="shared" si="68"/>
        <v>444</v>
      </c>
      <c r="I862" t="str">
        <f t="shared" si="69"/>
        <v>Champion</v>
      </c>
    </row>
    <row r="863" spans="1:9" x14ac:dyDescent="0.25">
      <c r="A863" s="9" t="s">
        <v>1791</v>
      </c>
      <c r="B863" s="9">
        <v>580</v>
      </c>
      <c r="C863" s="9">
        <v>3</v>
      </c>
      <c r="D863" s="10">
        <v>293.64</v>
      </c>
      <c r="E863">
        <f t="shared" si="65"/>
        <v>4</v>
      </c>
      <c r="F863">
        <f t="shared" si="66"/>
        <v>1</v>
      </c>
      <c r="G863">
        <f t="shared" si="67"/>
        <v>3</v>
      </c>
      <c r="H863" s="3" t="str">
        <f t="shared" si="68"/>
        <v>413</v>
      </c>
      <c r="I863" t="str">
        <f t="shared" si="69"/>
        <v>Others</v>
      </c>
    </row>
    <row r="864" spans="1:9" x14ac:dyDescent="0.25">
      <c r="A864" s="9" t="s">
        <v>1793</v>
      </c>
      <c r="B864" s="9">
        <v>550</v>
      </c>
      <c r="C864" s="9">
        <v>11</v>
      </c>
      <c r="D864" s="10">
        <v>185.83</v>
      </c>
      <c r="E864">
        <f t="shared" si="65"/>
        <v>5</v>
      </c>
      <c r="F864">
        <f t="shared" si="66"/>
        <v>5</v>
      </c>
      <c r="G864">
        <f t="shared" si="67"/>
        <v>2</v>
      </c>
      <c r="H864" s="3" t="str">
        <f t="shared" si="68"/>
        <v>552</v>
      </c>
      <c r="I864" t="str">
        <f t="shared" si="69"/>
        <v>Potential Loyalist</v>
      </c>
    </row>
    <row r="865" spans="1:9" x14ac:dyDescent="0.25">
      <c r="A865" s="9" t="s">
        <v>1795</v>
      </c>
      <c r="B865" s="9">
        <v>620</v>
      </c>
      <c r="C865" s="9">
        <v>7</v>
      </c>
      <c r="D865" s="10">
        <v>117.13</v>
      </c>
      <c r="E865">
        <f t="shared" si="65"/>
        <v>4</v>
      </c>
      <c r="F865">
        <f t="shared" si="66"/>
        <v>3</v>
      </c>
      <c r="G865">
        <f t="shared" si="67"/>
        <v>1</v>
      </c>
      <c r="H865" s="3" t="str">
        <f t="shared" si="68"/>
        <v>431</v>
      </c>
      <c r="I865" t="str">
        <f t="shared" si="69"/>
        <v>Potential Loyalist</v>
      </c>
    </row>
    <row r="866" spans="1:9" x14ac:dyDescent="0.25">
      <c r="A866" s="9" t="s">
        <v>1797</v>
      </c>
      <c r="B866" s="9">
        <v>494</v>
      </c>
      <c r="C866" s="9">
        <v>11</v>
      </c>
      <c r="D866" s="10">
        <v>52.24</v>
      </c>
      <c r="E866">
        <f t="shared" si="65"/>
        <v>5</v>
      </c>
      <c r="F866">
        <f t="shared" si="66"/>
        <v>5</v>
      </c>
      <c r="G866">
        <f t="shared" si="67"/>
        <v>1</v>
      </c>
      <c r="H866" s="3" t="str">
        <f t="shared" si="68"/>
        <v>551</v>
      </c>
      <c r="I866" t="str">
        <f t="shared" si="69"/>
        <v>Potential Loyalist</v>
      </c>
    </row>
    <row r="867" spans="1:9" x14ac:dyDescent="0.25">
      <c r="A867" s="9" t="s">
        <v>1799</v>
      </c>
      <c r="B867" s="9">
        <v>677</v>
      </c>
      <c r="C867" s="9">
        <v>7</v>
      </c>
      <c r="D867" s="10">
        <v>446.69</v>
      </c>
      <c r="E867">
        <f t="shared" si="65"/>
        <v>3</v>
      </c>
      <c r="F867">
        <f t="shared" si="66"/>
        <v>3</v>
      </c>
      <c r="G867">
        <f t="shared" si="67"/>
        <v>5</v>
      </c>
      <c r="H867" s="3" t="str">
        <f t="shared" si="68"/>
        <v>335</v>
      </c>
      <c r="I867" t="str">
        <f t="shared" si="69"/>
        <v>Big Spender</v>
      </c>
    </row>
    <row r="868" spans="1:9" x14ac:dyDescent="0.25">
      <c r="A868" s="9" t="s">
        <v>1801</v>
      </c>
      <c r="B868" s="9">
        <v>753</v>
      </c>
      <c r="C868" s="9">
        <v>5</v>
      </c>
      <c r="D868" s="10">
        <v>216.84</v>
      </c>
      <c r="E868">
        <f t="shared" si="65"/>
        <v>2</v>
      </c>
      <c r="F868">
        <f t="shared" si="66"/>
        <v>2</v>
      </c>
      <c r="G868">
        <f t="shared" si="67"/>
        <v>2</v>
      </c>
      <c r="H868" s="3" t="str">
        <f t="shared" si="68"/>
        <v>222</v>
      </c>
      <c r="I868" t="str">
        <f t="shared" si="69"/>
        <v>At Risk</v>
      </c>
    </row>
    <row r="869" spans="1:9" x14ac:dyDescent="0.25">
      <c r="A869" s="9" t="s">
        <v>1803</v>
      </c>
      <c r="B869" s="9">
        <v>479</v>
      </c>
      <c r="C869" s="9">
        <v>7</v>
      </c>
      <c r="D869" s="10">
        <v>75.27</v>
      </c>
      <c r="E869">
        <f t="shared" si="65"/>
        <v>5</v>
      </c>
      <c r="F869">
        <f t="shared" si="66"/>
        <v>3</v>
      </c>
      <c r="G869">
        <f t="shared" si="67"/>
        <v>1</v>
      </c>
      <c r="H869" s="3" t="str">
        <f t="shared" si="68"/>
        <v>531</v>
      </c>
      <c r="I869" t="str">
        <f t="shared" si="69"/>
        <v>Potential Loyalist</v>
      </c>
    </row>
    <row r="870" spans="1:9" x14ac:dyDescent="0.25">
      <c r="A870" s="9" t="s">
        <v>1805</v>
      </c>
      <c r="B870" s="9">
        <v>786</v>
      </c>
      <c r="C870" s="9">
        <v>2</v>
      </c>
      <c r="D870" s="10">
        <v>308.87</v>
      </c>
      <c r="E870">
        <f t="shared" si="65"/>
        <v>1</v>
      </c>
      <c r="F870">
        <f t="shared" si="66"/>
        <v>1</v>
      </c>
      <c r="G870">
        <f t="shared" si="67"/>
        <v>3</v>
      </c>
      <c r="H870" s="3" t="str">
        <f t="shared" si="68"/>
        <v>113</v>
      </c>
      <c r="I870" t="str">
        <f t="shared" si="69"/>
        <v>At Risk</v>
      </c>
    </row>
    <row r="871" spans="1:9" x14ac:dyDescent="0.25">
      <c r="A871" s="9" t="s">
        <v>1807</v>
      </c>
      <c r="B871" s="9">
        <v>674</v>
      </c>
      <c r="C871" s="9">
        <v>5</v>
      </c>
      <c r="D871" s="10">
        <v>169.77</v>
      </c>
      <c r="E871">
        <f t="shared" si="65"/>
        <v>3</v>
      </c>
      <c r="F871">
        <f t="shared" si="66"/>
        <v>2</v>
      </c>
      <c r="G871">
        <f t="shared" si="67"/>
        <v>2</v>
      </c>
      <c r="H871" s="3" t="str">
        <f t="shared" si="68"/>
        <v>322</v>
      </c>
      <c r="I871" t="str">
        <f t="shared" si="69"/>
        <v>Lost Customer</v>
      </c>
    </row>
    <row r="872" spans="1:9" x14ac:dyDescent="0.25">
      <c r="A872" s="9" t="s">
        <v>1809</v>
      </c>
      <c r="B872" s="9">
        <v>614</v>
      </c>
      <c r="C872" s="9">
        <v>12</v>
      </c>
      <c r="D872" s="10">
        <v>289.08</v>
      </c>
      <c r="E872">
        <f t="shared" si="65"/>
        <v>4</v>
      </c>
      <c r="F872">
        <f t="shared" si="66"/>
        <v>5</v>
      </c>
      <c r="G872">
        <f t="shared" si="67"/>
        <v>3</v>
      </c>
      <c r="H872" s="3" t="str">
        <f t="shared" si="68"/>
        <v>453</v>
      </c>
      <c r="I872" t="str">
        <f t="shared" si="69"/>
        <v>Potential Loyalist</v>
      </c>
    </row>
    <row r="873" spans="1:9" x14ac:dyDescent="0.25">
      <c r="A873" s="9" t="s">
        <v>1811</v>
      </c>
      <c r="B873" s="9">
        <v>705</v>
      </c>
      <c r="C873" s="9">
        <v>10</v>
      </c>
      <c r="D873" s="10">
        <v>74.09</v>
      </c>
      <c r="E873">
        <f t="shared" si="65"/>
        <v>2</v>
      </c>
      <c r="F873">
        <f t="shared" si="66"/>
        <v>5</v>
      </c>
      <c r="G873">
        <f t="shared" si="67"/>
        <v>1</v>
      </c>
      <c r="H873" s="3" t="str">
        <f t="shared" si="68"/>
        <v>251</v>
      </c>
      <c r="I873" t="str">
        <f t="shared" si="69"/>
        <v>About To Sleep</v>
      </c>
    </row>
    <row r="874" spans="1:9" x14ac:dyDescent="0.25">
      <c r="A874" s="9" t="s">
        <v>1813</v>
      </c>
      <c r="B874" s="9">
        <v>688</v>
      </c>
      <c r="C874" s="9">
        <v>5</v>
      </c>
      <c r="D874" s="10">
        <v>201.53</v>
      </c>
      <c r="E874">
        <f t="shared" si="65"/>
        <v>3</v>
      </c>
      <c r="F874">
        <f t="shared" si="66"/>
        <v>2</v>
      </c>
      <c r="G874">
        <f t="shared" si="67"/>
        <v>2</v>
      </c>
      <c r="H874" s="3" t="str">
        <f t="shared" si="68"/>
        <v>322</v>
      </c>
      <c r="I874" t="str">
        <f t="shared" si="69"/>
        <v>Lost Customer</v>
      </c>
    </row>
    <row r="875" spans="1:9" x14ac:dyDescent="0.25">
      <c r="A875" s="9" t="s">
        <v>1815</v>
      </c>
      <c r="B875" s="9">
        <v>603</v>
      </c>
      <c r="C875" s="9">
        <v>12</v>
      </c>
      <c r="D875" s="10">
        <v>244.6</v>
      </c>
      <c r="E875">
        <f t="shared" si="65"/>
        <v>4</v>
      </c>
      <c r="F875">
        <f t="shared" si="66"/>
        <v>5</v>
      </c>
      <c r="G875">
        <f t="shared" si="67"/>
        <v>3</v>
      </c>
      <c r="H875" s="3" t="str">
        <f t="shared" si="68"/>
        <v>453</v>
      </c>
      <c r="I875" t="str">
        <f t="shared" si="69"/>
        <v>Potential Loyalist</v>
      </c>
    </row>
    <row r="876" spans="1:9" x14ac:dyDescent="0.25">
      <c r="A876" s="9" t="s">
        <v>1817</v>
      </c>
      <c r="B876" s="9">
        <v>780</v>
      </c>
      <c r="C876" s="9">
        <v>10</v>
      </c>
      <c r="D876" s="10">
        <v>320.5</v>
      </c>
      <c r="E876">
        <f t="shared" si="65"/>
        <v>1</v>
      </c>
      <c r="F876">
        <f t="shared" si="66"/>
        <v>5</v>
      </c>
      <c r="G876">
        <f t="shared" si="67"/>
        <v>3</v>
      </c>
      <c r="H876" s="3" t="str">
        <f t="shared" si="68"/>
        <v>153</v>
      </c>
      <c r="I876" t="str">
        <f t="shared" si="69"/>
        <v>About To Sleep</v>
      </c>
    </row>
    <row r="877" spans="1:9" x14ac:dyDescent="0.25">
      <c r="A877" s="9" t="s">
        <v>1819</v>
      </c>
      <c r="B877" s="9">
        <v>659</v>
      </c>
      <c r="C877" s="9">
        <v>3</v>
      </c>
      <c r="D877" s="10">
        <v>91.63</v>
      </c>
      <c r="E877">
        <f t="shared" si="65"/>
        <v>3</v>
      </c>
      <c r="F877">
        <f t="shared" si="66"/>
        <v>1</v>
      </c>
      <c r="G877">
        <f t="shared" si="67"/>
        <v>1</v>
      </c>
      <c r="H877" s="3" t="str">
        <f t="shared" si="68"/>
        <v>311</v>
      </c>
      <c r="I877" t="str">
        <f t="shared" si="69"/>
        <v>Lost Customer</v>
      </c>
    </row>
    <row r="878" spans="1:9" x14ac:dyDescent="0.25">
      <c r="A878" s="9" t="s">
        <v>1821</v>
      </c>
      <c r="B878" s="9">
        <v>839</v>
      </c>
      <c r="C878" s="9">
        <v>8</v>
      </c>
      <c r="D878" s="10">
        <v>251.93</v>
      </c>
      <c r="E878">
        <f t="shared" si="65"/>
        <v>1</v>
      </c>
      <c r="F878">
        <f t="shared" si="66"/>
        <v>4</v>
      </c>
      <c r="G878">
        <f t="shared" si="67"/>
        <v>3</v>
      </c>
      <c r="H878" s="3" t="str">
        <f t="shared" si="68"/>
        <v>143</v>
      </c>
      <c r="I878" t="str">
        <f t="shared" si="69"/>
        <v>About To Sleep</v>
      </c>
    </row>
    <row r="879" spans="1:9" x14ac:dyDescent="0.25">
      <c r="A879" s="9" t="s">
        <v>1823</v>
      </c>
      <c r="B879" s="9">
        <v>478</v>
      </c>
      <c r="C879" s="9">
        <v>4</v>
      </c>
      <c r="D879" s="10">
        <v>477.35</v>
      </c>
      <c r="E879">
        <f t="shared" si="65"/>
        <v>5</v>
      </c>
      <c r="F879">
        <f t="shared" si="66"/>
        <v>2</v>
      </c>
      <c r="G879">
        <f t="shared" si="67"/>
        <v>5</v>
      </c>
      <c r="H879" s="3" t="str">
        <f t="shared" si="68"/>
        <v>525</v>
      </c>
      <c r="I879" t="str">
        <f t="shared" si="69"/>
        <v>Big Spender</v>
      </c>
    </row>
    <row r="880" spans="1:9" x14ac:dyDescent="0.25">
      <c r="A880" s="9" t="s">
        <v>1825</v>
      </c>
      <c r="B880" s="9">
        <v>595</v>
      </c>
      <c r="C880" s="9">
        <v>10</v>
      </c>
      <c r="D880" s="10">
        <v>86.63</v>
      </c>
      <c r="E880">
        <f t="shared" si="65"/>
        <v>4</v>
      </c>
      <c r="F880">
        <f t="shared" si="66"/>
        <v>5</v>
      </c>
      <c r="G880">
        <f t="shared" si="67"/>
        <v>1</v>
      </c>
      <c r="H880" s="3" t="str">
        <f t="shared" si="68"/>
        <v>451</v>
      </c>
      <c r="I880" t="str">
        <f t="shared" si="69"/>
        <v>Potential Loyalist</v>
      </c>
    </row>
    <row r="881" spans="1:9" x14ac:dyDescent="0.25">
      <c r="A881" s="9" t="s">
        <v>1827</v>
      </c>
      <c r="B881" s="9">
        <v>576</v>
      </c>
      <c r="C881" s="9">
        <v>4</v>
      </c>
      <c r="D881" s="10">
        <v>474.42</v>
      </c>
      <c r="E881">
        <f t="shared" si="65"/>
        <v>4</v>
      </c>
      <c r="F881">
        <f t="shared" si="66"/>
        <v>2</v>
      </c>
      <c r="G881">
        <f t="shared" si="67"/>
        <v>5</v>
      </c>
      <c r="H881" s="3" t="str">
        <f t="shared" si="68"/>
        <v>425</v>
      </c>
      <c r="I881" t="str">
        <f t="shared" si="69"/>
        <v>Big Spender</v>
      </c>
    </row>
    <row r="882" spans="1:9" x14ac:dyDescent="0.25">
      <c r="A882" s="9" t="s">
        <v>1829</v>
      </c>
      <c r="B882" s="9">
        <v>754</v>
      </c>
      <c r="C882" s="9">
        <v>7</v>
      </c>
      <c r="D882" s="10">
        <v>429.24</v>
      </c>
      <c r="E882">
        <f t="shared" si="65"/>
        <v>2</v>
      </c>
      <c r="F882">
        <f t="shared" si="66"/>
        <v>3</v>
      </c>
      <c r="G882">
        <f t="shared" si="67"/>
        <v>5</v>
      </c>
      <c r="H882" s="3" t="str">
        <f t="shared" si="68"/>
        <v>235</v>
      </c>
      <c r="I882" t="str">
        <f t="shared" si="69"/>
        <v>Big Spender</v>
      </c>
    </row>
    <row r="883" spans="1:9" x14ac:dyDescent="0.25">
      <c r="A883" s="9" t="s">
        <v>1830</v>
      </c>
      <c r="B883" s="9">
        <v>525</v>
      </c>
      <c r="C883" s="9">
        <v>8</v>
      </c>
      <c r="D883" s="10">
        <v>470.38</v>
      </c>
      <c r="E883">
        <f t="shared" si="65"/>
        <v>5</v>
      </c>
      <c r="F883">
        <f t="shared" si="66"/>
        <v>4</v>
      </c>
      <c r="G883">
        <f t="shared" si="67"/>
        <v>5</v>
      </c>
      <c r="H883" s="3" t="str">
        <f t="shared" si="68"/>
        <v>545</v>
      </c>
      <c r="I883" t="str">
        <f t="shared" si="69"/>
        <v>Champion</v>
      </c>
    </row>
    <row r="884" spans="1:9" x14ac:dyDescent="0.25">
      <c r="A884" s="9" t="s">
        <v>1832</v>
      </c>
      <c r="B884" s="9">
        <v>581</v>
      </c>
      <c r="C884" s="9">
        <v>4</v>
      </c>
      <c r="D884" s="10">
        <v>495.8</v>
      </c>
      <c r="E884">
        <f t="shared" si="65"/>
        <v>4</v>
      </c>
      <c r="F884">
        <f t="shared" si="66"/>
        <v>2</v>
      </c>
      <c r="G884">
        <f t="shared" si="67"/>
        <v>5</v>
      </c>
      <c r="H884" s="3" t="str">
        <f t="shared" si="68"/>
        <v>425</v>
      </c>
      <c r="I884" t="str">
        <f t="shared" si="69"/>
        <v>Big Spender</v>
      </c>
    </row>
    <row r="885" spans="1:9" x14ac:dyDescent="0.25">
      <c r="A885" s="9" t="s">
        <v>1834</v>
      </c>
      <c r="B885" s="9">
        <v>693</v>
      </c>
      <c r="C885" s="9">
        <v>4</v>
      </c>
      <c r="D885" s="10">
        <v>129.63999999999999</v>
      </c>
      <c r="E885">
        <f t="shared" si="65"/>
        <v>3</v>
      </c>
      <c r="F885">
        <f t="shared" si="66"/>
        <v>2</v>
      </c>
      <c r="G885">
        <f t="shared" si="67"/>
        <v>1</v>
      </c>
      <c r="H885" s="3" t="str">
        <f t="shared" si="68"/>
        <v>321</v>
      </c>
      <c r="I885" t="str">
        <f t="shared" si="69"/>
        <v>Lost Customer</v>
      </c>
    </row>
    <row r="886" spans="1:9" x14ac:dyDescent="0.25">
      <c r="A886" s="9" t="s">
        <v>1836</v>
      </c>
      <c r="B886" s="9">
        <v>718</v>
      </c>
      <c r="C886" s="9">
        <v>9</v>
      </c>
      <c r="D886" s="10">
        <v>473.77</v>
      </c>
      <c r="E886">
        <f t="shared" si="65"/>
        <v>2</v>
      </c>
      <c r="F886">
        <f t="shared" si="66"/>
        <v>4</v>
      </c>
      <c r="G886">
        <f t="shared" si="67"/>
        <v>5</v>
      </c>
      <c r="H886" s="3" t="str">
        <f t="shared" si="68"/>
        <v>245</v>
      </c>
      <c r="I886" t="str">
        <f t="shared" si="69"/>
        <v>Loyal Customer</v>
      </c>
    </row>
    <row r="887" spans="1:9" x14ac:dyDescent="0.25">
      <c r="A887" s="9" t="s">
        <v>1838</v>
      </c>
      <c r="B887" s="9">
        <v>584</v>
      </c>
      <c r="C887" s="9">
        <v>4</v>
      </c>
      <c r="D887" s="10">
        <v>130.84</v>
      </c>
      <c r="E887">
        <f t="shared" si="65"/>
        <v>4</v>
      </c>
      <c r="F887">
        <f t="shared" si="66"/>
        <v>2</v>
      </c>
      <c r="G887">
        <f t="shared" si="67"/>
        <v>1</v>
      </c>
      <c r="H887" s="3" t="str">
        <f t="shared" si="68"/>
        <v>421</v>
      </c>
      <c r="I887" t="str">
        <f t="shared" si="69"/>
        <v>Lost Customer</v>
      </c>
    </row>
    <row r="888" spans="1:9" x14ac:dyDescent="0.25">
      <c r="A888" s="9" t="s">
        <v>1840</v>
      </c>
      <c r="B888" s="9">
        <v>690</v>
      </c>
      <c r="C888" s="9">
        <v>12</v>
      </c>
      <c r="D888" s="10">
        <v>436.54</v>
      </c>
      <c r="E888">
        <f t="shared" si="65"/>
        <v>3</v>
      </c>
      <c r="F888">
        <f t="shared" si="66"/>
        <v>5</v>
      </c>
      <c r="G888">
        <f t="shared" si="67"/>
        <v>5</v>
      </c>
      <c r="H888" s="3" t="str">
        <f t="shared" si="68"/>
        <v>355</v>
      </c>
      <c r="I888" t="str">
        <f t="shared" si="69"/>
        <v>Loyal Customer</v>
      </c>
    </row>
    <row r="889" spans="1:9" x14ac:dyDescent="0.25">
      <c r="A889" s="9" t="s">
        <v>1842</v>
      </c>
      <c r="B889" s="9">
        <v>546</v>
      </c>
      <c r="C889" s="9">
        <v>4</v>
      </c>
      <c r="D889" s="10">
        <v>264.01</v>
      </c>
      <c r="E889">
        <f t="shared" si="65"/>
        <v>5</v>
      </c>
      <c r="F889">
        <f t="shared" si="66"/>
        <v>2</v>
      </c>
      <c r="G889">
        <f t="shared" si="67"/>
        <v>3</v>
      </c>
      <c r="H889" s="3" t="str">
        <f t="shared" si="68"/>
        <v>523</v>
      </c>
      <c r="I889" t="str">
        <f t="shared" si="69"/>
        <v>Others</v>
      </c>
    </row>
    <row r="890" spans="1:9" x14ac:dyDescent="0.25">
      <c r="A890" s="9" t="s">
        <v>1844</v>
      </c>
      <c r="B890" s="9">
        <v>552</v>
      </c>
      <c r="C890" s="9">
        <v>2</v>
      </c>
      <c r="D890" s="10">
        <v>58.27</v>
      </c>
      <c r="E890">
        <f t="shared" si="65"/>
        <v>5</v>
      </c>
      <c r="F890">
        <f t="shared" si="66"/>
        <v>1</v>
      </c>
      <c r="G890">
        <f t="shared" si="67"/>
        <v>1</v>
      </c>
      <c r="H890" s="3" t="str">
        <f t="shared" si="68"/>
        <v>511</v>
      </c>
      <c r="I890" t="str">
        <f t="shared" si="69"/>
        <v>Lost Customer</v>
      </c>
    </row>
    <row r="891" spans="1:9" x14ac:dyDescent="0.25">
      <c r="A891" s="9" t="s">
        <v>1846</v>
      </c>
      <c r="B891" s="9">
        <v>529</v>
      </c>
      <c r="C891" s="9">
        <v>10</v>
      </c>
      <c r="D891" s="10">
        <v>190.76</v>
      </c>
      <c r="E891">
        <f t="shared" si="65"/>
        <v>5</v>
      </c>
      <c r="F891">
        <f t="shared" si="66"/>
        <v>5</v>
      </c>
      <c r="G891">
        <f t="shared" si="67"/>
        <v>2</v>
      </c>
      <c r="H891" s="3" t="str">
        <f t="shared" si="68"/>
        <v>552</v>
      </c>
      <c r="I891" t="str">
        <f t="shared" si="69"/>
        <v>Potential Loyalist</v>
      </c>
    </row>
    <row r="892" spans="1:9" x14ac:dyDescent="0.25">
      <c r="A892" s="9" t="s">
        <v>1848</v>
      </c>
      <c r="B892" s="9">
        <v>823</v>
      </c>
      <c r="C892" s="9">
        <v>8</v>
      </c>
      <c r="D892" s="10">
        <v>105.76</v>
      </c>
      <c r="E892">
        <f t="shared" si="65"/>
        <v>1</v>
      </c>
      <c r="F892">
        <f t="shared" si="66"/>
        <v>4</v>
      </c>
      <c r="G892">
        <f t="shared" si="67"/>
        <v>1</v>
      </c>
      <c r="H892" s="3" t="str">
        <f t="shared" si="68"/>
        <v>141</v>
      </c>
      <c r="I892" t="str">
        <f t="shared" si="69"/>
        <v>About To Sleep</v>
      </c>
    </row>
    <row r="893" spans="1:9" x14ac:dyDescent="0.25">
      <c r="A893" s="9" t="s">
        <v>1850</v>
      </c>
      <c r="B893" s="9">
        <v>720</v>
      </c>
      <c r="C893" s="9">
        <v>9</v>
      </c>
      <c r="D893" s="10">
        <v>254.29</v>
      </c>
      <c r="E893">
        <f t="shared" si="65"/>
        <v>2</v>
      </c>
      <c r="F893">
        <f t="shared" si="66"/>
        <v>4</v>
      </c>
      <c r="G893">
        <f t="shared" si="67"/>
        <v>3</v>
      </c>
      <c r="H893" s="3" t="str">
        <f t="shared" si="68"/>
        <v>243</v>
      </c>
      <c r="I893" t="str">
        <f t="shared" si="69"/>
        <v>About To Sleep</v>
      </c>
    </row>
    <row r="894" spans="1:9" x14ac:dyDescent="0.25">
      <c r="A894" s="9" t="s">
        <v>1852</v>
      </c>
      <c r="B894" s="9">
        <v>524</v>
      </c>
      <c r="C894" s="9">
        <v>9</v>
      </c>
      <c r="D894" s="10">
        <v>435.52</v>
      </c>
      <c r="E894">
        <f t="shared" si="65"/>
        <v>5</v>
      </c>
      <c r="F894">
        <f t="shared" si="66"/>
        <v>4</v>
      </c>
      <c r="G894">
        <f t="shared" si="67"/>
        <v>5</v>
      </c>
      <c r="H894" s="3" t="str">
        <f t="shared" si="68"/>
        <v>545</v>
      </c>
      <c r="I894" t="str">
        <f t="shared" si="69"/>
        <v>Champion</v>
      </c>
    </row>
    <row r="895" spans="1:9" x14ac:dyDescent="0.25">
      <c r="A895" s="9" t="s">
        <v>1854</v>
      </c>
      <c r="B895" s="9">
        <v>707</v>
      </c>
      <c r="C895" s="9">
        <v>5</v>
      </c>
      <c r="D895" s="10">
        <v>235.49</v>
      </c>
      <c r="E895">
        <f t="shared" si="65"/>
        <v>2</v>
      </c>
      <c r="F895">
        <f t="shared" si="66"/>
        <v>2</v>
      </c>
      <c r="G895">
        <f t="shared" si="67"/>
        <v>3</v>
      </c>
      <c r="H895" s="3" t="str">
        <f t="shared" si="68"/>
        <v>223</v>
      </c>
      <c r="I895" t="str">
        <f t="shared" si="69"/>
        <v>At Risk</v>
      </c>
    </row>
    <row r="896" spans="1:9" x14ac:dyDescent="0.25">
      <c r="A896" s="9" t="s">
        <v>1856</v>
      </c>
      <c r="B896" s="9">
        <v>569</v>
      </c>
      <c r="C896" s="9">
        <v>3</v>
      </c>
      <c r="D896" s="10">
        <v>161.34</v>
      </c>
      <c r="E896">
        <f t="shared" si="65"/>
        <v>4</v>
      </c>
      <c r="F896">
        <f t="shared" si="66"/>
        <v>1</v>
      </c>
      <c r="G896">
        <f t="shared" si="67"/>
        <v>2</v>
      </c>
      <c r="H896" s="3" t="str">
        <f t="shared" si="68"/>
        <v>412</v>
      </c>
      <c r="I896" t="str">
        <f t="shared" si="69"/>
        <v>Lost Customer</v>
      </c>
    </row>
    <row r="897" spans="1:9" x14ac:dyDescent="0.25">
      <c r="A897" s="9" t="s">
        <v>1858</v>
      </c>
      <c r="B897" s="9">
        <v>763</v>
      </c>
      <c r="C897" s="9">
        <v>11</v>
      </c>
      <c r="D897" s="10">
        <v>167.67</v>
      </c>
      <c r="E897">
        <f t="shared" si="65"/>
        <v>1</v>
      </c>
      <c r="F897">
        <f t="shared" si="66"/>
        <v>5</v>
      </c>
      <c r="G897">
        <f t="shared" si="67"/>
        <v>2</v>
      </c>
      <c r="H897" s="3" t="str">
        <f t="shared" si="68"/>
        <v>152</v>
      </c>
      <c r="I897" t="str">
        <f t="shared" si="69"/>
        <v>About To Sleep</v>
      </c>
    </row>
    <row r="898" spans="1:9" x14ac:dyDescent="0.25">
      <c r="A898" s="9" t="s">
        <v>1860</v>
      </c>
      <c r="B898" s="9">
        <v>737</v>
      </c>
      <c r="C898" s="9">
        <v>10</v>
      </c>
      <c r="D898" s="10">
        <v>96.68</v>
      </c>
      <c r="E898">
        <f t="shared" si="65"/>
        <v>2</v>
      </c>
      <c r="F898">
        <f t="shared" si="66"/>
        <v>5</v>
      </c>
      <c r="G898">
        <f t="shared" si="67"/>
        <v>1</v>
      </c>
      <c r="H898" s="3" t="str">
        <f t="shared" si="68"/>
        <v>251</v>
      </c>
      <c r="I898" t="str">
        <f t="shared" si="69"/>
        <v>About To Sleep</v>
      </c>
    </row>
    <row r="899" spans="1:9" x14ac:dyDescent="0.25">
      <c r="A899" s="9" t="s">
        <v>1862</v>
      </c>
      <c r="B899" s="9">
        <v>727</v>
      </c>
      <c r="C899" s="9">
        <v>3</v>
      </c>
      <c r="D899" s="10">
        <v>234.58</v>
      </c>
      <c r="E899">
        <f t="shared" ref="E899:E962" si="70">IF(B899 &lt;= _xlfn.PERCENTILE.INC($B$2:$B$1001, 0.2), 5,
 IF(B899 &lt;= _xlfn.PERCENTILE.INC($B$2:$B$1001, 0.4), 4,
 IF(B899 &lt;= _xlfn.PERCENTILE.INC($B$2:$B$1001, 0.6), 3,
 IF(B899 &lt;= _xlfn.PERCENTILE.INC($B$2:$B$1001, 0.8), 2, 1))))</f>
        <v>2</v>
      </c>
      <c r="F899">
        <f t="shared" ref="F899:F962" si="71">IF(C899 &gt;= _xlfn.PERCENTILE.INC($C$2:$C$1001, 0.8), 5,
 IF(C899 &gt;= _xlfn.PERCENTILE.INC($C$2:$C$1001, 0.6), 4,
 IF(C899 &gt;= _xlfn.PERCENTILE.INC($C$2:$C$1001, 0.4), 3,
 IF(C899 &gt;= _xlfn.PERCENTILE.INC($C$2:$C$1001, 0.2), 2, 1))))</f>
        <v>1</v>
      </c>
      <c r="G899">
        <f t="shared" ref="G899:G962" si="72">IF(D899 &gt;= _xlfn.PERCENTILE.INC($D$2:$D$1001, 0.8), 5,
 IF(D899 &gt;= _xlfn.PERCENTILE.INC($D$2:$D$1001, 0.6), 4,
 IF(D899 &gt;= _xlfn.PERCENTILE.INC($D$2:$D$1001, 0.4), 3,
 IF(D899 &gt;= _xlfn.PERCENTILE.INC($D$2:$D$1001, 0.2), 2, 1))))</f>
        <v>3</v>
      </c>
      <c r="H899" s="3" t="str">
        <f t="shared" ref="H899:H962" si="73">TEXT(E899,"0") &amp; TEXT(F899,"0") &amp; TEXT(G899,"0")</f>
        <v>213</v>
      </c>
      <c r="I899" t="str">
        <f t="shared" ref="I899:I962" si="74">IF(AND(E899&gt;=4, F899&gt;=4, G899&gt;=4), "Champion",
 IF(AND(F899&gt;=4, G899&gt;=4), "Loyal Customer",
 IF(AND(E899&gt;=4, F899&gt;=3), "Potential Loyalist",
 IF(G899&gt;=4, "Big Spender",
 IF(AND(E899&lt;=2, F899&lt;=2), "At Risk",
 IF(E899&lt;=2, "About To Sleep",
 IF(AND(F899&lt;=2, G899&lt;=2), "Lost Customer", "Others")))))))</f>
        <v>At Risk</v>
      </c>
    </row>
    <row r="900" spans="1:9" x14ac:dyDescent="0.25">
      <c r="A900" s="9" t="s">
        <v>1864</v>
      </c>
      <c r="B900" s="9">
        <v>768</v>
      </c>
      <c r="C900" s="9">
        <v>7</v>
      </c>
      <c r="D900" s="10">
        <v>156.47999999999999</v>
      </c>
      <c r="E900">
        <f t="shared" si="70"/>
        <v>1</v>
      </c>
      <c r="F900">
        <f t="shared" si="71"/>
        <v>3</v>
      </c>
      <c r="G900">
        <f t="shared" si="72"/>
        <v>2</v>
      </c>
      <c r="H900" s="3" t="str">
        <f t="shared" si="73"/>
        <v>132</v>
      </c>
      <c r="I900" t="str">
        <f t="shared" si="74"/>
        <v>About To Sleep</v>
      </c>
    </row>
    <row r="901" spans="1:9" x14ac:dyDescent="0.25">
      <c r="A901" s="9" t="s">
        <v>1866</v>
      </c>
      <c r="B901" s="9">
        <v>823</v>
      </c>
      <c r="C901" s="9">
        <v>11</v>
      </c>
      <c r="D901" s="10">
        <v>489.66</v>
      </c>
      <c r="E901">
        <f t="shared" si="70"/>
        <v>1</v>
      </c>
      <c r="F901">
        <f t="shared" si="71"/>
        <v>5</v>
      </c>
      <c r="G901">
        <f t="shared" si="72"/>
        <v>5</v>
      </c>
      <c r="H901" s="3" t="str">
        <f t="shared" si="73"/>
        <v>155</v>
      </c>
      <c r="I901" t="str">
        <f t="shared" si="74"/>
        <v>Loyal Customer</v>
      </c>
    </row>
    <row r="902" spans="1:9" x14ac:dyDescent="0.25">
      <c r="A902" s="9" t="s">
        <v>1868</v>
      </c>
      <c r="B902" s="9">
        <v>725</v>
      </c>
      <c r="C902" s="9">
        <v>9</v>
      </c>
      <c r="D902" s="10">
        <v>161.85</v>
      </c>
      <c r="E902">
        <f t="shared" si="70"/>
        <v>2</v>
      </c>
      <c r="F902">
        <f t="shared" si="71"/>
        <v>4</v>
      </c>
      <c r="G902">
        <f t="shared" si="72"/>
        <v>2</v>
      </c>
      <c r="H902" s="3" t="str">
        <f t="shared" si="73"/>
        <v>242</v>
      </c>
      <c r="I902" t="str">
        <f t="shared" si="74"/>
        <v>About To Sleep</v>
      </c>
    </row>
    <row r="903" spans="1:9" x14ac:dyDescent="0.25">
      <c r="A903" s="9" t="s">
        <v>1870</v>
      </c>
      <c r="B903" s="9">
        <v>613</v>
      </c>
      <c r="C903" s="9">
        <v>7</v>
      </c>
      <c r="D903" s="10">
        <v>204.47</v>
      </c>
      <c r="E903">
        <f t="shared" si="70"/>
        <v>4</v>
      </c>
      <c r="F903">
        <f t="shared" si="71"/>
        <v>3</v>
      </c>
      <c r="G903">
        <f t="shared" si="72"/>
        <v>2</v>
      </c>
      <c r="H903" s="3" t="str">
        <f t="shared" si="73"/>
        <v>432</v>
      </c>
      <c r="I903" t="str">
        <f t="shared" si="74"/>
        <v>Potential Loyalist</v>
      </c>
    </row>
    <row r="904" spans="1:9" x14ac:dyDescent="0.25">
      <c r="A904" s="9" t="s">
        <v>1872</v>
      </c>
      <c r="B904" s="9">
        <v>526</v>
      </c>
      <c r="C904" s="9">
        <v>4</v>
      </c>
      <c r="D904" s="10">
        <v>315.02999999999997</v>
      </c>
      <c r="E904">
        <f t="shared" si="70"/>
        <v>5</v>
      </c>
      <c r="F904">
        <f t="shared" si="71"/>
        <v>2</v>
      </c>
      <c r="G904">
        <f t="shared" si="72"/>
        <v>3</v>
      </c>
      <c r="H904" s="3" t="str">
        <f t="shared" si="73"/>
        <v>523</v>
      </c>
      <c r="I904" t="str">
        <f t="shared" si="74"/>
        <v>Others</v>
      </c>
    </row>
    <row r="905" spans="1:9" x14ac:dyDescent="0.25">
      <c r="A905" s="9" t="s">
        <v>1874</v>
      </c>
      <c r="B905" s="9">
        <v>660</v>
      </c>
      <c r="C905" s="9">
        <v>12</v>
      </c>
      <c r="D905" s="10">
        <v>330.36</v>
      </c>
      <c r="E905">
        <f t="shared" si="70"/>
        <v>3</v>
      </c>
      <c r="F905">
        <f t="shared" si="71"/>
        <v>5</v>
      </c>
      <c r="G905">
        <f t="shared" si="72"/>
        <v>4</v>
      </c>
      <c r="H905" s="3" t="str">
        <f t="shared" si="73"/>
        <v>354</v>
      </c>
      <c r="I905" t="str">
        <f t="shared" si="74"/>
        <v>Loyal Customer</v>
      </c>
    </row>
    <row r="906" spans="1:9" x14ac:dyDescent="0.25">
      <c r="A906" s="9" t="s">
        <v>1876</v>
      </c>
      <c r="B906" s="9">
        <v>669</v>
      </c>
      <c r="C906" s="9">
        <v>5</v>
      </c>
      <c r="D906" s="10">
        <v>456.83</v>
      </c>
      <c r="E906">
        <f t="shared" si="70"/>
        <v>3</v>
      </c>
      <c r="F906">
        <f t="shared" si="71"/>
        <v>2</v>
      </c>
      <c r="G906">
        <f t="shared" si="72"/>
        <v>5</v>
      </c>
      <c r="H906" s="3" t="str">
        <f t="shared" si="73"/>
        <v>325</v>
      </c>
      <c r="I906" t="str">
        <f t="shared" si="74"/>
        <v>Big Spender</v>
      </c>
    </row>
    <row r="907" spans="1:9" x14ac:dyDescent="0.25">
      <c r="A907" s="9" t="s">
        <v>1878</v>
      </c>
      <c r="B907" s="9">
        <v>520</v>
      </c>
      <c r="C907" s="9">
        <v>6</v>
      </c>
      <c r="D907" s="10">
        <v>236.05</v>
      </c>
      <c r="E907">
        <f t="shared" si="70"/>
        <v>5</v>
      </c>
      <c r="F907">
        <f t="shared" si="71"/>
        <v>3</v>
      </c>
      <c r="G907">
        <f t="shared" si="72"/>
        <v>3</v>
      </c>
      <c r="H907" s="3" t="str">
        <f t="shared" si="73"/>
        <v>533</v>
      </c>
      <c r="I907" t="str">
        <f t="shared" si="74"/>
        <v>Potential Loyalist</v>
      </c>
    </row>
    <row r="908" spans="1:9" x14ac:dyDescent="0.25">
      <c r="A908" s="9" t="s">
        <v>1880</v>
      </c>
      <c r="B908" s="9">
        <v>660</v>
      </c>
      <c r="C908" s="9">
        <v>9</v>
      </c>
      <c r="D908" s="10">
        <v>289.27999999999997</v>
      </c>
      <c r="E908">
        <f t="shared" si="70"/>
        <v>3</v>
      </c>
      <c r="F908">
        <f t="shared" si="71"/>
        <v>4</v>
      </c>
      <c r="G908">
        <f t="shared" si="72"/>
        <v>3</v>
      </c>
      <c r="H908" s="3" t="str">
        <f t="shared" si="73"/>
        <v>343</v>
      </c>
      <c r="I908" t="str">
        <f t="shared" si="74"/>
        <v>Others</v>
      </c>
    </row>
    <row r="909" spans="1:9" x14ac:dyDescent="0.25">
      <c r="A909" s="9" t="s">
        <v>1882</v>
      </c>
      <c r="B909" s="9">
        <v>639</v>
      </c>
      <c r="C909" s="9">
        <v>5</v>
      </c>
      <c r="D909" s="10">
        <v>483.77</v>
      </c>
      <c r="E909">
        <f t="shared" si="70"/>
        <v>3</v>
      </c>
      <c r="F909">
        <f t="shared" si="71"/>
        <v>2</v>
      </c>
      <c r="G909">
        <f t="shared" si="72"/>
        <v>5</v>
      </c>
      <c r="H909" s="3" t="str">
        <f t="shared" si="73"/>
        <v>325</v>
      </c>
      <c r="I909" t="str">
        <f t="shared" si="74"/>
        <v>Big Spender</v>
      </c>
    </row>
    <row r="910" spans="1:9" x14ac:dyDescent="0.25">
      <c r="A910" s="9" t="s">
        <v>1884</v>
      </c>
      <c r="B910" s="9">
        <v>631</v>
      </c>
      <c r="C910" s="9">
        <v>7</v>
      </c>
      <c r="D910" s="10">
        <v>64.5</v>
      </c>
      <c r="E910">
        <f t="shared" si="70"/>
        <v>3</v>
      </c>
      <c r="F910">
        <f t="shared" si="71"/>
        <v>3</v>
      </c>
      <c r="G910">
        <f t="shared" si="72"/>
        <v>1</v>
      </c>
      <c r="H910" s="3" t="str">
        <f t="shared" si="73"/>
        <v>331</v>
      </c>
      <c r="I910" t="str">
        <f t="shared" si="74"/>
        <v>Others</v>
      </c>
    </row>
    <row r="911" spans="1:9" x14ac:dyDescent="0.25">
      <c r="A911" s="9" t="s">
        <v>1886</v>
      </c>
      <c r="B911" s="9">
        <v>808</v>
      </c>
      <c r="C911" s="9">
        <v>4</v>
      </c>
      <c r="D911" s="10">
        <v>436.57</v>
      </c>
      <c r="E911">
        <f t="shared" si="70"/>
        <v>1</v>
      </c>
      <c r="F911">
        <f t="shared" si="71"/>
        <v>2</v>
      </c>
      <c r="G911">
        <f t="shared" si="72"/>
        <v>5</v>
      </c>
      <c r="H911" s="3" t="str">
        <f t="shared" si="73"/>
        <v>125</v>
      </c>
      <c r="I911" t="str">
        <f t="shared" si="74"/>
        <v>Big Spender</v>
      </c>
    </row>
    <row r="912" spans="1:9" x14ac:dyDescent="0.25">
      <c r="A912" s="9" t="s">
        <v>1888</v>
      </c>
      <c r="B912" s="9">
        <v>571</v>
      </c>
      <c r="C912" s="9">
        <v>2</v>
      </c>
      <c r="D912" s="10">
        <v>364.48</v>
      </c>
      <c r="E912">
        <f t="shared" si="70"/>
        <v>4</v>
      </c>
      <c r="F912">
        <f t="shared" si="71"/>
        <v>1</v>
      </c>
      <c r="G912">
        <f t="shared" si="72"/>
        <v>4</v>
      </c>
      <c r="H912" s="3" t="str">
        <f t="shared" si="73"/>
        <v>414</v>
      </c>
      <c r="I912" t="str">
        <f t="shared" si="74"/>
        <v>Big Spender</v>
      </c>
    </row>
    <row r="913" spans="1:9" x14ac:dyDescent="0.25">
      <c r="A913" s="9" t="s">
        <v>1890</v>
      </c>
      <c r="B913" s="9">
        <v>746</v>
      </c>
      <c r="C913" s="9">
        <v>12</v>
      </c>
      <c r="D913" s="10">
        <v>221.88</v>
      </c>
      <c r="E913">
        <f t="shared" si="70"/>
        <v>2</v>
      </c>
      <c r="F913">
        <f t="shared" si="71"/>
        <v>5</v>
      </c>
      <c r="G913">
        <f t="shared" si="72"/>
        <v>2</v>
      </c>
      <c r="H913" s="3" t="str">
        <f t="shared" si="73"/>
        <v>252</v>
      </c>
      <c r="I913" t="str">
        <f t="shared" si="74"/>
        <v>About To Sleep</v>
      </c>
    </row>
    <row r="914" spans="1:9" x14ac:dyDescent="0.25">
      <c r="A914" s="9" t="s">
        <v>1892</v>
      </c>
      <c r="B914" s="9">
        <v>545</v>
      </c>
      <c r="C914" s="9">
        <v>3</v>
      </c>
      <c r="D914" s="10">
        <v>278.20999999999998</v>
      </c>
      <c r="E914">
        <f t="shared" si="70"/>
        <v>5</v>
      </c>
      <c r="F914">
        <f t="shared" si="71"/>
        <v>1</v>
      </c>
      <c r="G914">
        <f t="shared" si="72"/>
        <v>3</v>
      </c>
      <c r="H914" s="3" t="str">
        <f t="shared" si="73"/>
        <v>513</v>
      </c>
      <c r="I914" t="str">
        <f t="shared" si="74"/>
        <v>Others</v>
      </c>
    </row>
    <row r="915" spans="1:9" x14ac:dyDescent="0.25">
      <c r="A915" s="9" t="s">
        <v>1894</v>
      </c>
      <c r="B915" s="9">
        <v>647</v>
      </c>
      <c r="C915" s="9">
        <v>7</v>
      </c>
      <c r="D915" s="10">
        <v>344.43</v>
      </c>
      <c r="E915">
        <f t="shared" si="70"/>
        <v>3</v>
      </c>
      <c r="F915">
        <f t="shared" si="71"/>
        <v>3</v>
      </c>
      <c r="G915">
        <f t="shared" si="72"/>
        <v>4</v>
      </c>
      <c r="H915" s="3" t="str">
        <f t="shared" si="73"/>
        <v>334</v>
      </c>
      <c r="I915" t="str">
        <f t="shared" si="74"/>
        <v>Big Spender</v>
      </c>
    </row>
    <row r="916" spans="1:9" x14ac:dyDescent="0.25">
      <c r="A916" s="9" t="s">
        <v>1896</v>
      </c>
      <c r="B916" s="9">
        <v>659</v>
      </c>
      <c r="C916" s="9">
        <v>11</v>
      </c>
      <c r="D916" s="10">
        <v>326.08</v>
      </c>
      <c r="E916">
        <f t="shared" si="70"/>
        <v>3</v>
      </c>
      <c r="F916">
        <f t="shared" si="71"/>
        <v>5</v>
      </c>
      <c r="G916">
        <f t="shared" si="72"/>
        <v>4</v>
      </c>
      <c r="H916" s="3" t="str">
        <f t="shared" si="73"/>
        <v>354</v>
      </c>
      <c r="I916" t="str">
        <f t="shared" si="74"/>
        <v>Loyal Customer</v>
      </c>
    </row>
    <row r="917" spans="1:9" x14ac:dyDescent="0.25">
      <c r="A917" s="9" t="s">
        <v>1898</v>
      </c>
      <c r="B917" s="9">
        <v>748</v>
      </c>
      <c r="C917" s="9">
        <v>8</v>
      </c>
      <c r="D917" s="10">
        <v>437.97</v>
      </c>
      <c r="E917">
        <f t="shared" si="70"/>
        <v>2</v>
      </c>
      <c r="F917">
        <f t="shared" si="71"/>
        <v>4</v>
      </c>
      <c r="G917">
        <f t="shared" si="72"/>
        <v>5</v>
      </c>
      <c r="H917" s="3" t="str">
        <f t="shared" si="73"/>
        <v>245</v>
      </c>
      <c r="I917" t="str">
        <f t="shared" si="74"/>
        <v>Loyal Customer</v>
      </c>
    </row>
    <row r="918" spans="1:9" x14ac:dyDescent="0.25">
      <c r="A918" s="9" t="s">
        <v>1899</v>
      </c>
      <c r="B918" s="9">
        <v>794</v>
      </c>
      <c r="C918" s="9">
        <v>3</v>
      </c>
      <c r="D918" s="10">
        <v>391.87</v>
      </c>
      <c r="E918">
        <f t="shared" si="70"/>
        <v>1</v>
      </c>
      <c r="F918">
        <f t="shared" si="71"/>
        <v>1</v>
      </c>
      <c r="G918">
        <f t="shared" si="72"/>
        <v>4</v>
      </c>
      <c r="H918" s="3" t="str">
        <f t="shared" si="73"/>
        <v>114</v>
      </c>
      <c r="I918" t="str">
        <f t="shared" si="74"/>
        <v>Big Spender</v>
      </c>
    </row>
    <row r="919" spans="1:9" x14ac:dyDescent="0.25">
      <c r="A919" s="9" t="s">
        <v>1900</v>
      </c>
      <c r="B919" s="9">
        <v>810</v>
      </c>
      <c r="C919" s="9">
        <v>3</v>
      </c>
      <c r="D919" s="10">
        <v>333.41</v>
      </c>
      <c r="E919">
        <f t="shared" si="70"/>
        <v>1</v>
      </c>
      <c r="F919">
        <f t="shared" si="71"/>
        <v>1</v>
      </c>
      <c r="G919">
        <f t="shared" si="72"/>
        <v>4</v>
      </c>
      <c r="H919" s="3" t="str">
        <f t="shared" si="73"/>
        <v>114</v>
      </c>
      <c r="I919" t="str">
        <f t="shared" si="74"/>
        <v>Big Spender</v>
      </c>
    </row>
    <row r="920" spans="1:9" x14ac:dyDescent="0.25">
      <c r="A920" s="9" t="s">
        <v>1902</v>
      </c>
      <c r="B920" s="9">
        <v>558</v>
      </c>
      <c r="C920" s="9">
        <v>9</v>
      </c>
      <c r="D920" s="10">
        <v>251.54</v>
      </c>
      <c r="E920">
        <f t="shared" si="70"/>
        <v>5</v>
      </c>
      <c r="F920">
        <f t="shared" si="71"/>
        <v>4</v>
      </c>
      <c r="G920">
        <f t="shared" si="72"/>
        <v>3</v>
      </c>
      <c r="H920" s="3" t="str">
        <f t="shared" si="73"/>
        <v>543</v>
      </c>
      <c r="I920" t="str">
        <f t="shared" si="74"/>
        <v>Potential Loyalist</v>
      </c>
    </row>
    <row r="921" spans="1:9" x14ac:dyDescent="0.25">
      <c r="A921" s="9" t="s">
        <v>1904</v>
      </c>
      <c r="B921" s="9">
        <v>741</v>
      </c>
      <c r="C921" s="9">
        <v>7</v>
      </c>
      <c r="D921" s="10">
        <v>292.08</v>
      </c>
      <c r="E921">
        <f t="shared" si="70"/>
        <v>2</v>
      </c>
      <c r="F921">
        <f t="shared" si="71"/>
        <v>3</v>
      </c>
      <c r="G921">
        <f t="shared" si="72"/>
        <v>3</v>
      </c>
      <c r="H921" s="3" t="str">
        <f t="shared" si="73"/>
        <v>233</v>
      </c>
      <c r="I921" t="str">
        <f t="shared" si="74"/>
        <v>About To Sleep</v>
      </c>
    </row>
    <row r="922" spans="1:9" x14ac:dyDescent="0.25">
      <c r="A922" s="9" t="s">
        <v>1906</v>
      </c>
      <c r="B922" s="9">
        <v>704</v>
      </c>
      <c r="C922" s="9">
        <v>11</v>
      </c>
      <c r="D922" s="10">
        <v>204.29</v>
      </c>
      <c r="E922">
        <f t="shared" si="70"/>
        <v>2</v>
      </c>
      <c r="F922">
        <f t="shared" si="71"/>
        <v>5</v>
      </c>
      <c r="G922">
        <f t="shared" si="72"/>
        <v>2</v>
      </c>
      <c r="H922" s="3" t="str">
        <f t="shared" si="73"/>
        <v>252</v>
      </c>
      <c r="I922" t="str">
        <f t="shared" si="74"/>
        <v>About To Sleep</v>
      </c>
    </row>
    <row r="923" spans="1:9" x14ac:dyDescent="0.25">
      <c r="A923" s="9" t="s">
        <v>1908</v>
      </c>
      <c r="B923" s="9">
        <v>545</v>
      </c>
      <c r="C923" s="9">
        <v>4</v>
      </c>
      <c r="D923" s="10">
        <v>258.68</v>
      </c>
      <c r="E923">
        <f t="shared" si="70"/>
        <v>5</v>
      </c>
      <c r="F923">
        <f t="shared" si="71"/>
        <v>2</v>
      </c>
      <c r="G923">
        <f t="shared" si="72"/>
        <v>3</v>
      </c>
      <c r="H923" s="3" t="str">
        <f t="shared" si="73"/>
        <v>523</v>
      </c>
      <c r="I923" t="str">
        <f t="shared" si="74"/>
        <v>Others</v>
      </c>
    </row>
    <row r="924" spans="1:9" x14ac:dyDescent="0.25">
      <c r="A924" s="9" t="s">
        <v>1910</v>
      </c>
      <c r="B924" s="9">
        <v>528</v>
      </c>
      <c r="C924" s="9">
        <v>2</v>
      </c>
      <c r="D924" s="10">
        <v>258.02</v>
      </c>
      <c r="E924">
        <f t="shared" si="70"/>
        <v>5</v>
      </c>
      <c r="F924">
        <f t="shared" si="71"/>
        <v>1</v>
      </c>
      <c r="G924">
        <f t="shared" si="72"/>
        <v>3</v>
      </c>
      <c r="H924" s="3" t="str">
        <f t="shared" si="73"/>
        <v>513</v>
      </c>
      <c r="I924" t="str">
        <f t="shared" si="74"/>
        <v>Others</v>
      </c>
    </row>
    <row r="925" spans="1:9" x14ac:dyDescent="0.25">
      <c r="A925" s="9" t="s">
        <v>1912</v>
      </c>
      <c r="B925" s="9">
        <v>596</v>
      </c>
      <c r="C925" s="9">
        <v>12</v>
      </c>
      <c r="D925" s="10">
        <v>181.87</v>
      </c>
      <c r="E925">
        <f t="shared" si="70"/>
        <v>4</v>
      </c>
      <c r="F925">
        <f t="shared" si="71"/>
        <v>5</v>
      </c>
      <c r="G925">
        <f t="shared" si="72"/>
        <v>2</v>
      </c>
      <c r="H925" s="3" t="str">
        <f t="shared" si="73"/>
        <v>452</v>
      </c>
      <c r="I925" t="str">
        <f t="shared" si="74"/>
        <v>Potential Loyalist</v>
      </c>
    </row>
    <row r="926" spans="1:9" x14ac:dyDescent="0.25">
      <c r="A926" s="9" t="s">
        <v>1913</v>
      </c>
      <c r="B926" s="9">
        <v>703</v>
      </c>
      <c r="C926" s="9">
        <v>8</v>
      </c>
      <c r="D926" s="10">
        <v>81.180000000000007</v>
      </c>
      <c r="E926">
        <f t="shared" si="70"/>
        <v>2</v>
      </c>
      <c r="F926">
        <f t="shared" si="71"/>
        <v>4</v>
      </c>
      <c r="G926">
        <f t="shared" si="72"/>
        <v>1</v>
      </c>
      <c r="H926" s="3" t="str">
        <f t="shared" si="73"/>
        <v>241</v>
      </c>
      <c r="I926" t="str">
        <f t="shared" si="74"/>
        <v>About To Sleep</v>
      </c>
    </row>
    <row r="927" spans="1:9" x14ac:dyDescent="0.25">
      <c r="A927" s="9" t="s">
        <v>1915</v>
      </c>
      <c r="B927" s="9">
        <v>701</v>
      </c>
      <c r="C927" s="9">
        <v>8</v>
      </c>
      <c r="D927" s="10">
        <v>382.94</v>
      </c>
      <c r="E927">
        <f t="shared" si="70"/>
        <v>2</v>
      </c>
      <c r="F927">
        <f t="shared" si="71"/>
        <v>4</v>
      </c>
      <c r="G927">
        <f t="shared" si="72"/>
        <v>4</v>
      </c>
      <c r="H927" s="3" t="str">
        <f t="shared" si="73"/>
        <v>244</v>
      </c>
      <c r="I927" t="str">
        <f t="shared" si="74"/>
        <v>Loyal Customer</v>
      </c>
    </row>
    <row r="928" spans="1:9" x14ac:dyDescent="0.25">
      <c r="A928" s="9" t="s">
        <v>1917</v>
      </c>
      <c r="B928" s="9">
        <v>816</v>
      </c>
      <c r="C928" s="9">
        <v>7</v>
      </c>
      <c r="D928" s="10">
        <v>402.82</v>
      </c>
      <c r="E928">
        <f t="shared" si="70"/>
        <v>1</v>
      </c>
      <c r="F928">
        <f t="shared" si="71"/>
        <v>3</v>
      </c>
      <c r="G928">
        <f t="shared" si="72"/>
        <v>4</v>
      </c>
      <c r="H928" s="3" t="str">
        <f t="shared" si="73"/>
        <v>134</v>
      </c>
      <c r="I928" t="str">
        <f t="shared" si="74"/>
        <v>Big Spender</v>
      </c>
    </row>
    <row r="929" spans="1:9" x14ac:dyDescent="0.25">
      <c r="A929" s="9" t="s">
        <v>1919</v>
      </c>
      <c r="B929" s="9">
        <v>773</v>
      </c>
      <c r="C929" s="9">
        <v>2</v>
      </c>
      <c r="D929" s="10">
        <v>497.76</v>
      </c>
      <c r="E929">
        <f t="shared" si="70"/>
        <v>1</v>
      </c>
      <c r="F929">
        <f t="shared" si="71"/>
        <v>1</v>
      </c>
      <c r="G929">
        <f t="shared" si="72"/>
        <v>5</v>
      </c>
      <c r="H929" s="3" t="str">
        <f t="shared" si="73"/>
        <v>115</v>
      </c>
      <c r="I929" t="str">
        <f t="shared" si="74"/>
        <v>Big Spender</v>
      </c>
    </row>
    <row r="930" spans="1:9" x14ac:dyDescent="0.25">
      <c r="A930" s="9" t="s">
        <v>1921</v>
      </c>
      <c r="B930" s="9">
        <v>646</v>
      </c>
      <c r="C930" s="9">
        <v>5</v>
      </c>
      <c r="D930" s="10">
        <v>227.58</v>
      </c>
      <c r="E930">
        <f t="shared" si="70"/>
        <v>3</v>
      </c>
      <c r="F930">
        <f t="shared" si="71"/>
        <v>2</v>
      </c>
      <c r="G930">
        <f t="shared" si="72"/>
        <v>3</v>
      </c>
      <c r="H930" s="3" t="str">
        <f t="shared" si="73"/>
        <v>323</v>
      </c>
      <c r="I930" t="str">
        <f t="shared" si="74"/>
        <v>Others</v>
      </c>
    </row>
    <row r="931" spans="1:9" x14ac:dyDescent="0.25">
      <c r="A931" s="9" t="s">
        <v>1923</v>
      </c>
      <c r="B931" s="9">
        <v>515</v>
      </c>
      <c r="C931" s="9">
        <v>2</v>
      </c>
      <c r="D931" s="10">
        <v>263.57</v>
      </c>
      <c r="E931">
        <f t="shared" si="70"/>
        <v>5</v>
      </c>
      <c r="F931">
        <f t="shared" si="71"/>
        <v>1</v>
      </c>
      <c r="G931">
        <f t="shared" si="72"/>
        <v>3</v>
      </c>
      <c r="H931" s="3" t="str">
        <f t="shared" si="73"/>
        <v>513</v>
      </c>
      <c r="I931" t="str">
        <f t="shared" si="74"/>
        <v>Others</v>
      </c>
    </row>
    <row r="932" spans="1:9" x14ac:dyDescent="0.25">
      <c r="A932" s="9" t="s">
        <v>1925</v>
      </c>
      <c r="B932" s="9">
        <v>750</v>
      </c>
      <c r="C932" s="9">
        <v>3</v>
      </c>
      <c r="D932" s="10">
        <v>422.09</v>
      </c>
      <c r="E932">
        <f t="shared" si="70"/>
        <v>2</v>
      </c>
      <c r="F932">
        <f t="shared" si="71"/>
        <v>1</v>
      </c>
      <c r="G932">
        <f t="shared" si="72"/>
        <v>5</v>
      </c>
      <c r="H932" s="3" t="str">
        <f t="shared" si="73"/>
        <v>215</v>
      </c>
      <c r="I932" t="str">
        <f t="shared" si="74"/>
        <v>Big Spender</v>
      </c>
    </row>
    <row r="933" spans="1:9" x14ac:dyDescent="0.25">
      <c r="A933" s="9" t="s">
        <v>1927</v>
      </c>
      <c r="B933" s="9">
        <v>722</v>
      </c>
      <c r="C933" s="9">
        <v>2</v>
      </c>
      <c r="D933" s="10">
        <v>411.83</v>
      </c>
      <c r="E933">
        <f t="shared" si="70"/>
        <v>2</v>
      </c>
      <c r="F933">
        <f t="shared" si="71"/>
        <v>1</v>
      </c>
      <c r="G933">
        <f t="shared" si="72"/>
        <v>4</v>
      </c>
      <c r="H933" s="3" t="str">
        <f t="shared" si="73"/>
        <v>214</v>
      </c>
      <c r="I933" t="str">
        <f t="shared" si="74"/>
        <v>Big Spender</v>
      </c>
    </row>
    <row r="934" spans="1:9" x14ac:dyDescent="0.25">
      <c r="A934" s="9" t="s">
        <v>1929</v>
      </c>
      <c r="B934" s="9">
        <v>650</v>
      </c>
      <c r="C934" s="9">
        <v>3</v>
      </c>
      <c r="D934" s="10">
        <v>242.65</v>
      </c>
      <c r="E934">
        <f t="shared" si="70"/>
        <v>3</v>
      </c>
      <c r="F934">
        <f t="shared" si="71"/>
        <v>1</v>
      </c>
      <c r="G934">
        <f t="shared" si="72"/>
        <v>3</v>
      </c>
      <c r="H934" s="3" t="str">
        <f t="shared" si="73"/>
        <v>313</v>
      </c>
      <c r="I934" t="str">
        <f t="shared" si="74"/>
        <v>Others</v>
      </c>
    </row>
    <row r="935" spans="1:9" x14ac:dyDescent="0.25">
      <c r="A935" s="9" t="s">
        <v>1931</v>
      </c>
      <c r="B935" s="9">
        <v>575</v>
      </c>
      <c r="C935" s="9">
        <v>6</v>
      </c>
      <c r="D935" s="10">
        <v>298.93</v>
      </c>
      <c r="E935">
        <f t="shared" si="70"/>
        <v>4</v>
      </c>
      <c r="F935">
        <f t="shared" si="71"/>
        <v>3</v>
      </c>
      <c r="G935">
        <f t="shared" si="72"/>
        <v>3</v>
      </c>
      <c r="H935" s="3" t="str">
        <f t="shared" si="73"/>
        <v>433</v>
      </c>
      <c r="I935" t="str">
        <f t="shared" si="74"/>
        <v>Potential Loyalist</v>
      </c>
    </row>
    <row r="936" spans="1:9" x14ac:dyDescent="0.25">
      <c r="A936" s="9" t="s">
        <v>1933</v>
      </c>
      <c r="B936" s="9">
        <v>746</v>
      </c>
      <c r="C936" s="9">
        <v>7</v>
      </c>
      <c r="D936" s="10">
        <v>191.21</v>
      </c>
      <c r="E936">
        <f t="shared" si="70"/>
        <v>2</v>
      </c>
      <c r="F936">
        <f t="shared" si="71"/>
        <v>3</v>
      </c>
      <c r="G936">
        <f t="shared" si="72"/>
        <v>2</v>
      </c>
      <c r="H936" s="3" t="str">
        <f t="shared" si="73"/>
        <v>232</v>
      </c>
      <c r="I936" t="str">
        <f t="shared" si="74"/>
        <v>About To Sleep</v>
      </c>
    </row>
    <row r="937" spans="1:9" x14ac:dyDescent="0.25">
      <c r="A937" s="9" t="s">
        <v>1934</v>
      </c>
      <c r="B937" s="9">
        <v>669</v>
      </c>
      <c r="C937" s="9">
        <v>3</v>
      </c>
      <c r="D937" s="10">
        <v>136.66999999999999</v>
      </c>
      <c r="E937">
        <f t="shared" si="70"/>
        <v>3</v>
      </c>
      <c r="F937">
        <f t="shared" si="71"/>
        <v>1</v>
      </c>
      <c r="G937">
        <f t="shared" si="72"/>
        <v>1</v>
      </c>
      <c r="H937" s="3" t="str">
        <f t="shared" si="73"/>
        <v>311</v>
      </c>
      <c r="I937" t="str">
        <f t="shared" si="74"/>
        <v>Lost Customer</v>
      </c>
    </row>
    <row r="938" spans="1:9" x14ac:dyDescent="0.25">
      <c r="A938" s="9" t="s">
        <v>1936</v>
      </c>
      <c r="B938" s="9">
        <v>759</v>
      </c>
      <c r="C938" s="9">
        <v>11</v>
      </c>
      <c r="D938" s="10">
        <v>324.11</v>
      </c>
      <c r="E938">
        <f t="shared" si="70"/>
        <v>2</v>
      </c>
      <c r="F938">
        <f t="shared" si="71"/>
        <v>5</v>
      </c>
      <c r="G938">
        <f t="shared" si="72"/>
        <v>3</v>
      </c>
      <c r="H938" s="3" t="str">
        <f t="shared" si="73"/>
        <v>253</v>
      </c>
      <c r="I938" t="str">
        <f t="shared" si="74"/>
        <v>About To Sleep</v>
      </c>
    </row>
    <row r="939" spans="1:9" x14ac:dyDescent="0.25">
      <c r="A939" s="9" t="s">
        <v>1938</v>
      </c>
      <c r="B939" s="9">
        <v>744</v>
      </c>
      <c r="C939" s="9">
        <v>6</v>
      </c>
      <c r="D939" s="10">
        <v>105.64</v>
      </c>
      <c r="E939">
        <f t="shared" si="70"/>
        <v>2</v>
      </c>
      <c r="F939">
        <f t="shared" si="71"/>
        <v>3</v>
      </c>
      <c r="G939">
        <f t="shared" si="72"/>
        <v>1</v>
      </c>
      <c r="H939" s="3" t="str">
        <f t="shared" si="73"/>
        <v>231</v>
      </c>
      <c r="I939" t="str">
        <f t="shared" si="74"/>
        <v>About To Sleep</v>
      </c>
    </row>
    <row r="940" spans="1:9" x14ac:dyDescent="0.25">
      <c r="A940" s="9" t="s">
        <v>1940</v>
      </c>
      <c r="B940" s="9">
        <v>700</v>
      </c>
      <c r="C940" s="9">
        <v>10</v>
      </c>
      <c r="D940" s="10">
        <v>295.60000000000002</v>
      </c>
      <c r="E940">
        <f t="shared" si="70"/>
        <v>2</v>
      </c>
      <c r="F940">
        <f t="shared" si="71"/>
        <v>5</v>
      </c>
      <c r="G940">
        <f t="shared" si="72"/>
        <v>3</v>
      </c>
      <c r="H940" s="3" t="str">
        <f t="shared" si="73"/>
        <v>253</v>
      </c>
      <c r="I940" t="str">
        <f t="shared" si="74"/>
        <v>About To Sleep</v>
      </c>
    </row>
    <row r="941" spans="1:9" x14ac:dyDescent="0.25">
      <c r="A941" s="9" t="s">
        <v>1942</v>
      </c>
      <c r="B941" s="9">
        <v>741</v>
      </c>
      <c r="C941" s="9">
        <v>9</v>
      </c>
      <c r="D941" s="10">
        <v>227.03</v>
      </c>
      <c r="E941">
        <f t="shared" si="70"/>
        <v>2</v>
      </c>
      <c r="F941">
        <f t="shared" si="71"/>
        <v>4</v>
      </c>
      <c r="G941">
        <f t="shared" si="72"/>
        <v>2</v>
      </c>
      <c r="H941" s="3" t="str">
        <f t="shared" si="73"/>
        <v>242</v>
      </c>
      <c r="I941" t="str">
        <f t="shared" si="74"/>
        <v>About To Sleep</v>
      </c>
    </row>
    <row r="942" spans="1:9" x14ac:dyDescent="0.25">
      <c r="A942" s="9" t="s">
        <v>1944</v>
      </c>
      <c r="B942" s="9">
        <v>502</v>
      </c>
      <c r="C942" s="9">
        <v>10</v>
      </c>
      <c r="D942" s="10">
        <v>485.77</v>
      </c>
      <c r="E942">
        <f t="shared" si="70"/>
        <v>5</v>
      </c>
      <c r="F942">
        <f t="shared" si="71"/>
        <v>5</v>
      </c>
      <c r="G942">
        <f t="shared" si="72"/>
        <v>5</v>
      </c>
      <c r="H942" s="3" t="str">
        <f t="shared" si="73"/>
        <v>555</v>
      </c>
      <c r="I942" t="str">
        <f t="shared" si="74"/>
        <v>Champion</v>
      </c>
    </row>
    <row r="943" spans="1:9" x14ac:dyDescent="0.25">
      <c r="A943" s="9" t="s">
        <v>1946</v>
      </c>
      <c r="B943" s="9">
        <v>693</v>
      </c>
      <c r="C943" s="9">
        <v>4</v>
      </c>
      <c r="D943" s="10">
        <v>173.43</v>
      </c>
      <c r="E943">
        <f t="shared" si="70"/>
        <v>3</v>
      </c>
      <c r="F943">
        <f t="shared" si="71"/>
        <v>2</v>
      </c>
      <c r="G943">
        <f t="shared" si="72"/>
        <v>2</v>
      </c>
      <c r="H943" s="3" t="str">
        <f t="shared" si="73"/>
        <v>322</v>
      </c>
      <c r="I943" t="str">
        <f t="shared" si="74"/>
        <v>Lost Customer</v>
      </c>
    </row>
    <row r="944" spans="1:9" x14ac:dyDescent="0.25">
      <c r="A944" s="9" t="s">
        <v>1948</v>
      </c>
      <c r="B944" s="9">
        <v>658</v>
      </c>
      <c r="C944" s="9">
        <v>2</v>
      </c>
      <c r="D944" s="10">
        <v>462.96</v>
      </c>
      <c r="E944">
        <f t="shared" si="70"/>
        <v>3</v>
      </c>
      <c r="F944">
        <f t="shared" si="71"/>
        <v>1</v>
      </c>
      <c r="G944">
        <f t="shared" si="72"/>
        <v>5</v>
      </c>
      <c r="H944" s="3" t="str">
        <f t="shared" si="73"/>
        <v>315</v>
      </c>
      <c r="I944" t="str">
        <f t="shared" si="74"/>
        <v>Big Spender</v>
      </c>
    </row>
    <row r="945" spans="1:9" x14ac:dyDescent="0.25">
      <c r="A945" s="9" t="s">
        <v>1950</v>
      </c>
      <c r="B945" s="9">
        <v>613</v>
      </c>
      <c r="C945" s="9">
        <v>10</v>
      </c>
      <c r="D945" s="10">
        <v>203.13</v>
      </c>
      <c r="E945">
        <f t="shared" si="70"/>
        <v>4</v>
      </c>
      <c r="F945">
        <f t="shared" si="71"/>
        <v>5</v>
      </c>
      <c r="G945">
        <f t="shared" si="72"/>
        <v>2</v>
      </c>
      <c r="H945" s="3" t="str">
        <f t="shared" si="73"/>
        <v>452</v>
      </c>
      <c r="I945" t="str">
        <f t="shared" si="74"/>
        <v>Potential Loyalist</v>
      </c>
    </row>
    <row r="946" spans="1:9" x14ac:dyDescent="0.25">
      <c r="A946" s="9" t="s">
        <v>1952</v>
      </c>
      <c r="B946" s="9">
        <v>822</v>
      </c>
      <c r="C946" s="9">
        <v>9</v>
      </c>
      <c r="D946" s="10">
        <v>443.11</v>
      </c>
      <c r="E946">
        <f t="shared" si="70"/>
        <v>1</v>
      </c>
      <c r="F946">
        <f t="shared" si="71"/>
        <v>4</v>
      </c>
      <c r="G946">
        <f t="shared" si="72"/>
        <v>5</v>
      </c>
      <c r="H946" s="3" t="str">
        <f t="shared" si="73"/>
        <v>145</v>
      </c>
      <c r="I946" t="str">
        <f t="shared" si="74"/>
        <v>Loyal Customer</v>
      </c>
    </row>
    <row r="947" spans="1:9" x14ac:dyDescent="0.25">
      <c r="A947" s="9" t="s">
        <v>1954</v>
      </c>
      <c r="B947" s="9">
        <v>579</v>
      </c>
      <c r="C947" s="9">
        <v>2</v>
      </c>
      <c r="D947" s="10">
        <v>254.83</v>
      </c>
      <c r="E947">
        <f t="shared" si="70"/>
        <v>4</v>
      </c>
      <c r="F947">
        <f t="shared" si="71"/>
        <v>1</v>
      </c>
      <c r="G947">
        <f t="shared" si="72"/>
        <v>3</v>
      </c>
      <c r="H947" s="3" t="str">
        <f t="shared" si="73"/>
        <v>413</v>
      </c>
      <c r="I947" t="str">
        <f t="shared" si="74"/>
        <v>Others</v>
      </c>
    </row>
    <row r="948" spans="1:9" x14ac:dyDescent="0.25">
      <c r="A948" s="9" t="s">
        <v>1956</v>
      </c>
      <c r="B948" s="9">
        <v>672</v>
      </c>
      <c r="C948" s="9">
        <v>4</v>
      </c>
      <c r="D948" s="10">
        <v>336.89</v>
      </c>
      <c r="E948">
        <f t="shared" si="70"/>
        <v>3</v>
      </c>
      <c r="F948">
        <f t="shared" si="71"/>
        <v>2</v>
      </c>
      <c r="G948">
        <f t="shared" si="72"/>
        <v>4</v>
      </c>
      <c r="H948" s="3" t="str">
        <f t="shared" si="73"/>
        <v>324</v>
      </c>
      <c r="I948" t="str">
        <f t="shared" si="74"/>
        <v>Big Spender</v>
      </c>
    </row>
    <row r="949" spans="1:9" x14ac:dyDescent="0.25">
      <c r="A949" s="9" t="s">
        <v>1958</v>
      </c>
      <c r="B949" s="9">
        <v>633</v>
      </c>
      <c r="C949" s="9">
        <v>8</v>
      </c>
      <c r="D949" s="10">
        <v>337.17</v>
      </c>
      <c r="E949">
        <f t="shared" si="70"/>
        <v>3</v>
      </c>
      <c r="F949">
        <f t="shared" si="71"/>
        <v>4</v>
      </c>
      <c r="G949">
        <f t="shared" si="72"/>
        <v>4</v>
      </c>
      <c r="H949" s="3" t="str">
        <f t="shared" si="73"/>
        <v>344</v>
      </c>
      <c r="I949" t="str">
        <f t="shared" si="74"/>
        <v>Loyal Customer</v>
      </c>
    </row>
    <row r="950" spans="1:9" x14ac:dyDescent="0.25">
      <c r="A950" s="9" t="s">
        <v>1960</v>
      </c>
      <c r="B950" s="9">
        <v>770</v>
      </c>
      <c r="C950" s="9">
        <v>2</v>
      </c>
      <c r="D950" s="10">
        <v>429.24</v>
      </c>
      <c r="E950">
        <f t="shared" si="70"/>
        <v>1</v>
      </c>
      <c r="F950">
        <f t="shared" si="71"/>
        <v>1</v>
      </c>
      <c r="G950">
        <f t="shared" si="72"/>
        <v>5</v>
      </c>
      <c r="H950" s="3" t="str">
        <f t="shared" si="73"/>
        <v>115</v>
      </c>
      <c r="I950" t="str">
        <f t="shared" si="74"/>
        <v>Big Spender</v>
      </c>
    </row>
    <row r="951" spans="1:9" x14ac:dyDescent="0.25">
      <c r="A951" s="9" t="s">
        <v>1962</v>
      </c>
      <c r="B951" s="9">
        <v>570</v>
      </c>
      <c r="C951" s="9">
        <v>7</v>
      </c>
      <c r="D951" s="10">
        <v>197.7</v>
      </c>
      <c r="E951">
        <f t="shared" si="70"/>
        <v>4</v>
      </c>
      <c r="F951">
        <f t="shared" si="71"/>
        <v>3</v>
      </c>
      <c r="G951">
        <f t="shared" si="72"/>
        <v>2</v>
      </c>
      <c r="H951" s="3" t="str">
        <f t="shared" si="73"/>
        <v>432</v>
      </c>
      <c r="I951" t="str">
        <f t="shared" si="74"/>
        <v>Potential Loyalist</v>
      </c>
    </row>
    <row r="952" spans="1:9" x14ac:dyDescent="0.25">
      <c r="A952" s="9" t="s">
        <v>1964</v>
      </c>
      <c r="B952" s="9">
        <v>592</v>
      </c>
      <c r="C952" s="9">
        <v>2</v>
      </c>
      <c r="D952" s="10">
        <v>336.96</v>
      </c>
      <c r="E952">
        <f t="shared" si="70"/>
        <v>4</v>
      </c>
      <c r="F952">
        <f t="shared" si="71"/>
        <v>1</v>
      </c>
      <c r="G952">
        <f t="shared" si="72"/>
        <v>4</v>
      </c>
      <c r="H952" s="3" t="str">
        <f t="shared" si="73"/>
        <v>414</v>
      </c>
      <c r="I952" t="str">
        <f t="shared" si="74"/>
        <v>Big Spender</v>
      </c>
    </row>
    <row r="953" spans="1:9" x14ac:dyDescent="0.25">
      <c r="A953" s="9" t="s">
        <v>1966</v>
      </c>
      <c r="B953" s="9">
        <v>484</v>
      </c>
      <c r="C953" s="9">
        <v>11</v>
      </c>
      <c r="D953" s="10">
        <v>489.81</v>
      </c>
      <c r="E953">
        <f t="shared" si="70"/>
        <v>5</v>
      </c>
      <c r="F953">
        <f t="shared" si="71"/>
        <v>5</v>
      </c>
      <c r="G953">
        <f t="shared" si="72"/>
        <v>5</v>
      </c>
      <c r="H953" s="3" t="str">
        <f t="shared" si="73"/>
        <v>555</v>
      </c>
      <c r="I953" t="str">
        <f t="shared" si="74"/>
        <v>Champion</v>
      </c>
    </row>
    <row r="954" spans="1:9" x14ac:dyDescent="0.25">
      <c r="A954" s="9" t="s">
        <v>1968</v>
      </c>
      <c r="B954" s="9">
        <v>538</v>
      </c>
      <c r="C954" s="9">
        <v>8</v>
      </c>
      <c r="D954" s="10">
        <v>455.55</v>
      </c>
      <c r="E954">
        <f t="shared" si="70"/>
        <v>5</v>
      </c>
      <c r="F954">
        <f t="shared" si="71"/>
        <v>4</v>
      </c>
      <c r="G954">
        <f t="shared" si="72"/>
        <v>5</v>
      </c>
      <c r="H954" s="3" t="str">
        <f t="shared" si="73"/>
        <v>545</v>
      </c>
      <c r="I954" t="str">
        <f t="shared" si="74"/>
        <v>Champion</v>
      </c>
    </row>
    <row r="955" spans="1:9" x14ac:dyDescent="0.25">
      <c r="A955" s="9" t="s">
        <v>1970</v>
      </c>
      <c r="B955" s="9">
        <v>683</v>
      </c>
      <c r="C955" s="9">
        <v>3</v>
      </c>
      <c r="D955" s="10">
        <v>266.61</v>
      </c>
      <c r="E955">
        <f t="shared" si="70"/>
        <v>3</v>
      </c>
      <c r="F955">
        <f t="shared" si="71"/>
        <v>1</v>
      </c>
      <c r="G955">
        <f t="shared" si="72"/>
        <v>3</v>
      </c>
      <c r="H955" s="3" t="str">
        <f t="shared" si="73"/>
        <v>313</v>
      </c>
      <c r="I955" t="str">
        <f t="shared" si="74"/>
        <v>Others</v>
      </c>
    </row>
    <row r="956" spans="1:9" x14ac:dyDescent="0.25">
      <c r="A956" s="9" t="s">
        <v>1972</v>
      </c>
      <c r="B956" s="9">
        <v>738</v>
      </c>
      <c r="C956" s="9">
        <v>5</v>
      </c>
      <c r="D956" s="10">
        <v>460.88</v>
      </c>
      <c r="E956">
        <f t="shared" si="70"/>
        <v>2</v>
      </c>
      <c r="F956">
        <f t="shared" si="71"/>
        <v>2</v>
      </c>
      <c r="G956">
        <f t="shared" si="72"/>
        <v>5</v>
      </c>
      <c r="H956" s="3" t="str">
        <f t="shared" si="73"/>
        <v>225</v>
      </c>
      <c r="I956" t="str">
        <f t="shared" si="74"/>
        <v>Big Spender</v>
      </c>
    </row>
    <row r="957" spans="1:9" x14ac:dyDescent="0.25">
      <c r="A957" s="9" t="s">
        <v>1974</v>
      </c>
      <c r="B957" s="9">
        <v>485</v>
      </c>
      <c r="C957" s="9">
        <v>2</v>
      </c>
      <c r="D957" s="10">
        <v>361.4</v>
      </c>
      <c r="E957">
        <f t="shared" si="70"/>
        <v>5</v>
      </c>
      <c r="F957">
        <f t="shared" si="71"/>
        <v>1</v>
      </c>
      <c r="G957">
        <f t="shared" si="72"/>
        <v>4</v>
      </c>
      <c r="H957" s="3" t="str">
        <f t="shared" si="73"/>
        <v>514</v>
      </c>
      <c r="I957" t="str">
        <f t="shared" si="74"/>
        <v>Big Spender</v>
      </c>
    </row>
    <row r="958" spans="1:9" x14ac:dyDescent="0.25">
      <c r="A958" s="9" t="s">
        <v>1976</v>
      </c>
      <c r="B958" s="9">
        <v>481</v>
      </c>
      <c r="C958" s="9">
        <v>4</v>
      </c>
      <c r="D958" s="10">
        <v>51.86</v>
      </c>
      <c r="E958">
        <f t="shared" si="70"/>
        <v>5</v>
      </c>
      <c r="F958">
        <f t="shared" si="71"/>
        <v>2</v>
      </c>
      <c r="G958">
        <f t="shared" si="72"/>
        <v>1</v>
      </c>
      <c r="H958" s="3" t="str">
        <f t="shared" si="73"/>
        <v>521</v>
      </c>
      <c r="I958" t="str">
        <f t="shared" si="74"/>
        <v>Lost Customer</v>
      </c>
    </row>
    <row r="959" spans="1:9" x14ac:dyDescent="0.25">
      <c r="A959" s="9" t="s">
        <v>1978</v>
      </c>
      <c r="B959" s="9">
        <v>505</v>
      </c>
      <c r="C959" s="9">
        <v>5</v>
      </c>
      <c r="D959" s="10">
        <v>310.16000000000003</v>
      </c>
      <c r="E959">
        <f t="shared" si="70"/>
        <v>5</v>
      </c>
      <c r="F959">
        <f t="shared" si="71"/>
        <v>2</v>
      </c>
      <c r="G959">
        <f t="shared" si="72"/>
        <v>3</v>
      </c>
      <c r="H959" s="3" t="str">
        <f t="shared" si="73"/>
        <v>523</v>
      </c>
      <c r="I959" t="str">
        <f t="shared" si="74"/>
        <v>Others</v>
      </c>
    </row>
    <row r="960" spans="1:9" x14ac:dyDescent="0.25">
      <c r="A960" s="9" t="s">
        <v>1980</v>
      </c>
      <c r="B960" s="9">
        <v>750</v>
      </c>
      <c r="C960" s="9">
        <v>8</v>
      </c>
      <c r="D960" s="10">
        <v>300.73</v>
      </c>
      <c r="E960">
        <f t="shared" si="70"/>
        <v>2</v>
      </c>
      <c r="F960">
        <f t="shared" si="71"/>
        <v>4</v>
      </c>
      <c r="G960">
        <f t="shared" si="72"/>
        <v>3</v>
      </c>
      <c r="H960" s="3" t="str">
        <f t="shared" si="73"/>
        <v>243</v>
      </c>
      <c r="I960" t="str">
        <f t="shared" si="74"/>
        <v>About To Sleep</v>
      </c>
    </row>
    <row r="961" spans="1:9" x14ac:dyDescent="0.25">
      <c r="A961" s="9" t="s">
        <v>1982</v>
      </c>
      <c r="B961" s="9">
        <v>555</v>
      </c>
      <c r="C961" s="9">
        <v>12</v>
      </c>
      <c r="D961" s="10">
        <v>356.87</v>
      </c>
      <c r="E961">
        <f t="shared" si="70"/>
        <v>5</v>
      </c>
      <c r="F961">
        <f t="shared" si="71"/>
        <v>5</v>
      </c>
      <c r="G961">
        <f t="shared" si="72"/>
        <v>4</v>
      </c>
      <c r="H961" s="3" t="str">
        <f t="shared" si="73"/>
        <v>554</v>
      </c>
      <c r="I961" t="str">
        <f t="shared" si="74"/>
        <v>Champion</v>
      </c>
    </row>
    <row r="962" spans="1:9" x14ac:dyDescent="0.25">
      <c r="A962" s="9" t="s">
        <v>1984</v>
      </c>
      <c r="B962" s="9">
        <v>481</v>
      </c>
      <c r="C962" s="9">
        <v>6</v>
      </c>
      <c r="D962" s="10">
        <v>82.37</v>
      </c>
      <c r="E962">
        <f t="shared" si="70"/>
        <v>5</v>
      </c>
      <c r="F962">
        <f t="shared" si="71"/>
        <v>3</v>
      </c>
      <c r="G962">
        <f t="shared" si="72"/>
        <v>1</v>
      </c>
      <c r="H962" s="3" t="str">
        <f t="shared" si="73"/>
        <v>531</v>
      </c>
      <c r="I962" t="str">
        <f t="shared" si="74"/>
        <v>Potential Loyalist</v>
      </c>
    </row>
    <row r="963" spans="1:9" x14ac:dyDescent="0.25">
      <c r="A963" s="9" t="s">
        <v>1986</v>
      </c>
      <c r="B963" s="9">
        <v>830</v>
      </c>
      <c r="C963" s="9">
        <v>3</v>
      </c>
      <c r="D963" s="10">
        <v>372.6</v>
      </c>
      <c r="E963">
        <f t="shared" ref="E963:E1001" si="75">IF(B963 &lt;= _xlfn.PERCENTILE.INC($B$2:$B$1001, 0.2), 5,
 IF(B963 &lt;= _xlfn.PERCENTILE.INC($B$2:$B$1001, 0.4), 4,
 IF(B963 &lt;= _xlfn.PERCENTILE.INC($B$2:$B$1001, 0.6), 3,
 IF(B963 &lt;= _xlfn.PERCENTILE.INC($B$2:$B$1001, 0.8), 2, 1))))</f>
        <v>1</v>
      </c>
      <c r="F963">
        <f t="shared" ref="F963:F1001" si="76">IF(C963 &gt;= _xlfn.PERCENTILE.INC($C$2:$C$1001, 0.8), 5,
 IF(C963 &gt;= _xlfn.PERCENTILE.INC($C$2:$C$1001, 0.6), 4,
 IF(C963 &gt;= _xlfn.PERCENTILE.INC($C$2:$C$1001, 0.4), 3,
 IF(C963 &gt;= _xlfn.PERCENTILE.INC($C$2:$C$1001, 0.2), 2, 1))))</f>
        <v>1</v>
      </c>
      <c r="G963">
        <f t="shared" ref="G963:G1001" si="77">IF(D963 &gt;= _xlfn.PERCENTILE.INC($D$2:$D$1001, 0.8), 5,
 IF(D963 &gt;= _xlfn.PERCENTILE.INC($D$2:$D$1001, 0.6), 4,
 IF(D963 &gt;= _xlfn.PERCENTILE.INC($D$2:$D$1001, 0.4), 3,
 IF(D963 &gt;= _xlfn.PERCENTILE.INC($D$2:$D$1001, 0.2), 2, 1))))</f>
        <v>4</v>
      </c>
      <c r="H963" s="3" t="str">
        <f t="shared" ref="H963:H1001" si="78">TEXT(E963,"0") &amp; TEXT(F963,"0") &amp; TEXT(G963,"0")</f>
        <v>114</v>
      </c>
      <c r="I963" t="str">
        <f t="shared" ref="I963:I1001" si="79">IF(AND(E963&gt;=4, F963&gt;=4, G963&gt;=4), "Champion",
 IF(AND(F963&gt;=4, G963&gt;=4), "Loyal Customer",
 IF(AND(E963&gt;=4, F963&gt;=3), "Potential Loyalist",
 IF(G963&gt;=4, "Big Spender",
 IF(AND(E963&lt;=2, F963&lt;=2), "At Risk",
 IF(E963&lt;=2, "About To Sleep",
 IF(AND(F963&lt;=2, G963&lt;=2), "Lost Customer", "Others")))))))</f>
        <v>Big Spender</v>
      </c>
    </row>
    <row r="964" spans="1:9" x14ac:dyDescent="0.25">
      <c r="A964" s="9" t="s">
        <v>1987</v>
      </c>
      <c r="B964" s="9">
        <v>630</v>
      </c>
      <c r="C964" s="9">
        <v>9</v>
      </c>
      <c r="D964" s="10">
        <v>78.319999999999993</v>
      </c>
      <c r="E964">
        <f t="shared" si="75"/>
        <v>3</v>
      </c>
      <c r="F964">
        <f t="shared" si="76"/>
        <v>4</v>
      </c>
      <c r="G964">
        <f t="shared" si="77"/>
        <v>1</v>
      </c>
      <c r="H964" s="3" t="str">
        <f t="shared" si="78"/>
        <v>341</v>
      </c>
      <c r="I964" t="str">
        <f t="shared" si="79"/>
        <v>Others</v>
      </c>
    </row>
    <row r="965" spans="1:9" x14ac:dyDescent="0.25">
      <c r="A965" s="9" t="s">
        <v>1989</v>
      </c>
      <c r="B965" s="9">
        <v>830</v>
      </c>
      <c r="C965" s="9">
        <v>12</v>
      </c>
      <c r="D965" s="10">
        <v>71.72</v>
      </c>
      <c r="E965">
        <f t="shared" si="75"/>
        <v>1</v>
      </c>
      <c r="F965">
        <f t="shared" si="76"/>
        <v>5</v>
      </c>
      <c r="G965">
        <f t="shared" si="77"/>
        <v>1</v>
      </c>
      <c r="H965" s="3" t="str">
        <f t="shared" si="78"/>
        <v>151</v>
      </c>
      <c r="I965" t="str">
        <f t="shared" si="79"/>
        <v>About To Sleep</v>
      </c>
    </row>
    <row r="966" spans="1:9" x14ac:dyDescent="0.25">
      <c r="A966" s="9" t="s">
        <v>1991</v>
      </c>
      <c r="B966" s="9">
        <v>629</v>
      </c>
      <c r="C966" s="9">
        <v>12</v>
      </c>
      <c r="D966" s="10">
        <v>241.1</v>
      </c>
      <c r="E966">
        <f t="shared" si="75"/>
        <v>3</v>
      </c>
      <c r="F966">
        <f t="shared" si="76"/>
        <v>5</v>
      </c>
      <c r="G966">
        <f t="shared" si="77"/>
        <v>3</v>
      </c>
      <c r="H966" s="3" t="str">
        <f t="shared" si="78"/>
        <v>353</v>
      </c>
      <c r="I966" t="str">
        <f t="shared" si="79"/>
        <v>Others</v>
      </c>
    </row>
    <row r="967" spans="1:9" x14ac:dyDescent="0.25">
      <c r="A967" s="9" t="s">
        <v>1993</v>
      </c>
      <c r="B967" s="9">
        <v>631</v>
      </c>
      <c r="C967" s="9">
        <v>9</v>
      </c>
      <c r="D967" s="10">
        <v>96.86</v>
      </c>
      <c r="E967">
        <f t="shared" si="75"/>
        <v>3</v>
      </c>
      <c r="F967">
        <f t="shared" si="76"/>
        <v>4</v>
      </c>
      <c r="G967">
        <f t="shared" si="77"/>
        <v>1</v>
      </c>
      <c r="H967" s="3" t="str">
        <f t="shared" si="78"/>
        <v>341</v>
      </c>
      <c r="I967" t="str">
        <f t="shared" si="79"/>
        <v>Others</v>
      </c>
    </row>
    <row r="968" spans="1:9" x14ac:dyDescent="0.25">
      <c r="A968" s="9" t="s">
        <v>1995</v>
      </c>
      <c r="B968" s="9">
        <v>525</v>
      </c>
      <c r="C968" s="9">
        <v>11</v>
      </c>
      <c r="D968" s="10">
        <v>276.25</v>
      </c>
      <c r="E968">
        <f t="shared" si="75"/>
        <v>5</v>
      </c>
      <c r="F968">
        <f t="shared" si="76"/>
        <v>5</v>
      </c>
      <c r="G968">
        <f t="shared" si="77"/>
        <v>3</v>
      </c>
      <c r="H968" s="3" t="str">
        <f t="shared" si="78"/>
        <v>553</v>
      </c>
      <c r="I968" t="str">
        <f t="shared" si="79"/>
        <v>Potential Loyalist</v>
      </c>
    </row>
    <row r="969" spans="1:9" x14ac:dyDescent="0.25">
      <c r="A969" s="9" t="s">
        <v>1997</v>
      </c>
      <c r="B969" s="9">
        <v>542</v>
      </c>
      <c r="C969" s="9">
        <v>10</v>
      </c>
      <c r="D969" s="10">
        <v>318.45</v>
      </c>
      <c r="E969">
        <f t="shared" si="75"/>
        <v>5</v>
      </c>
      <c r="F969">
        <f t="shared" si="76"/>
        <v>5</v>
      </c>
      <c r="G969">
        <f t="shared" si="77"/>
        <v>3</v>
      </c>
      <c r="H969" s="3" t="str">
        <f t="shared" si="78"/>
        <v>553</v>
      </c>
      <c r="I969" t="str">
        <f t="shared" si="79"/>
        <v>Potential Loyalist</v>
      </c>
    </row>
    <row r="970" spans="1:9" x14ac:dyDescent="0.25">
      <c r="A970" s="9" t="s">
        <v>1999</v>
      </c>
      <c r="B970" s="9">
        <v>577</v>
      </c>
      <c r="C970" s="9">
        <v>6</v>
      </c>
      <c r="D970" s="10">
        <v>117.03</v>
      </c>
      <c r="E970">
        <f t="shared" si="75"/>
        <v>4</v>
      </c>
      <c r="F970">
        <f t="shared" si="76"/>
        <v>3</v>
      </c>
      <c r="G970">
        <f t="shared" si="77"/>
        <v>1</v>
      </c>
      <c r="H970" s="3" t="str">
        <f t="shared" si="78"/>
        <v>431</v>
      </c>
      <c r="I970" t="str">
        <f t="shared" si="79"/>
        <v>Potential Loyalist</v>
      </c>
    </row>
    <row r="971" spans="1:9" x14ac:dyDescent="0.25">
      <c r="A971" s="9" t="s">
        <v>2001</v>
      </c>
      <c r="B971" s="9">
        <v>545</v>
      </c>
      <c r="C971" s="9">
        <v>7</v>
      </c>
      <c r="D971" s="10">
        <v>490.41</v>
      </c>
      <c r="E971">
        <f t="shared" si="75"/>
        <v>5</v>
      </c>
      <c r="F971">
        <f t="shared" si="76"/>
        <v>3</v>
      </c>
      <c r="G971">
        <f t="shared" si="77"/>
        <v>5</v>
      </c>
      <c r="H971" s="3" t="str">
        <f t="shared" si="78"/>
        <v>535</v>
      </c>
      <c r="I971" t="str">
        <f t="shared" si="79"/>
        <v>Potential Loyalist</v>
      </c>
    </row>
    <row r="972" spans="1:9" x14ac:dyDescent="0.25">
      <c r="A972" s="9" t="s">
        <v>2003</v>
      </c>
      <c r="B972" s="9">
        <v>588</v>
      </c>
      <c r="C972" s="9">
        <v>7</v>
      </c>
      <c r="D972" s="10">
        <v>476.42</v>
      </c>
      <c r="E972">
        <f t="shared" si="75"/>
        <v>4</v>
      </c>
      <c r="F972">
        <f t="shared" si="76"/>
        <v>3</v>
      </c>
      <c r="G972">
        <f t="shared" si="77"/>
        <v>5</v>
      </c>
      <c r="H972" s="3" t="str">
        <f t="shared" si="78"/>
        <v>435</v>
      </c>
      <c r="I972" t="str">
        <f t="shared" si="79"/>
        <v>Potential Loyalist</v>
      </c>
    </row>
    <row r="973" spans="1:9" x14ac:dyDescent="0.25">
      <c r="A973" s="9" t="s">
        <v>2005</v>
      </c>
      <c r="B973" s="9">
        <v>642</v>
      </c>
      <c r="C973" s="9">
        <v>5</v>
      </c>
      <c r="D973" s="10">
        <v>392.27</v>
      </c>
      <c r="E973">
        <f t="shared" si="75"/>
        <v>3</v>
      </c>
      <c r="F973">
        <f t="shared" si="76"/>
        <v>2</v>
      </c>
      <c r="G973">
        <f t="shared" si="77"/>
        <v>4</v>
      </c>
      <c r="H973" s="3" t="str">
        <f t="shared" si="78"/>
        <v>324</v>
      </c>
      <c r="I973" t="str">
        <f t="shared" si="79"/>
        <v>Big Spender</v>
      </c>
    </row>
    <row r="974" spans="1:9" x14ac:dyDescent="0.25">
      <c r="A974" s="9" t="s">
        <v>2007</v>
      </c>
      <c r="B974" s="9">
        <v>708</v>
      </c>
      <c r="C974" s="9">
        <v>9</v>
      </c>
      <c r="D974" s="10">
        <v>207.24</v>
      </c>
      <c r="E974">
        <f t="shared" si="75"/>
        <v>2</v>
      </c>
      <c r="F974">
        <f t="shared" si="76"/>
        <v>4</v>
      </c>
      <c r="G974">
        <f t="shared" si="77"/>
        <v>2</v>
      </c>
      <c r="H974" s="3" t="str">
        <f t="shared" si="78"/>
        <v>242</v>
      </c>
      <c r="I974" t="str">
        <f t="shared" si="79"/>
        <v>About To Sleep</v>
      </c>
    </row>
    <row r="975" spans="1:9" x14ac:dyDescent="0.25">
      <c r="A975" s="9" t="s">
        <v>2009</v>
      </c>
      <c r="B975" s="9">
        <v>556</v>
      </c>
      <c r="C975" s="9">
        <v>3</v>
      </c>
      <c r="D975" s="10">
        <v>141.63</v>
      </c>
      <c r="E975">
        <f t="shared" si="75"/>
        <v>5</v>
      </c>
      <c r="F975">
        <f t="shared" si="76"/>
        <v>1</v>
      </c>
      <c r="G975">
        <f t="shared" si="77"/>
        <v>2</v>
      </c>
      <c r="H975" s="3" t="str">
        <f t="shared" si="78"/>
        <v>512</v>
      </c>
      <c r="I975" t="str">
        <f t="shared" si="79"/>
        <v>Lost Customer</v>
      </c>
    </row>
    <row r="976" spans="1:9" x14ac:dyDescent="0.25">
      <c r="A976" s="9" t="s">
        <v>2011</v>
      </c>
      <c r="B976" s="9">
        <v>666</v>
      </c>
      <c r="C976" s="9">
        <v>5</v>
      </c>
      <c r="D976" s="10">
        <v>244.47</v>
      </c>
      <c r="E976">
        <f t="shared" si="75"/>
        <v>3</v>
      </c>
      <c r="F976">
        <f t="shared" si="76"/>
        <v>2</v>
      </c>
      <c r="G976">
        <f t="shared" si="77"/>
        <v>3</v>
      </c>
      <c r="H976" s="3" t="str">
        <f t="shared" si="78"/>
        <v>323</v>
      </c>
      <c r="I976" t="str">
        <f t="shared" si="79"/>
        <v>Others</v>
      </c>
    </row>
    <row r="977" spans="1:9" x14ac:dyDescent="0.25">
      <c r="A977" s="9" t="s">
        <v>2013</v>
      </c>
      <c r="B977" s="9">
        <v>605</v>
      </c>
      <c r="C977" s="9">
        <v>9</v>
      </c>
      <c r="D977" s="10">
        <v>251.63</v>
      </c>
      <c r="E977">
        <f t="shared" si="75"/>
        <v>4</v>
      </c>
      <c r="F977">
        <f t="shared" si="76"/>
        <v>4</v>
      </c>
      <c r="G977">
        <f t="shared" si="77"/>
        <v>3</v>
      </c>
      <c r="H977" s="3" t="str">
        <f t="shared" si="78"/>
        <v>443</v>
      </c>
      <c r="I977" t="str">
        <f t="shared" si="79"/>
        <v>Potential Loyalist</v>
      </c>
    </row>
    <row r="978" spans="1:9" x14ac:dyDescent="0.25">
      <c r="A978" s="9" t="s">
        <v>2015</v>
      </c>
      <c r="B978" s="9">
        <v>795</v>
      </c>
      <c r="C978" s="9">
        <v>12</v>
      </c>
      <c r="D978" s="10">
        <v>431.78</v>
      </c>
      <c r="E978">
        <f t="shared" si="75"/>
        <v>1</v>
      </c>
      <c r="F978">
        <f t="shared" si="76"/>
        <v>5</v>
      </c>
      <c r="G978">
        <f t="shared" si="77"/>
        <v>5</v>
      </c>
      <c r="H978" s="3" t="str">
        <f t="shared" si="78"/>
        <v>155</v>
      </c>
      <c r="I978" t="str">
        <f t="shared" si="79"/>
        <v>Loyal Customer</v>
      </c>
    </row>
    <row r="979" spans="1:9" x14ac:dyDescent="0.25">
      <c r="A979" s="9" t="s">
        <v>2017</v>
      </c>
      <c r="B979" s="9">
        <v>831</v>
      </c>
      <c r="C979" s="9">
        <v>2</v>
      </c>
      <c r="D979" s="10">
        <v>303.08999999999997</v>
      </c>
      <c r="E979">
        <f t="shared" si="75"/>
        <v>1</v>
      </c>
      <c r="F979">
        <f t="shared" si="76"/>
        <v>1</v>
      </c>
      <c r="G979">
        <f t="shared" si="77"/>
        <v>3</v>
      </c>
      <c r="H979" s="3" t="str">
        <f t="shared" si="78"/>
        <v>113</v>
      </c>
      <c r="I979" t="str">
        <f t="shared" si="79"/>
        <v>At Risk</v>
      </c>
    </row>
    <row r="980" spans="1:9" x14ac:dyDescent="0.25">
      <c r="A980" s="9" t="s">
        <v>2019</v>
      </c>
      <c r="B980" s="9">
        <v>518</v>
      </c>
      <c r="C980" s="9">
        <v>9</v>
      </c>
      <c r="D980" s="10">
        <v>341.24</v>
      </c>
      <c r="E980">
        <f t="shared" si="75"/>
        <v>5</v>
      </c>
      <c r="F980">
        <f t="shared" si="76"/>
        <v>4</v>
      </c>
      <c r="G980">
        <f t="shared" si="77"/>
        <v>4</v>
      </c>
      <c r="H980" s="3" t="str">
        <f t="shared" si="78"/>
        <v>544</v>
      </c>
      <c r="I980" t="str">
        <f t="shared" si="79"/>
        <v>Champion</v>
      </c>
    </row>
    <row r="981" spans="1:9" x14ac:dyDescent="0.25">
      <c r="A981" s="9" t="s">
        <v>2021</v>
      </c>
      <c r="B981" s="9">
        <v>710</v>
      </c>
      <c r="C981" s="9">
        <v>10</v>
      </c>
      <c r="D981" s="10">
        <v>211.39</v>
      </c>
      <c r="E981">
        <f t="shared" si="75"/>
        <v>2</v>
      </c>
      <c r="F981">
        <f t="shared" si="76"/>
        <v>5</v>
      </c>
      <c r="G981">
        <f t="shared" si="77"/>
        <v>2</v>
      </c>
      <c r="H981" s="3" t="str">
        <f t="shared" si="78"/>
        <v>252</v>
      </c>
      <c r="I981" t="str">
        <f t="shared" si="79"/>
        <v>About To Sleep</v>
      </c>
    </row>
    <row r="982" spans="1:9" x14ac:dyDescent="0.25">
      <c r="A982" s="9" t="s">
        <v>2023</v>
      </c>
      <c r="B982" s="9">
        <v>579</v>
      </c>
      <c r="C982" s="9">
        <v>9</v>
      </c>
      <c r="D982" s="10">
        <v>379.21</v>
      </c>
      <c r="E982">
        <f t="shared" si="75"/>
        <v>4</v>
      </c>
      <c r="F982">
        <f t="shared" si="76"/>
        <v>4</v>
      </c>
      <c r="G982">
        <f t="shared" si="77"/>
        <v>4</v>
      </c>
      <c r="H982" s="3" t="str">
        <f t="shared" si="78"/>
        <v>444</v>
      </c>
      <c r="I982" t="str">
        <f t="shared" si="79"/>
        <v>Champion</v>
      </c>
    </row>
    <row r="983" spans="1:9" x14ac:dyDescent="0.25">
      <c r="A983" s="9" t="s">
        <v>2024</v>
      </c>
      <c r="B983" s="9">
        <v>736</v>
      </c>
      <c r="C983" s="9">
        <v>8</v>
      </c>
      <c r="D983" s="10">
        <v>309.52999999999997</v>
      </c>
      <c r="E983">
        <f t="shared" si="75"/>
        <v>2</v>
      </c>
      <c r="F983">
        <f t="shared" si="76"/>
        <v>4</v>
      </c>
      <c r="G983">
        <f t="shared" si="77"/>
        <v>3</v>
      </c>
      <c r="H983" s="3" t="str">
        <f t="shared" si="78"/>
        <v>243</v>
      </c>
      <c r="I983" t="str">
        <f t="shared" si="79"/>
        <v>About To Sleep</v>
      </c>
    </row>
    <row r="984" spans="1:9" x14ac:dyDescent="0.25">
      <c r="A984" s="9" t="s">
        <v>2026</v>
      </c>
      <c r="B984" s="9">
        <v>775</v>
      </c>
      <c r="C984" s="9">
        <v>6</v>
      </c>
      <c r="D984" s="10">
        <v>359.45</v>
      </c>
      <c r="E984">
        <f t="shared" si="75"/>
        <v>1</v>
      </c>
      <c r="F984">
        <f t="shared" si="76"/>
        <v>3</v>
      </c>
      <c r="G984">
        <f t="shared" si="77"/>
        <v>4</v>
      </c>
      <c r="H984" s="3" t="str">
        <f t="shared" si="78"/>
        <v>134</v>
      </c>
      <c r="I984" t="str">
        <f t="shared" si="79"/>
        <v>Big Spender</v>
      </c>
    </row>
    <row r="985" spans="1:9" x14ac:dyDescent="0.25">
      <c r="A985" s="9" t="s">
        <v>2028</v>
      </c>
      <c r="B985" s="9">
        <v>731</v>
      </c>
      <c r="C985" s="9">
        <v>8</v>
      </c>
      <c r="D985" s="10">
        <v>479.62</v>
      </c>
      <c r="E985">
        <f t="shared" si="75"/>
        <v>2</v>
      </c>
      <c r="F985">
        <f t="shared" si="76"/>
        <v>4</v>
      </c>
      <c r="G985">
        <f t="shared" si="77"/>
        <v>5</v>
      </c>
      <c r="H985" s="3" t="str">
        <f t="shared" si="78"/>
        <v>245</v>
      </c>
      <c r="I985" t="str">
        <f t="shared" si="79"/>
        <v>Loyal Customer</v>
      </c>
    </row>
    <row r="986" spans="1:9" x14ac:dyDescent="0.25">
      <c r="A986" s="9" t="s">
        <v>2030</v>
      </c>
      <c r="B986" s="9">
        <v>781</v>
      </c>
      <c r="C986" s="9">
        <v>2</v>
      </c>
      <c r="D986" s="10">
        <v>208.6</v>
      </c>
      <c r="E986">
        <f t="shared" si="75"/>
        <v>1</v>
      </c>
      <c r="F986">
        <f t="shared" si="76"/>
        <v>1</v>
      </c>
      <c r="G986">
        <f t="shared" si="77"/>
        <v>2</v>
      </c>
      <c r="H986" s="3" t="str">
        <f t="shared" si="78"/>
        <v>112</v>
      </c>
      <c r="I986" t="str">
        <f t="shared" si="79"/>
        <v>At Risk</v>
      </c>
    </row>
    <row r="987" spans="1:9" x14ac:dyDescent="0.25">
      <c r="A987" s="9" t="s">
        <v>2032</v>
      </c>
      <c r="B987" s="9">
        <v>819</v>
      </c>
      <c r="C987" s="9">
        <v>2</v>
      </c>
      <c r="D987" s="10">
        <v>180.21</v>
      </c>
      <c r="E987">
        <f t="shared" si="75"/>
        <v>1</v>
      </c>
      <c r="F987">
        <f t="shared" si="76"/>
        <v>1</v>
      </c>
      <c r="G987">
        <f t="shared" si="77"/>
        <v>2</v>
      </c>
      <c r="H987" s="3" t="str">
        <f t="shared" si="78"/>
        <v>112</v>
      </c>
      <c r="I987" t="str">
        <f t="shared" si="79"/>
        <v>At Risk</v>
      </c>
    </row>
    <row r="988" spans="1:9" x14ac:dyDescent="0.25">
      <c r="A988" s="9" t="s">
        <v>2034</v>
      </c>
      <c r="B988" s="9">
        <v>823</v>
      </c>
      <c r="C988" s="9">
        <v>3</v>
      </c>
      <c r="D988" s="10">
        <v>197.9</v>
      </c>
      <c r="E988">
        <f t="shared" si="75"/>
        <v>1</v>
      </c>
      <c r="F988">
        <f t="shared" si="76"/>
        <v>1</v>
      </c>
      <c r="G988">
        <f t="shared" si="77"/>
        <v>2</v>
      </c>
      <c r="H988" s="3" t="str">
        <f t="shared" si="78"/>
        <v>112</v>
      </c>
      <c r="I988" t="str">
        <f t="shared" si="79"/>
        <v>At Risk</v>
      </c>
    </row>
    <row r="989" spans="1:9" x14ac:dyDescent="0.25">
      <c r="A989" s="9" t="s">
        <v>2036</v>
      </c>
      <c r="B989" s="9">
        <v>567</v>
      </c>
      <c r="C989" s="9">
        <v>7</v>
      </c>
      <c r="D989" s="10">
        <v>362.3</v>
      </c>
      <c r="E989">
        <f t="shared" si="75"/>
        <v>4</v>
      </c>
      <c r="F989">
        <f t="shared" si="76"/>
        <v>3</v>
      </c>
      <c r="G989">
        <f t="shared" si="77"/>
        <v>4</v>
      </c>
      <c r="H989" s="3" t="str">
        <f t="shared" si="78"/>
        <v>434</v>
      </c>
      <c r="I989" t="str">
        <f t="shared" si="79"/>
        <v>Potential Loyalist</v>
      </c>
    </row>
    <row r="990" spans="1:9" x14ac:dyDescent="0.25">
      <c r="A990" s="9" t="s">
        <v>2038</v>
      </c>
      <c r="B990" s="9">
        <v>723</v>
      </c>
      <c r="C990" s="9">
        <v>11</v>
      </c>
      <c r="D990" s="10">
        <v>159.53</v>
      </c>
      <c r="E990">
        <f t="shared" si="75"/>
        <v>2</v>
      </c>
      <c r="F990">
        <f t="shared" si="76"/>
        <v>5</v>
      </c>
      <c r="G990">
        <f t="shared" si="77"/>
        <v>2</v>
      </c>
      <c r="H990" s="3" t="str">
        <f t="shared" si="78"/>
        <v>252</v>
      </c>
      <c r="I990" t="str">
        <f t="shared" si="79"/>
        <v>About To Sleep</v>
      </c>
    </row>
    <row r="991" spans="1:9" x14ac:dyDescent="0.25">
      <c r="A991" s="9" t="s">
        <v>2040</v>
      </c>
      <c r="B991" s="9">
        <v>771</v>
      </c>
      <c r="C991" s="9">
        <v>9</v>
      </c>
      <c r="D991" s="10">
        <v>149.52000000000001</v>
      </c>
      <c r="E991">
        <f t="shared" si="75"/>
        <v>1</v>
      </c>
      <c r="F991">
        <f t="shared" si="76"/>
        <v>4</v>
      </c>
      <c r="G991">
        <f t="shared" si="77"/>
        <v>2</v>
      </c>
      <c r="H991" s="3" t="str">
        <f t="shared" si="78"/>
        <v>142</v>
      </c>
      <c r="I991" t="str">
        <f t="shared" si="79"/>
        <v>About To Sleep</v>
      </c>
    </row>
    <row r="992" spans="1:9" x14ac:dyDescent="0.25">
      <c r="A992" s="9" t="s">
        <v>2042</v>
      </c>
      <c r="B992" s="9">
        <v>555</v>
      </c>
      <c r="C992" s="9">
        <v>5</v>
      </c>
      <c r="D992" s="10">
        <v>206.32</v>
      </c>
      <c r="E992">
        <f t="shared" si="75"/>
        <v>5</v>
      </c>
      <c r="F992">
        <f t="shared" si="76"/>
        <v>2</v>
      </c>
      <c r="G992">
        <f t="shared" si="77"/>
        <v>2</v>
      </c>
      <c r="H992" s="3" t="str">
        <f t="shared" si="78"/>
        <v>522</v>
      </c>
      <c r="I992" t="str">
        <f t="shared" si="79"/>
        <v>Lost Customer</v>
      </c>
    </row>
    <row r="993" spans="1:9" x14ac:dyDescent="0.25">
      <c r="A993" s="9" t="s">
        <v>2044</v>
      </c>
      <c r="B993" s="9">
        <v>699</v>
      </c>
      <c r="C993" s="9">
        <v>11</v>
      </c>
      <c r="D993" s="10">
        <v>308.58</v>
      </c>
      <c r="E993">
        <f t="shared" si="75"/>
        <v>2</v>
      </c>
      <c r="F993">
        <f t="shared" si="76"/>
        <v>5</v>
      </c>
      <c r="G993">
        <f t="shared" si="77"/>
        <v>3</v>
      </c>
      <c r="H993" s="3" t="str">
        <f t="shared" si="78"/>
        <v>253</v>
      </c>
      <c r="I993" t="str">
        <f t="shared" si="79"/>
        <v>About To Sleep</v>
      </c>
    </row>
    <row r="994" spans="1:9" x14ac:dyDescent="0.25">
      <c r="A994" s="9" t="s">
        <v>2046</v>
      </c>
      <c r="B994" s="9">
        <v>831</v>
      </c>
      <c r="C994" s="9">
        <v>5</v>
      </c>
      <c r="D994" s="10">
        <v>91.34</v>
      </c>
      <c r="E994">
        <f t="shared" si="75"/>
        <v>1</v>
      </c>
      <c r="F994">
        <f t="shared" si="76"/>
        <v>2</v>
      </c>
      <c r="G994">
        <f t="shared" si="77"/>
        <v>1</v>
      </c>
      <c r="H994" s="3" t="str">
        <f t="shared" si="78"/>
        <v>121</v>
      </c>
      <c r="I994" t="str">
        <f t="shared" si="79"/>
        <v>At Risk</v>
      </c>
    </row>
    <row r="995" spans="1:9" x14ac:dyDescent="0.25">
      <c r="A995" s="9" t="s">
        <v>2048</v>
      </c>
      <c r="B995" s="9">
        <v>713</v>
      </c>
      <c r="C995" s="9">
        <v>7</v>
      </c>
      <c r="D995" s="10">
        <v>455.44</v>
      </c>
      <c r="E995">
        <f t="shared" si="75"/>
        <v>2</v>
      </c>
      <c r="F995">
        <f t="shared" si="76"/>
        <v>3</v>
      </c>
      <c r="G995">
        <f t="shared" si="77"/>
        <v>5</v>
      </c>
      <c r="H995" s="3" t="str">
        <f t="shared" si="78"/>
        <v>235</v>
      </c>
      <c r="I995" t="str">
        <f t="shared" si="79"/>
        <v>Big Spender</v>
      </c>
    </row>
    <row r="996" spans="1:9" x14ac:dyDescent="0.25">
      <c r="A996" s="9" t="s">
        <v>2050</v>
      </c>
      <c r="B996" s="9">
        <v>819</v>
      </c>
      <c r="C996" s="9">
        <v>8</v>
      </c>
      <c r="D996" s="10">
        <v>468.16</v>
      </c>
      <c r="E996">
        <f t="shared" si="75"/>
        <v>1</v>
      </c>
      <c r="F996">
        <f t="shared" si="76"/>
        <v>4</v>
      </c>
      <c r="G996">
        <f t="shared" si="77"/>
        <v>5</v>
      </c>
      <c r="H996" s="3" t="str">
        <f t="shared" si="78"/>
        <v>145</v>
      </c>
      <c r="I996" t="str">
        <f t="shared" si="79"/>
        <v>Loyal Customer</v>
      </c>
    </row>
    <row r="997" spans="1:9" x14ac:dyDescent="0.25">
      <c r="A997" s="9" t="s">
        <v>2052</v>
      </c>
      <c r="B997" s="9">
        <v>652</v>
      </c>
      <c r="C997" s="9">
        <v>5</v>
      </c>
      <c r="D997" s="10">
        <v>463.67</v>
      </c>
      <c r="E997">
        <f t="shared" si="75"/>
        <v>3</v>
      </c>
      <c r="F997">
        <f t="shared" si="76"/>
        <v>2</v>
      </c>
      <c r="G997">
        <f t="shared" si="77"/>
        <v>5</v>
      </c>
      <c r="H997" s="3" t="str">
        <f t="shared" si="78"/>
        <v>325</v>
      </c>
      <c r="I997" t="str">
        <f t="shared" si="79"/>
        <v>Big Spender</v>
      </c>
    </row>
    <row r="998" spans="1:9" x14ac:dyDescent="0.25">
      <c r="A998" s="9" t="s">
        <v>2054</v>
      </c>
      <c r="B998" s="9">
        <v>753</v>
      </c>
      <c r="C998" s="9">
        <v>9</v>
      </c>
      <c r="D998" s="10">
        <v>69.78</v>
      </c>
      <c r="E998">
        <f t="shared" si="75"/>
        <v>2</v>
      </c>
      <c r="F998">
        <f t="shared" si="76"/>
        <v>4</v>
      </c>
      <c r="G998">
        <f t="shared" si="77"/>
        <v>1</v>
      </c>
      <c r="H998" s="3" t="str">
        <f t="shared" si="78"/>
        <v>241</v>
      </c>
      <c r="I998" t="str">
        <f t="shared" si="79"/>
        <v>About To Sleep</v>
      </c>
    </row>
    <row r="999" spans="1:9" x14ac:dyDescent="0.25">
      <c r="A999" s="9" t="s">
        <v>2056</v>
      </c>
      <c r="B999" s="9">
        <v>770</v>
      </c>
      <c r="C999" s="9">
        <v>10</v>
      </c>
      <c r="D999" s="10">
        <v>453.37</v>
      </c>
      <c r="E999">
        <f t="shared" si="75"/>
        <v>1</v>
      </c>
      <c r="F999">
        <f t="shared" si="76"/>
        <v>5</v>
      </c>
      <c r="G999">
        <f t="shared" si="77"/>
        <v>5</v>
      </c>
      <c r="H999" s="3" t="str">
        <f t="shared" si="78"/>
        <v>155</v>
      </c>
      <c r="I999" t="str">
        <f t="shared" si="79"/>
        <v>Loyal Customer</v>
      </c>
    </row>
    <row r="1000" spans="1:9" x14ac:dyDescent="0.25">
      <c r="A1000" s="9" t="s">
        <v>2058</v>
      </c>
      <c r="B1000" s="9">
        <v>751</v>
      </c>
      <c r="C1000" s="9">
        <v>12</v>
      </c>
      <c r="D1000" s="10">
        <v>106.15</v>
      </c>
      <c r="E1000">
        <f t="shared" si="75"/>
        <v>2</v>
      </c>
      <c r="F1000">
        <f t="shared" si="76"/>
        <v>5</v>
      </c>
      <c r="G1000">
        <f t="shared" si="77"/>
        <v>1</v>
      </c>
      <c r="H1000" s="3" t="str">
        <f t="shared" si="78"/>
        <v>251</v>
      </c>
      <c r="I1000" t="str">
        <f t="shared" si="79"/>
        <v>About To Sleep</v>
      </c>
    </row>
    <row r="1001" spans="1:9" x14ac:dyDescent="0.25">
      <c r="A1001" s="9" t="s">
        <v>2060</v>
      </c>
      <c r="B1001" s="9">
        <v>498</v>
      </c>
      <c r="C1001" s="9">
        <v>6</v>
      </c>
      <c r="D1001" s="10">
        <v>378.47</v>
      </c>
      <c r="E1001">
        <f t="shared" si="75"/>
        <v>5</v>
      </c>
      <c r="F1001">
        <f t="shared" si="76"/>
        <v>3</v>
      </c>
      <c r="G1001">
        <f t="shared" si="77"/>
        <v>4</v>
      </c>
      <c r="H1001" s="3" t="str">
        <f t="shared" si="78"/>
        <v>534</v>
      </c>
      <c r="I1001" t="str">
        <f t="shared" si="79"/>
        <v>Potential Loyalist</v>
      </c>
    </row>
  </sheetData>
  <conditionalFormatting sqref="H2:H1001">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36766-CAD6-4A5F-A3A6-F2C9B0067559}">
  <dimension ref="A2:F12"/>
  <sheetViews>
    <sheetView showGridLines="0" workbookViewId="0">
      <selection activeCell="A19" sqref="A19"/>
    </sheetView>
  </sheetViews>
  <sheetFormatPr defaultRowHeight="15" x14ac:dyDescent="0.25"/>
  <cols>
    <col min="1" max="1" width="14.28515625" customWidth="1"/>
    <col min="2" max="2" width="15.42578125" customWidth="1"/>
    <col min="3" max="4" width="12.85546875" customWidth="1"/>
    <col min="5" max="5" width="13.42578125" customWidth="1"/>
    <col min="6" max="6" width="14.28515625" customWidth="1"/>
  </cols>
  <sheetData>
    <row r="2" spans="1:6" x14ac:dyDescent="0.25">
      <c r="A2" s="11" t="s">
        <v>2068</v>
      </c>
      <c r="B2" s="11" t="s">
        <v>2069</v>
      </c>
      <c r="C2" s="11" t="s">
        <v>2070</v>
      </c>
      <c r="D2" s="11" t="s">
        <v>2071</v>
      </c>
      <c r="E2" s="11" t="s">
        <v>2072</v>
      </c>
      <c r="F2" s="11" t="s">
        <v>2073</v>
      </c>
    </row>
    <row r="3" spans="1:6" ht="30" x14ac:dyDescent="0.25">
      <c r="A3" s="12" t="s">
        <v>2074</v>
      </c>
      <c r="B3" s="13">
        <v>558.79999999999995</v>
      </c>
      <c r="C3" s="13">
        <v>625</v>
      </c>
      <c r="D3" s="13">
        <v>693</v>
      </c>
      <c r="E3" s="13">
        <v>761</v>
      </c>
      <c r="F3" s="13" t="s">
        <v>2075</v>
      </c>
    </row>
    <row r="4" spans="1:6" ht="45" x14ac:dyDescent="0.25">
      <c r="A4" s="12" t="s">
        <v>2076</v>
      </c>
      <c r="B4" s="13">
        <v>4</v>
      </c>
      <c r="C4" s="13">
        <v>6</v>
      </c>
      <c r="D4" s="13">
        <v>8</v>
      </c>
      <c r="E4" s="13">
        <v>10</v>
      </c>
      <c r="F4" s="13" t="s">
        <v>2077</v>
      </c>
    </row>
    <row r="5" spans="1:6" ht="45" x14ac:dyDescent="0.25">
      <c r="A5" s="12" t="s">
        <v>2078</v>
      </c>
      <c r="B5" s="13">
        <v>138.41999999999999</v>
      </c>
      <c r="C5" s="13">
        <v>227.58</v>
      </c>
      <c r="D5" s="13">
        <v>324.14999999999998</v>
      </c>
      <c r="E5" s="13">
        <v>412.3</v>
      </c>
      <c r="F5" s="13" t="s">
        <v>2079</v>
      </c>
    </row>
    <row r="7" spans="1:6" ht="18" x14ac:dyDescent="0.25">
      <c r="A7" s="14" t="s">
        <v>2080</v>
      </c>
    </row>
    <row r="8" spans="1:6" x14ac:dyDescent="0.25">
      <c r="A8" s="15"/>
    </row>
    <row r="9" spans="1:6" x14ac:dyDescent="0.25">
      <c r="A9" s="15" t="s">
        <v>2081</v>
      </c>
    </row>
    <row r="10" spans="1:6" x14ac:dyDescent="0.25">
      <c r="A10" s="15" t="s">
        <v>2082</v>
      </c>
    </row>
    <row r="11" spans="1:6" x14ac:dyDescent="0.25">
      <c r="A11" s="15" t="s">
        <v>2083</v>
      </c>
    </row>
    <row r="12" spans="1:6" x14ac:dyDescent="0.25">
      <c r="A12" s="15" t="s">
        <v>2084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3FF56-C570-4B3E-BC13-1143AB0F1E43}">
  <dimension ref="A3:K32"/>
  <sheetViews>
    <sheetView workbookViewId="0">
      <selection activeCell="H13" sqref="H13"/>
    </sheetView>
  </sheetViews>
  <sheetFormatPr defaultRowHeight="15" x14ac:dyDescent="0.25"/>
  <cols>
    <col min="1" max="1" width="16.140625" bestFit="1" customWidth="1"/>
    <col min="2" max="2" width="19.5703125" bestFit="1" customWidth="1"/>
    <col min="3" max="3" width="20.5703125" bestFit="1" customWidth="1"/>
    <col min="4" max="4" width="7.5703125" customWidth="1"/>
    <col min="5" max="5" width="5.5703125" customWidth="1"/>
    <col min="6" max="6" width="20.28515625" bestFit="1" customWidth="1"/>
    <col min="7" max="7" width="27.5703125" bestFit="1" customWidth="1"/>
    <col min="8" max="8" width="7.42578125" customWidth="1"/>
    <col min="9" max="9" width="13.42578125" bestFit="1" customWidth="1"/>
    <col min="10" max="10" width="21.5703125" bestFit="1" customWidth="1"/>
  </cols>
  <sheetData>
    <row r="3" spans="1:11" x14ac:dyDescent="0.25">
      <c r="A3" s="16" t="s">
        <v>2087</v>
      </c>
      <c r="B3" t="s">
        <v>2098</v>
      </c>
      <c r="C3" t="s">
        <v>2097</v>
      </c>
      <c r="F3" s="16" t="s">
        <v>2087</v>
      </c>
      <c r="G3" t="s">
        <v>2104</v>
      </c>
      <c r="I3" s="16" t="s">
        <v>2087</v>
      </c>
      <c r="J3" t="s">
        <v>2105</v>
      </c>
    </row>
    <row r="4" spans="1:11" x14ac:dyDescent="0.25">
      <c r="A4" s="17" t="s">
        <v>2089</v>
      </c>
      <c r="B4">
        <v>76</v>
      </c>
      <c r="C4" s="5">
        <v>191.59342105263158</v>
      </c>
      <c r="F4" s="17" t="s">
        <v>93</v>
      </c>
      <c r="G4" s="1">
        <v>285.1019512195121</v>
      </c>
      <c r="I4" s="17" t="s">
        <v>74</v>
      </c>
      <c r="J4" s="31">
        <v>247</v>
      </c>
    </row>
    <row r="5" spans="1:11" x14ac:dyDescent="0.25">
      <c r="A5" s="17" t="s">
        <v>2091</v>
      </c>
      <c r="B5">
        <v>77</v>
      </c>
      <c r="C5" s="5">
        <v>399.85857142857139</v>
      </c>
      <c r="F5" s="17" t="s">
        <v>58</v>
      </c>
      <c r="G5" s="1">
        <v>285.13184210526316</v>
      </c>
      <c r="I5" s="17" t="s">
        <v>62</v>
      </c>
      <c r="J5" s="31">
        <v>248</v>
      </c>
    </row>
    <row r="6" spans="1:11" x14ac:dyDescent="0.25">
      <c r="A6" s="17" t="s">
        <v>2092</v>
      </c>
      <c r="B6">
        <v>101</v>
      </c>
      <c r="C6" s="5">
        <v>142.37762376237626</v>
      </c>
      <c r="F6" s="17" t="s">
        <v>90</v>
      </c>
      <c r="G6" s="1">
        <v>286.48058823529408</v>
      </c>
      <c r="I6" s="17" t="s">
        <v>52</v>
      </c>
      <c r="J6" s="31">
        <v>249</v>
      </c>
    </row>
    <row r="7" spans="1:11" x14ac:dyDescent="0.25">
      <c r="A7" s="17" t="s">
        <v>2093</v>
      </c>
      <c r="B7">
        <v>107</v>
      </c>
      <c r="C7" s="5">
        <v>426.02065420560746</v>
      </c>
      <c r="F7" s="17" t="s">
        <v>126</v>
      </c>
      <c r="G7" s="1">
        <v>288.00978723404256</v>
      </c>
      <c r="I7" s="17" t="s">
        <v>40</v>
      </c>
      <c r="J7" s="31">
        <v>256</v>
      </c>
    </row>
    <row r="8" spans="1:11" x14ac:dyDescent="0.25">
      <c r="A8" s="17" t="s">
        <v>2094</v>
      </c>
      <c r="B8">
        <v>129</v>
      </c>
      <c r="C8" s="5">
        <v>221.83581395348841</v>
      </c>
      <c r="F8" s="17" t="s">
        <v>47</v>
      </c>
      <c r="G8" s="1">
        <v>294.70363636363641</v>
      </c>
      <c r="I8" s="17" t="s">
        <v>2096</v>
      </c>
      <c r="J8" s="31">
        <v>1000</v>
      </c>
    </row>
    <row r="9" spans="1:11" x14ac:dyDescent="0.25">
      <c r="A9" s="17" t="s">
        <v>2088</v>
      </c>
      <c r="B9">
        <v>164</v>
      </c>
      <c r="C9" s="5">
        <v>182.33676829268296</v>
      </c>
      <c r="F9" s="17" t="s">
        <v>114</v>
      </c>
      <c r="G9" s="1">
        <v>296.07348837209304</v>
      </c>
    </row>
    <row r="10" spans="1:11" x14ac:dyDescent="0.25">
      <c r="A10" s="17" t="s">
        <v>2095</v>
      </c>
      <c r="B10">
        <v>166</v>
      </c>
      <c r="C10" s="5">
        <v>225.83018072289158</v>
      </c>
      <c r="F10" s="17" t="s">
        <v>104</v>
      </c>
      <c r="G10" s="1">
        <v>296.31780487804878</v>
      </c>
      <c r="I10" s="32"/>
      <c r="J10" s="33"/>
      <c r="K10" s="34"/>
    </row>
    <row r="11" spans="1:11" x14ac:dyDescent="0.25">
      <c r="A11" s="17" t="s">
        <v>2090</v>
      </c>
      <c r="B11">
        <v>180</v>
      </c>
      <c r="C11" s="5">
        <v>409.67477777777788</v>
      </c>
      <c r="F11" s="17" t="s">
        <v>82</v>
      </c>
      <c r="G11" s="1">
        <v>300.61324324324335</v>
      </c>
      <c r="I11" s="35"/>
      <c r="J11" s="36"/>
      <c r="K11" s="37"/>
    </row>
    <row r="12" spans="1:11" x14ac:dyDescent="0.25">
      <c r="A12" s="17" t="s">
        <v>2096</v>
      </c>
      <c r="B12">
        <v>1000</v>
      </c>
      <c r="C12" s="5">
        <v>275.06387999999976</v>
      </c>
      <c r="F12" s="17" t="s">
        <v>246</v>
      </c>
      <c r="G12" s="1">
        <v>302.78719999999998</v>
      </c>
      <c r="I12" s="35"/>
      <c r="J12" s="36"/>
      <c r="K12" s="37"/>
    </row>
    <row r="13" spans="1:11" x14ac:dyDescent="0.25">
      <c r="F13" s="17" t="s">
        <v>120</v>
      </c>
      <c r="G13" s="1">
        <v>316.31186046511618</v>
      </c>
      <c r="I13" s="35"/>
      <c r="J13" s="36"/>
      <c r="K13" s="37"/>
    </row>
    <row r="14" spans="1:11" x14ac:dyDescent="0.25">
      <c r="A14" s="16" t="s">
        <v>2087</v>
      </c>
      <c r="B14" t="s">
        <v>2097</v>
      </c>
      <c r="C14" t="s">
        <v>2099</v>
      </c>
      <c r="F14" s="17" t="s">
        <v>2096</v>
      </c>
      <c r="G14" s="1">
        <v>295.13050574712656</v>
      </c>
      <c r="I14" s="35"/>
      <c r="J14" s="36"/>
      <c r="K14" s="37"/>
    </row>
    <row r="15" spans="1:11" x14ac:dyDescent="0.25">
      <c r="A15" s="17" t="s">
        <v>2088</v>
      </c>
      <c r="B15" s="5">
        <v>182.33676829268296</v>
      </c>
      <c r="C15" s="3">
        <v>9.0304878048780495</v>
      </c>
      <c r="I15" s="35"/>
      <c r="J15" s="36"/>
      <c r="K15" s="37"/>
    </row>
    <row r="16" spans="1:11" x14ac:dyDescent="0.25">
      <c r="A16" s="17" t="s">
        <v>2089</v>
      </c>
      <c r="B16" s="5">
        <v>191.59342105263158</v>
      </c>
      <c r="C16" s="3">
        <v>3.4736842105263159</v>
      </c>
      <c r="F16" s="16" t="s">
        <v>2087</v>
      </c>
      <c r="G16" t="s">
        <v>2105</v>
      </c>
      <c r="I16" s="35"/>
      <c r="J16" s="36"/>
      <c r="K16" s="37"/>
    </row>
    <row r="17" spans="1:11" x14ac:dyDescent="0.25">
      <c r="A17" s="17" t="s">
        <v>2090</v>
      </c>
      <c r="B17" s="5">
        <v>409.67477777777788</v>
      </c>
      <c r="C17" s="3">
        <v>4.2277777777777779</v>
      </c>
      <c r="F17" s="17" t="s">
        <v>48</v>
      </c>
      <c r="G17" s="31">
        <v>326</v>
      </c>
      <c r="I17" s="35"/>
      <c r="J17" s="36"/>
      <c r="K17" s="37"/>
    </row>
    <row r="18" spans="1:11" x14ac:dyDescent="0.25">
      <c r="A18" s="17" t="s">
        <v>2091</v>
      </c>
      <c r="B18" s="5">
        <v>399.85857142857139</v>
      </c>
      <c r="C18" s="3">
        <v>10.090909090909092</v>
      </c>
      <c r="F18" s="17" t="s">
        <v>35</v>
      </c>
      <c r="G18" s="31">
        <v>340</v>
      </c>
      <c r="I18" s="35"/>
      <c r="J18" s="36"/>
      <c r="K18" s="37"/>
    </row>
    <row r="19" spans="1:11" x14ac:dyDescent="0.25">
      <c r="A19" s="17" t="s">
        <v>2092</v>
      </c>
      <c r="B19" s="5">
        <v>142.37762376237626</v>
      </c>
      <c r="C19" s="3">
        <v>3.495049504950495</v>
      </c>
      <c r="F19" s="17" t="s">
        <v>78</v>
      </c>
      <c r="G19" s="31">
        <v>334</v>
      </c>
      <c r="I19" s="35"/>
      <c r="J19" s="36"/>
      <c r="K19" s="37"/>
    </row>
    <row r="20" spans="1:11" x14ac:dyDescent="0.25">
      <c r="A20" s="17" t="s">
        <v>2093</v>
      </c>
      <c r="B20" s="5">
        <v>426.02065420560746</v>
      </c>
      <c r="C20" s="3">
        <v>9.7383177570093462</v>
      </c>
      <c r="F20" s="17" t="s">
        <v>2096</v>
      </c>
      <c r="G20" s="31">
        <v>1000</v>
      </c>
      <c r="I20" s="35"/>
      <c r="J20" s="36"/>
      <c r="K20" s="37"/>
    </row>
    <row r="21" spans="1:11" x14ac:dyDescent="0.25">
      <c r="A21" s="17" t="s">
        <v>2094</v>
      </c>
      <c r="B21" s="5">
        <v>221.83581395348841</v>
      </c>
      <c r="C21" s="3">
        <v>6.7596899224806197</v>
      </c>
      <c r="I21" s="35"/>
      <c r="J21" s="36"/>
      <c r="K21" s="37"/>
    </row>
    <row r="22" spans="1:11" x14ac:dyDescent="0.25">
      <c r="A22" s="17" t="s">
        <v>2095</v>
      </c>
      <c r="B22" s="5">
        <v>225.83018072289158</v>
      </c>
      <c r="C22" s="3">
        <v>8.4036144578313259</v>
      </c>
      <c r="F22" s="16" t="s">
        <v>2087</v>
      </c>
      <c r="G22" t="s">
        <v>2105</v>
      </c>
      <c r="I22" s="35"/>
      <c r="J22" s="36"/>
      <c r="K22" s="37"/>
    </row>
    <row r="23" spans="1:11" x14ac:dyDescent="0.25">
      <c r="A23" s="17" t="s">
        <v>2096</v>
      </c>
      <c r="B23" s="5">
        <v>275.06387999999976</v>
      </c>
      <c r="C23">
        <v>6.9450000000000003</v>
      </c>
      <c r="F23" s="17" t="s">
        <v>79</v>
      </c>
      <c r="G23" s="31">
        <v>350</v>
      </c>
      <c r="I23" s="35"/>
      <c r="J23" s="36"/>
      <c r="K23" s="37"/>
    </row>
    <row r="24" spans="1:11" x14ac:dyDescent="0.25">
      <c r="F24" s="17" t="s">
        <v>60</v>
      </c>
      <c r="G24" s="31">
        <v>311</v>
      </c>
      <c r="I24" s="35"/>
      <c r="J24" s="36"/>
      <c r="K24" s="37"/>
    </row>
    <row r="25" spans="1:11" x14ac:dyDescent="0.25">
      <c r="A25" t="s">
        <v>2088</v>
      </c>
      <c r="B25">
        <v>182.33676829268296</v>
      </c>
      <c r="C25" s="3">
        <v>9.0304878048780495</v>
      </c>
      <c r="F25" s="17" t="s">
        <v>38</v>
      </c>
      <c r="G25" s="31">
        <v>339</v>
      </c>
      <c r="I25" s="35"/>
      <c r="J25" s="36"/>
      <c r="K25" s="37"/>
    </row>
    <row r="26" spans="1:11" x14ac:dyDescent="0.25">
      <c r="A26" t="s">
        <v>2089</v>
      </c>
      <c r="B26">
        <v>191.59342105263158</v>
      </c>
      <c r="C26" s="3">
        <v>3.4736842105263159</v>
      </c>
      <c r="F26" s="17" t="s">
        <v>2096</v>
      </c>
      <c r="G26" s="31">
        <v>1000</v>
      </c>
      <c r="I26" s="35"/>
      <c r="J26" s="36"/>
      <c r="K26" s="37"/>
    </row>
    <row r="27" spans="1:11" x14ac:dyDescent="0.25">
      <c r="A27" t="s">
        <v>2090</v>
      </c>
      <c r="B27">
        <v>409.67477777777788</v>
      </c>
      <c r="C27" s="3">
        <v>4.2277777777777779</v>
      </c>
      <c r="I27" s="38"/>
      <c r="J27" s="39"/>
      <c r="K27" s="40"/>
    </row>
    <row r="28" spans="1:11" x14ac:dyDescent="0.25">
      <c r="A28" t="s">
        <v>2091</v>
      </c>
      <c r="B28">
        <v>399.85857142857139</v>
      </c>
      <c r="C28" s="3">
        <v>10.090909090909092</v>
      </c>
    </row>
    <row r="29" spans="1:11" x14ac:dyDescent="0.25">
      <c r="A29" t="s">
        <v>2092</v>
      </c>
      <c r="B29">
        <v>142.37762376237626</v>
      </c>
      <c r="C29" s="3">
        <v>3.495049504950495</v>
      </c>
    </row>
    <row r="30" spans="1:11" x14ac:dyDescent="0.25">
      <c r="A30" t="s">
        <v>2093</v>
      </c>
      <c r="B30">
        <v>426.02065420560746</v>
      </c>
      <c r="C30" s="3">
        <v>9.7383177570093462</v>
      </c>
    </row>
    <row r="31" spans="1:11" x14ac:dyDescent="0.25">
      <c r="A31" t="s">
        <v>2094</v>
      </c>
      <c r="B31">
        <v>221.83581395348841</v>
      </c>
      <c r="C31" s="3">
        <v>6.7596899224806197</v>
      </c>
    </row>
    <row r="32" spans="1:11" x14ac:dyDescent="0.25">
      <c r="A32" t="s">
        <v>2095</v>
      </c>
      <c r="B32">
        <v>225.83018072289158</v>
      </c>
      <c r="C32" s="3">
        <v>8.4036144578313259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CBEAC-269C-4A3E-AF4C-8AC08DD8EBAC}">
  <dimension ref="B1:R18"/>
  <sheetViews>
    <sheetView showGridLines="0" tabSelected="1" workbookViewId="0">
      <selection activeCell="Q22" sqref="Q22"/>
    </sheetView>
  </sheetViews>
  <sheetFormatPr defaultRowHeight="15" x14ac:dyDescent="0.25"/>
  <cols>
    <col min="1" max="1" width="7" customWidth="1"/>
    <col min="2" max="2" width="21.28515625" customWidth="1"/>
    <col min="3" max="3" width="10.85546875" customWidth="1"/>
    <col min="4" max="4" width="11.140625" customWidth="1"/>
    <col min="5" max="5" width="10.42578125" customWidth="1"/>
  </cols>
  <sheetData>
    <row r="1" spans="2:18" ht="21" thickBot="1" x14ac:dyDescent="0.35">
      <c r="B1" s="30" t="s">
        <v>2106</v>
      </c>
      <c r="C1" s="30"/>
      <c r="D1" s="30"/>
      <c r="E1" s="30"/>
      <c r="F1" s="30"/>
      <c r="G1" s="30"/>
      <c r="H1" s="30"/>
      <c r="I1" s="30"/>
      <c r="J1" s="30"/>
      <c r="K1" s="30"/>
      <c r="L1" s="30"/>
      <c r="M1" s="30"/>
      <c r="N1" s="30"/>
      <c r="O1" s="30"/>
      <c r="P1" s="30"/>
      <c r="Q1" s="30"/>
      <c r="R1" s="30"/>
    </row>
    <row r="2" spans="2:18" ht="15.75" thickTop="1" x14ac:dyDescent="0.25"/>
    <row r="9" spans="2:18" ht="15.75" thickBot="1" x14ac:dyDescent="0.3"/>
    <row r="10" spans="2:18" x14ac:dyDescent="0.25">
      <c r="B10" s="21" t="s">
        <v>2100</v>
      </c>
      <c r="C10" s="22" t="s">
        <v>2101</v>
      </c>
      <c r="D10" s="22" t="s">
        <v>2102</v>
      </c>
      <c r="E10" s="23" t="s">
        <v>2103</v>
      </c>
    </row>
    <row r="11" spans="2:18" x14ac:dyDescent="0.25">
      <c r="B11" s="24" t="s">
        <v>2089</v>
      </c>
      <c r="C11" s="19">
        <v>76</v>
      </c>
      <c r="D11" s="20">
        <v>191.59342105263158</v>
      </c>
      <c r="E11" s="25">
        <v>191.59342105263158</v>
      </c>
    </row>
    <row r="12" spans="2:18" x14ac:dyDescent="0.25">
      <c r="B12" s="24" t="s">
        <v>2091</v>
      </c>
      <c r="C12" s="19">
        <v>77</v>
      </c>
      <c r="D12" s="20">
        <v>399.85857142857139</v>
      </c>
      <c r="E12" s="25">
        <v>399.85857142857139</v>
      </c>
    </row>
    <row r="13" spans="2:18" x14ac:dyDescent="0.25">
      <c r="B13" s="24" t="s">
        <v>2092</v>
      </c>
      <c r="C13" s="19">
        <v>101</v>
      </c>
      <c r="D13" s="20">
        <v>142.37762376237626</v>
      </c>
      <c r="E13" s="25">
        <v>142.37762376237626</v>
      </c>
    </row>
    <row r="14" spans="2:18" x14ac:dyDescent="0.25">
      <c r="B14" s="24" t="s">
        <v>2093</v>
      </c>
      <c r="C14" s="19">
        <v>107</v>
      </c>
      <c r="D14" s="20">
        <v>426.02065420560746</v>
      </c>
      <c r="E14" s="25">
        <v>426.02065420560746</v>
      </c>
    </row>
    <row r="15" spans="2:18" x14ac:dyDescent="0.25">
      <c r="B15" s="24" t="s">
        <v>2094</v>
      </c>
      <c r="C15" s="19">
        <v>129</v>
      </c>
      <c r="D15" s="20">
        <v>221.83581395348841</v>
      </c>
      <c r="E15" s="25">
        <v>221.83581395348841</v>
      </c>
    </row>
    <row r="16" spans="2:18" x14ac:dyDescent="0.25">
      <c r="B16" s="24" t="s">
        <v>2088</v>
      </c>
      <c r="C16" s="19">
        <v>164</v>
      </c>
      <c r="D16" s="20">
        <v>182.33676829268296</v>
      </c>
      <c r="E16" s="25">
        <v>182.33676829268296</v>
      </c>
    </row>
    <row r="17" spans="2:5" x14ac:dyDescent="0.25">
      <c r="B17" s="24" t="s">
        <v>2095</v>
      </c>
      <c r="C17" s="19">
        <v>166</v>
      </c>
      <c r="D17" s="20">
        <v>225.83018072289158</v>
      </c>
      <c r="E17" s="25">
        <v>225.83018072289158</v>
      </c>
    </row>
    <row r="18" spans="2:5" ht="15.75" thickBot="1" x14ac:dyDescent="0.3">
      <c r="B18" s="26" t="s">
        <v>2090</v>
      </c>
      <c r="C18" s="27">
        <v>180</v>
      </c>
      <c r="D18" s="28">
        <v>409.67477777777788</v>
      </c>
      <c r="E18" s="29">
        <v>409.67477777777788</v>
      </c>
    </row>
  </sheetData>
  <mergeCells count="1">
    <mergeCell ref="B1:R1"/>
  </mergeCells>
  <conditionalFormatting sqref="E11:E18">
    <cfRule type="dataBar" priority="1">
      <dataBar showValue="0">
        <cfvo type="min"/>
        <cfvo type="max"/>
        <color theme="6" tint="0.59999389629810485"/>
      </dataBar>
      <extLst>
        <ext xmlns:x14="http://schemas.microsoft.com/office/spreadsheetml/2009/9/main" uri="{B025F937-C7B1-47D3-B67F-A62EFF666E3E}">
          <x14:id>{F815F951-0C6E-4650-B0F5-8672663AEC68}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815F951-0C6E-4650-B0F5-8672663AEC68}">
            <x14:dataBar minLength="0" maxLength="100" border="1" negativeBarBorderColorSameAsPositive="0">
              <x14:cfvo type="autoMin"/>
              <x14:cfvo type="autoMax"/>
              <x14:borderColor rgb="FF638EC6"/>
              <x14:negativeFillColor rgb="FFFF0000"/>
              <x14:negativeBorderColor rgb="FFFF0000"/>
              <x14:axisColor rgb="FF000000"/>
            </x14:dataBar>
          </x14:cfRule>
          <xm:sqref>E11:E18</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5</vt:i4>
      </vt:variant>
      <vt:variant>
        <vt:lpstr>Charts</vt:lpstr>
      </vt:variant>
      <vt:variant>
        <vt:i4>1</vt:i4>
      </vt:variant>
      <vt:variant>
        <vt:lpstr>Named Ranges</vt:lpstr>
      </vt:variant>
      <vt:variant>
        <vt:i4>3</vt:i4>
      </vt:variant>
    </vt:vector>
  </HeadingPairs>
  <TitlesOfParts>
    <vt:vector size="9" baseType="lpstr">
      <vt:lpstr>Dataset</vt:lpstr>
      <vt:lpstr>RFM_Analysis</vt:lpstr>
      <vt:lpstr>RFM score explanation</vt:lpstr>
      <vt:lpstr>PivotTables</vt:lpstr>
      <vt:lpstr>Dashboard</vt:lpstr>
      <vt:lpstr>Scatter Plot Chart</vt:lpstr>
      <vt:lpstr>Avg_Amount</vt:lpstr>
      <vt:lpstr>Avg_Satisfaction</vt:lpstr>
      <vt:lpstr>Total_Customers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primrose wambui</cp:lastModifiedBy>
  <dcterms:created xsi:type="dcterms:W3CDTF">2026-04-20T16:28:00Z</dcterms:created>
  <dcterms:modified xsi:type="dcterms:W3CDTF">2026-04-22T08:24:31Z</dcterms:modified>
</cp:coreProperties>
</file>